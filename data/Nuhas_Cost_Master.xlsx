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rivers" sheetId="2" state="visible" r:id="rId4"/>
    <sheet name="RM_Rates" sheetId="3" state="visible" r:id="rId5"/>
    <sheet name="Machine_Rates" sheetId="4" state="visible" r:id="rId6"/>
    <sheet name="Products" sheetId="5" state="visible" r:id="rId7"/>
    <sheet name="BOM" sheetId="6" state="visible" r:id="rId8"/>
    <sheet name="Operations" sheetId="7" state="visible" r:id="rId9"/>
    <sheet name="Overheads" sheetId="8" state="visible" r:id="rId10"/>
  </sheets>
  <definedNames>
    <definedName function="false" hidden="true" localSheetId="4" name="_xlnm._FilterDatabase" vbProcedure="false">Products!$A$4:$W$103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<sst xmlns="http://schemas.openxmlformats.org/spreadsheetml/2006/main" count="12983" uniqueCount="752">
  <si>
    <t xml:space="preserve">NUHAS OMAN - CONSOLIDATED CABLE COST MASTER</t>
  </si>
  <si>
    <t xml:space="preserve">Built from 99 individual cost sheets. Every figure reconciles to its source sheet.</t>
  </si>
  <si>
    <t xml:space="preserve">PURPOSE</t>
  </si>
  <si>
    <t xml:space="preserve">A single normalised database behind all 99 cost sheets, so cost can be recalculated from live inputs instead of being frozen inside 99 separate files.</t>
  </si>
  <si>
    <t xml:space="preserve">Drivers</t>
  </si>
  <si>
    <t xml:space="preserve">LME copper price, OMR/USD rate and margin. Edit here; everything downstream reflows.</t>
  </si>
  <si>
    <t xml:space="preserve">Products</t>
  </si>
  <si>
    <t xml:space="preserve">One row per cable (99). Cost roll-up is formula-driven from BOM / Operations / Overheads.</t>
  </si>
  <si>
    <t xml:space="preserve">BOM</t>
  </si>
  <si>
    <t xml:space="preserve">1,327 material lines. Quantity per km is engineering data; rate is looked up from RM_Rates.</t>
  </si>
  <si>
    <t xml:space="preserve">RM_Rates</t>
  </si>
  <si>
    <t xml:space="preserve">133-code material price master. Copper rates are LME-linked (see below); others are fixed.</t>
  </si>
  <si>
    <t xml:space="preserve">Operations</t>
  </si>
  <si>
    <t xml:space="preserve">Machine hours per product per stage. Cost = hours x cores x machine rate.</t>
  </si>
  <si>
    <t xml:space="preserve">Machine_Rates</t>
  </si>
  <si>
    <t xml:space="preserve">34 machines, OMR per machine-hour. Derived from the source sheets (&lt;0.5% variance).</t>
  </si>
  <si>
    <t xml:space="preserve">Overheads</t>
  </si>
  <si>
    <t xml:space="preserve">8 overhead lines per product, as entered in the source sheets.</t>
  </si>
  <si>
    <t xml:space="preserve">COLOUR KEY</t>
  </si>
  <si>
    <t xml:space="preserve">BLUE = hardcoded input you may edit.  BLACK = formula.  GREEN = link to another sheet.  YELLOW = key assumption, confirm before use.</t>
  </si>
  <si>
    <t xml:space="preserve">ASSUMPTION 1</t>
  </si>
  <si>
    <t xml:space="preserve">OMR/USD = 0.3845 (Omani rial peg). Source: user-supplied constant, not present in the original sheets. Confirm with Nuhas finance.</t>
  </si>
  <si>
    <t xml:space="preserve">ASSUMPTION 2</t>
  </si>
  <si>
    <t xml:space="preserve">Source sheets were all costed at LME = USD 4,850/tonne (stated in cell B3 of every sheet).</t>
  </si>
  <si>
    <t xml:space="preserve">ASSUMPTION 3</t>
  </si>
  <si>
    <t xml:space="preserve">Copper rate = (LME x FX / 1000) + drawing premium. The premium per conductor size was derived by subtracting the LME metal value from the rate in the source sheets; it ranges 0.1026-0.1401 OMR/kg and falls as size rises, which is the expected pattern. CONFIRM this decomposition with Nuhas before quoting from it.</t>
  </si>
  <si>
    <t xml:space="preserve">ASSUMPTION 4</t>
  </si>
  <si>
    <t xml:space="preserve">Non-copper material rates are held fixed - the source sheets give no basis for indexing them.</t>
  </si>
  <si>
    <t xml:space="preserve">ASSUMPTION 5</t>
  </si>
  <si>
    <t xml:space="preserve">Overheads are stored per product exactly as entered. They are NOT derivable from a formula in the source data, so a cable outside this library has no overhead figure until an allocation rule is agreed.</t>
  </si>
  <si>
    <t xml:space="preserve">RECONCILIATION</t>
  </si>
  <si>
    <t xml:space="preserve">Cost/km = Raw material (A) + Operations (B) + Overheads (C) + Tooling. All 99 products reconcile to their source sheet to within rounding.</t>
  </si>
  <si>
    <t xml:space="preserve">CURRENCY</t>
  </si>
  <si>
    <t xml:space="preserve">All values in OMR (Omani Rial) unless stated.</t>
  </si>
  <si>
    <t xml:space="preserve">PRICING DRIVERS</t>
  </si>
  <si>
    <t xml:space="preserve">Edit the blue cells. Every product cost in this workbook recalculates.</t>
  </si>
  <si>
    <t xml:space="preserve">Driver</t>
  </si>
  <si>
    <t xml:space="preserve">Value</t>
  </si>
  <si>
    <t xml:space="preserve">Note</t>
  </si>
  <si>
    <t xml:space="preserve">LME copper (USD/tonne)</t>
  </si>
  <si>
    <t xml:space="preserve">Live LME cash settlement. Source sheets were built at 4,850.</t>
  </si>
  <si>
    <t xml:space="preserve">OMR per USD</t>
  </si>
  <si>
    <t xml:space="preserve">Omani rial peg. Assumption - confirm.</t>
  </si>
  <si>
    <t xml:space="preserve">Margin on cost (%)</t>
  </si>
  <si>
    <t xml:space="preserve">Illustrative. Set your own quoting margin.</t>
  </si>
  <si>
    <t xml:space="preserve">Scrap treatment</t>
  </si>
  <si>
    <t xml:space="preserve">as-entered</t>
  </si>
  <si>
    <t xml:space="preserve">Scrap qty is stored per BOM line from the source sheets.</t>
  </si>
  <si>
    <t xml:space="preserve">Copper metal value (OMR/kg)</t>
  </si>
  <si>
    <t xml:space="preserve">LME x FX / 1000. Drawing premium is added per size in RM_Rates.</t>
  </si>
  <si>
    <t xml:space="preserve">RAW MATERIAL PRICE MASTER</t>
  </si>
  <si>
    <t xml:space="preserve">133 codes. Verified single-valued across all 99 source sheets.</t>
  </si>
  <si>
    <t xml:space="preserve">RM_Code</t>
  </si>
  <si>
    <t xml:space="preserve">Description</t>
  </si>
  <si>
    <t xml:space="preserve">UOM</t>
  </si>
  <si>
    <t xml:space="preserve">LME linked?</t>
  </si>
  <si>
    <t xml:space="preserve">Drawing premium (OMR/kg)</t>
  </si>
  <si>
    <t xml:space="preserve">Rate (OMR/unit)</t>
  </si>
  <si>
    <t xml:space="preserve">ABPT025</t>
  </si>
  <si>
    <t xml:space="preserve">AL-BACKED POLYESTER TAPE 25 MM</t>
  </si>
  <si>
    <t xml:space="preserve">KG</t>
  </si>
  <si>
    <t xml:space="preserve">no</t>
  </si>
  <si>
    <t xml:space="preserve">ABPT030</t>
  </si>
  <si>
    <t xml:space="preserve">AL-BACKED POLYESTER TAPE 30 MM</t>
  </si>
  <si>
    <t xml:space="preserve">ABPT035</t>
  </si>
  <si>
    <t xml:space="preserve">AL-BACKED POLYESTER TAPE 35 MM</t>
  </si>
  <si>
    <t xml:space="preserve">ABPT040</t>
  </si>
  <si>
    <t xml:space="preserve">AL-BACKED POLYESTER TAPE 40 MM</t>
  </si>
  <si>
    <t xml:space="preserve">ABPT050</t>
  </si>
  <si>
    <t xml:space="preserve">AL-BACKED POLYESTER TAPE 50 MM</t>
  </si>
  <si>
    <t xml:space="preserve">ATC180RD</t>
  </si>
  <si>
    <t xml:space="preserve">TCA180RD - ANNEALED TINNED COPPER WIRE SIZE- 1.80MM (RE-DRAW)</t>
  </si>
  <si>
    <t xml:space="preserve">kg</t>
  </si>
  <si>
    <t xml:space="preserve">AWA160</t>
  </si>
  <si>
    <t xml:space="preserve">AL  ARMOUR  WIRE 1.60 MM DIA</t>
  </si>
  <si>
    <t xml:space="preserve">AWA200</t>
  </si>
  <si>
    <t xml:space="preserve">AL  ARMOUR  WIRE 2.00 MM DIA</t>
  </si>
  <si>
    <t xml:space="preserve">AWA250</t>
  </si>
  <si>
    <t xml:space="preserve">AL  ARMOUR  WIRE 2.50 MM DIA</t>
  </si>
  <si>
    <t xml:space="preserve">CC1E</t>
  </si>
  <si>
    <t xml:space="preserve">Cu - 1.5 mm2 - Cl 1 - Round</t>
  </si>
  <si>
    <t xml:space="preserve">YES</t>
  </si>
  <si>
    <t xml:space="preserve">CC1F</t>
  </si>
  <si>
    <t xml:space="preserve">Cu - 2.5 mm2 - Cl 1 - Round</t>
  </si>
  <si>
    <t xml:space="preserve">CC2RE07</t>
  </si>
  <si>
    <t xml:space="preserve">Cu - 1.5 mm2 - Cl 2 - Round</t>
  </si>
  <si>
    <t xml:space="preserve">CC2RF07</t>
  </si>
  <si>
    <t xml:space="preserve">Cu - 2.5 mm2 - Cl 2 - Round</t>
  </si>
  <si>
    <t xml:space="preserve">CC2RG07</t>
  </si>
  <si>
    <t xml:space="preserve">Cu - 4 mm2 - Cl 2 - Round</t>
  </si>
  <si>
    <t xml:space="preserve">CC2RH07</t>
  </si>
  <si>
    <t xml:space="preserve">Cu - 6 mm2 - Cl 2 - Round</t>
  </si>
  <si>
    <t xml:space="preserve">CC2RI07</t>
  </si>
  <si>
    <t xml:space="preserve">Cu - 10 mm2 - Cl 2 - Round</t>
  </si>
  <si>
    <t xml:space="preserve">CC2RJ07</t>
  </si>
  <si>
    <t xml:space="preserve">Cu - 16 mm2 - Cl 2 - Round</t>
  </si>
  <si>
    <t xml:space="preserve">CC2RK07</t>
  </si>
  <si>
    <t xml:space="preserve">Cu - 25 mm2 - Cl 2 - Round</t>
  </si>
  <si>
    <t xml:space="preserve">CC2RL07</t>
  </si>
  <si>
    <t xml:space="preserve">Cu - 35 mm2 - Cl 2 - Round</t>
  </si>
  <si>
    <t xml:space="preserve">CC2RM07</t>
  </si>
  <si>
    <t xml:space="preserve">Cu - 50 mm2 - Cl 2 - Round</t>
  </si>
  <si>
    <t xml:space="preserve">CC2RM19</t>
  </si>
  <si>
    <t xml:space="preserve">Cu - 50 mm2 - Cl 2 - Round (19 strands for MV cables)</t>
  </si>
  <si>
    <t xml:space="preserve">CC2RN19</t>
  </si>
  <si>
    <t xml:space="preserve">Cu - 70 mm2 - Cl 2 - Round</t>
  </si>
  <si>
    <t xml:space="preserve">CC2RO19</t>
  </si>
  <si>
    <t xml:space="preserve">Cu - 95 mm2 - Cl 2 - Round</t>
  </si>
  <si>
    <t xml:space="preserve">CC2RP19</t>
  </si>
  <si>
    <t xml:space="preserve">Cu - 120 mm2 - Cl 2 - Round</t>
  </si>
  <si>
    <t xml:space="preserve">CC2RQ19</t>
  </si>
  <si>
    <t xml:space="preserve">Cu - 150 mm2 - Cl 2 - Round</t>
  </si>
  <si>
    <t xml:space="preserve">CC2RQ37</t>
  </si>
  <si>
    <t xml:space="preserve">Cu - 150 mm2 - Cl 2 - Round (37 strands for MV cables)</t>
  </si>
  <si>
    <t xml:space="preserve">CC2RR37</t>
  </si>
  <si>
    <t xml:space="preserve">Cu - 185 mm2 - Cl 2 - Round</t>
  </si>
  <si>
    <t xml:space="preserve">CC2RS37</t>
  </si>
  <si>
    <t xml:space="preserve">Cu - 240 mm2 - Cl 2 - Round</t>
  </si>
  <si>
    <t xml:space="preserve">CC2RT61</t>
  </si>
  <si>
    <t xml:space="preserve">Cu - 300 mm2 - Cl 2 - Round</t>
  </si>
  <si>
    <t xml:space="preserve">CC2RU61</t>
  </si>
  <si>
    <t xml:space="preserve">Cu - 400 mm2 - Cl 2 - Round</t>
  </si>
  <si>
    <t xml:space="preserve">CC2RW61</t>
  </si>
  <si>
    <t xml:space="preserve">Cu - 630 mm2 - Cl 2 - Round</t>
  </si>
  <si>
    <t xml:space="preserve">CC2S3K07</t>
  </si>
  <si>
    <t xml:space="preserve">Cu - 25 mm2 - Cl 2 - 120° Sec</t>
  </si>
  <si>
    <t xml:space="preserve">CC2S3L07</t>
  </si>
  <si>
    <t xml:space="preserve">Cu - 35 mm2 - Cl 2 - 120° Sec</t>
  </si>
  <si>
    <t xml:space="preserve">CC2S3M07</t>
  </si>
  <si>
    <t xml:space="preserve">Cu - 50 mm2 - Cl 2 - 120° Sec</t>
  </si>
  <si>
    <t xml:space="preserve">CC2S3N19</t>
  </si>
  <si>
    <t xml:space="preserve">Cu - 70 mm2 - Cl 2 - 120° Sec</t>
  </si>
  <si>
    <t xml:space="preserve">CC2S3O19</t>
  </si>
  <si>
    <t xml:space="preserve">Cu - 95 mm2 - Cl 2 - 120° Sec</t>
  </si>
  <si>
    <t xml:space="preserve">CC2S3P19</t>
  </si>
  <si>
    <t xml:space="preserve">Cu - 120 mm2 - Cl 2 - 120° Sec</t>
  </si>
  <si>
    <t xml:space="preserve">CC2S3Q19</t>
  </si>
  <si>
    <t xml:space="preserve">Cu - 150 mm2 - Cl 2 - 120° Sec</t>
  </si>
  <si>
    <t xml:space="preserve">CC2S3R37</t>
  </si>
  <si>
    <t xml:space="preserve">Cu - 185 mm2 - Cl 2 - 120° Sec</t>
  </si>
  <si>
    <t xml:space="preserve">CC2S3S37</t>
  </si>
  <si>
    <t xml:space="preserve">Cu - 240 mm2 - Cl 2 - 120° Sec</t>
  </si>
  <si>
    <t xml:space="preserve">CC2S3T61</t>
  </si>
  <si>
    <t xml:space="preserve">Cu - 300 mm2 - Cl 2 - 120° Sec</t>
  </si>
  <si>
    <t xml:space="preserve">CC2S4K07</t>
  </si>
  <si>
    <t xml:space="preserve">Cu - 25 mm2 - Cl 2 - 90° Sec</t>
  </si>
  <si>
    <t xml:space="preserve">CC2S4L07</t>
  </si>
  <si>
    <t xml:space="preserve">Cu - 35 mm2 - Cl 2 - 90° Sec</t>
  </si>
  <si>
    <t xml:space="preserve">CC2S4M07</t>
  </si>
  <si>
    <t xml:space="preserve">Cu - 50 mm2 - Cl 2 - 90° Sec</t>
  </si>
  <si>
    <t xml:space="preserve">CC2S4O19</t>
  </si>
  <si>
    <t xml:space="preserve">Cu - 95 mm2 - Cl 2 - 90° Sec</t>
  </si>
  <si>
    <t xml:space="preserve">CC2S4Q19</t>
  </si>
  <si>
    <t xml:space="preserve">Cu - 150 mm2 - Cl 2 - 90° Sec</t>
  </si>
  <si>
    <t xml:space="preserve">CC2S4R37</t>
  </si>
  <si>
    <t xml:space="preserve">Cu - 185 mm2 - Cl 2 - 90° Sec</t>
  </si>
  <si>
    <t xml:space="preserve">CC2S4S37</t>
  </si>
  <si>
    <t xml:space="preserve">Cu - 240 mm2 - Cl 2 - 90° Sec</t>
  </si>
  <si>
    <t xml:space="preserve">CUT3005</t>
  </si>
  <si>
    <t xml:space="preserve">COPPER TAPE 30 X 0.05 MM</t>
  </si>
  <si>
    <t xml:space="preserve">CUT4005</t>
  </si>
  <si>
    <t xml:space="preserve">Copper Tape 40 X 0.05 MM</t>
  </si>
  <si>
    <t xml:space="preserve">CUT5005</t>
  </si>
  <si>
    <t xml:space="preserve">COPPER TAPE 50 X 0.05 MM</t>
  </si>
  <si>
    <t xml:space="preserve">ECAPH010</t>
  </si>
  <si>
    <t xml:space="preserve">END CAP HEAT SHRINKABLE 10 MM</t>
  </si>
  <si>
    <t xml:space="preserve">NOS</t>
  </si>
  <si>
    <t xml:space="preserve">ECAPH020</t>
  </si>
  <si>
    <t xml:space="preserve">ECAPH20 - HEAT SHRINKABLE END CAP</t>
  </si>
  <si>
    <t xml:space="preserve">ECAPH030</t>
  </si>
  <si>
    <t xml:space="preserve">END CAP HEAT SHRINKABLE 30 MM</t>
  </si>
  <si>
    <t xml:space="preserve">ECAPH040</t>
  </si>
  <si>
    <t xml:space="preserve">END CAP HEAT SHRINKABLE 40 MM</t>
  </si>
  <si>
    <t xml:space="preserve">ECAPH060</t>
  </si>
  <si>
    <t xml:space="preserve">END CAP HEAT SHRINKABLE 60 MM</t>
  </si>
  <si>
    <t xml:space="preserve">ECAPH080</t>
  </si>
  <si>
    <t xml:space="preserve">END CAP HEAT SHRINKABLE 80 MM</t>
  </si>
  <si>
    <t xml:space="preserve">ECAPH100</t>
  </si>
  <si>
    <t xml:space="preserve">END CAP HEAT SHRINKABLE 100 MM</t>
  </si>
  <si>
    <t xml:space="preserve">ECAPH120</t>
  </si>
  <si>
    <t xml:space="preserve">END CAP HEAT SHRINKABLE 130 MM</t>
  </si>
  <si>
    <t xml:space="preserve">HSF300MM</t>
  </si>
  <si>
    <t xml:space="preserve">Heat Shrink Film 300 MM (60micron)</t>
  </si>
  <si>
    <t xml:space="preserve">HSF350MM</t>
  </si>
  <si>
    <t xml:space="preserve">Heat Shrink Film 350 MM (60micron)</t>
  </si>
  <si>
    <t xml:space="preserve">HSF350MMP25</t>
  </si>
  <si>
    <t xml:space="preserve">Heat Shrink Film 350 MM (60micron)(PRINTED) FOR 2.5SQMM</t>
  </si>
  <si>
    <t xml:space="preserve">HSF425MMP60</t>
  </si>
  <si>
    <t xml:space="preserve">Heat Shrink Film 425 MM (60micron)(PRINTED) FOR 6.0SQMM</t>
  </si>
  <si>
    <t xml:space="preserve">LLDPE</t>
  </si>
  <si>
    <t xml:space="preserve">BLACK LLDPE SHEET (WIDTH - 1050 MM)</t>
  </si>
  <si>
    <t xml:space="preserve">LSFMBBK</t>
  </si>
  <si>
    <t xml:space="preserve">LSF MB BLACK FOR SHEATH</t>
  </si>
  <si>
    <t xml:space="preserve">LSFSHBKTS1</t>
  </si>
  <si>
    <t xml:space="preserve">LSF COMPOUND BLACK  LTS1</t>
  </si>
  <si>
    <t xml:space="preserve">MCT0610</t>
  </si>
  <si>
    <t xml:space="preserve">MICA TAPE 6MM WIDTH X 0.1MM THICK</t>
  </si>
  <si>
    <t xml:space="preserve">MCT610</t>
  </si>
  <si>
    <t xml:space="preserve">PAL1100X1000</t>
  </si>
  <si>
    <t xml:space="preserve">Pallet 1100 X 1000</t>
  </si>
  <si>
    <t xml:space="preserve">PPBT25025</t>
  </si>
  <si>
    <t xml:space="preserve">POLY BINDER TAPE 25X0.025 mm</t>
  </si>
  <si>
    <t xml:space="preserve">PPBT30025</t>
  </si>
  <si>
    <t xml:space="preserve">POLY BINDER TAPE 30X0.025mm</t>
  </si>
  <si>
    <t xml:space="preserve">PPBT3010</t>
  </si>
  <si>
    <t xml:space="preserve">Polyster Tape 30X0.1 mm</t>
  </si>
  <si>
    <t xml:space="preserve">PPBT35025</t>
  </si>
  <si>
    <t xml:space="preserve">POLY BINDER TAPE 35X0.025 mm</t>
  </si>
  <si>
    <t xml:space="preserve">PPBT40025</t>
  </si>
  <si>
    <t xml:space="preserve">POLY BINDER TAPE 40X0.025 mm</t>
  </si>
  <si>
    <t xml:space="preserve">PPBT50025</t>
  </si>
  <si>
    <t xml:space="preserve">POLY BINDER TAPE 50X0.025 mm</t>
  </si>
  <si>
    <t xml:space="preserve">PPBT5010</t>
  </si>
  <si>
    <t xml:space="preserve">POLY BINDER TAPE 50X0.1 mm</t>
  </si>
  <si>
    <t xml:space="preserve">PPBT60025</t>
  </si>
  <si>
    <t xml:space="preserve">POLY BINDER TAPE 60X0.025 mm</t>
  </si>
  <si>
    <t xml:space="preserve">PPBT80025</t>
  </si>
  <si>
    <t xml:space="preserve">POLY BINDER TAPE 80X0.025 mm</t>
  </si>
  <si>
    <t xml:space="preserve">PPF20</t>
  </si>
  <si>
    <t xml:space="preserve">PP FILLER 20000 DENIERS</t>
  </si>
  <si>
    <t xml:space="preserve">PPF200</t>
  </si>
  <si>
    <t xml:space="preserve">PP FILLER 200000 DENIERS</t>
  </si>
  <si>
    <t xml:space="preserve">PPF40</t>
  </si>
  <si>
    <t xml:space="preserve">PP FILLER 40000 DENIERS.</t>
  </si>
  <si>
    <t xml:space="preserve">PPFBT3010</t>
  </si>
  <si>
    <t xml:space="preserve">PP BINDER TAPE FOAMED 30X0.1 mm</t>
  </si>
  <si>
    <t xml:space="preserve">PPFBT4010</t>
  </si>
  <si>
    <t xml:space="preserve">PP BINDER TAPE FOAMED 40X0.1 mm</t>
  </si>
  <si>
    <t xml:space="preserve">PPFBT5010</t>
  </si>
  <si>
    <t xml:space="preserve">PP BINDER TAPE FOAMED 50X0.1 mm</t>
  </si>
  <si>
    <t xml:space="preserve">PPFBT7010</t>
  </si>
  <si>
    <t xml:space="preserve">PP BINDER TAPE FOAMED 70X0.1 mm</t>
  </si>
  <si>
    <t xml:space="preserve">PVCMBBK</t>
  </si>
  <si>
    <t xml:space="preserve">PVC MB BLACK</t>
  </si>
  <si>
    <t xml:space="preserve">PVCMBGR</t>
  </si>
  <si>
    <t xml:space="preserve">PVC MB GREEN</t>
  </si>
  <si>
    <t xml:space="preserve">PVCMBRUV</t>
  </si>
  <si>
    <t xml:space="preserve">PVC Color Master Batch RED UV</t>
  </si>
  <si>
    <t xml:space="preserve">PVCMBY</t>
  </si>
  <si>
    <t xml:space="preserve">PVC MB YELLOW</t>
  </si>
  <si>
    <t xml:space="preserve">PVCS9</t>
  </si>
  <si>
    <t xml:space="preserve">PVC TYPE 9 COMPOUND BLACK</t>
  </si>
  <si>
    <t xml:space="preserve">PVCS9N</t>
  </si>
  <si>
    <t xml:space="preserve">PVC TYPE 9 COMPOUND NATURAL</t>
  </si>
  <si>
    <t xml:space="preserve">PVCSFRRT</t>
  </si>
  <si>
    <t xml:space="preserve">PVC-FRRT NATURAL</t>
  </si>
  <si>
    <t xml:space="preserve">PVCSST2</t>
  </si>
  <si>
    <t xml:space="preserve">PVC TYPE-ST2 BLACK</t>
  </si>
  <si>
    <t xml:space="preserve">PVCTI1</t>
  </si>
  <si>
    <t xml:space="preserve">PVC TI-1 NATURAL</t>
  </si>
  <si>
    <t xml:space="preserve">SCBT4010</t>
  </si>
  <si>
    <t xml:space="preserve">SEMI-CONDUCTING TAPE 40x.10 mm</t>
  </si>
  <si>
    <t xml:space="preserve">sq.m</t>
  </si>
  <si>
    <t xml:space="preserve">SD18001000940</t>
  </si>
  <si>
    <t xml:space="preserve">SD1800 X 1000 X 940 MM</t>
  </si>
  <si>
    <t xml:space="preserve">SD200010001100G</t>
  </si>
  <si>
    <t xml:space="preserve">SD2000 X 1000 X 1100 MM  (Guide)</t>
  </si>
  <si>
    <t xml:space="preserve">SD205012001200G</t>
  </si>
  <si>
    <t xml:space="preserve">SD2050 X 1200 X 1200 MM (Guide)</t>
  </si>
  <si>
    <t xml:space="preserve">SD220013001300G</t>
  </si>
  <si>
    <t xml:space="preserve">SD2200 X 1300 X 1300 MM (Guide)</t>
  </si>
  <si>
    <t xml:space="preserve">SD240012001400G</t>
  </si>
  <si>
    <t xml:space="preserve">SD2400 X 1200 X 1400 MM  (Guide)</t>
  </si>
  <si>
    <t xml:space="preserve">SD280017001600G</t>
  </si>
  <si>
    <t xml:space="preserve">SD2800 X 1700 X 1600 MM (Guide)</t>
  </si>
  <si>
    <t xml:space="preserve">STRETCHFILMROLL</t>
  </si>
  <si>
    <t xml:space="preserve">STRETCH FILM ROLL</t>
  </si>
  <si>
    <t xml:space="preserve">SWA090</t>
  </si>
  <si>
    <t xml:space="preserve">GS ARMOUR WIRE 0.90 MM DIA</t>
  </si>
  <si>
    <t xml:space="preserve">SWA125</t>
  </si>
  <si>
    <t xml:space="preserve">GS ARMOUR WIRE 1.25 MM DIA</t>
  </si>
  <si>
    <t xml:space="preserve">SWA160</t>
  </si>
  <si>
    <t xml:space="preserve">GS ARMOUR WIRE 1.60 MM DIA</t>
  </si>
  <si>
    <t xml:space="preserve">SWA200</t>
  </si>
  <si>
    <t xml:space="preserve">GS ARMOUR WIRE 2.00 MM DIA</t>
  </si>
  <si>
    <t xml:space="preserve">SWA250</t>
  </si>
  <si>
    <t xml:space="preserve">GS ARMOUR WIRE 2.50 MM DIA</t>
  </si>
  <si>
    <t xml:space="preserve">SWA315</t>
  </si>
  <si>
    <t xml:space="preserve">GS ARMOUR WIRE 3.15 MM DIA</t>
  </si>
  <si>
    <t xml:space="preserve">WD1000500575</t>
  </si>
  <si>
    <t xml:space="preserve">WD1000 X 500 X 575 MM</t>
  </si>
  <si>
    <t xml:space="preserve">WD1100600900</t>
  </si>
  <si>
    <t xml:space="preserve">WD1100 X 600 X 900 MM</t>
  </si>
  <si>
    <t xml:space="preserve">WD1200600900</t>
  </si>
  <si>
    <t xml:space="preserve">WD1200 X 600 X 900 MM</t>
  </si>
  <si>
    <t xml:space="preserve">WD1400700900</t>
  </si>
  <si>
    <t xml:space="preserve">WD1400 X 700 X 900 MM</t>
  </si>
  <si>
    <t xml:space="preserve">WD1600800900</t>
  </si>
  <si>
    <t xml:space="preserve">WD1600 X 800 X 900 MM</t>
  </si>
  <si>
    <t xml:space="preserve">WD700450575</t>
  </si>
  <si>
    <t xml:space="preserve">WD700 X 450 X 575 MM</t>
  </si>
  <si>
    <t xml:space="preserve">WD800450575</t>
  </si>
  <si>
    <t xml:space="preserve">WD800 X 450 X 575 MM</t>
  </si>
  <si>
    <t xml:space="preserve">WD900450575</t>
  </si>
  <si>
    <t xml:space="preserve">WD900 X 450 X 575 MM</t>
  </si>
  <si>
    <t xml:space="preserve">WRP1080</t>
  </si>
  <si>
    <t xml:space="preserve">DRUM WRAPPER 1080 MM</t>
  </si>
  <si>
    <t xml:space="preserve">m</t>
  </si>
  <si>
    <t xml:space="preserve">WRP1180</t>
  </si>
  <si>
    <t xml:space="preserve">DRUM WRAPPER 1180 MM</t>
  </si>
  <si>
    <t xml:space="preserve">WRP1280</t>
  </si>
  <si>
    <t xml:space="preserve">DRUM WRAPPER 1280 MM</t>
  </si>
  <si>
    <t xml:space="preserve">WRP1380</t>
  </si>
  <si>
    <t xml:space="preserve">DRUM WRAPPER 1380 MM</t>
  </si>
  <si>
    <t xml:space="preserve">WRP1580</t>
  </si>
  <si>
    <t xml:space="preserve">DRUM WRAPPER 1580 MM</t>
  </si>
  <si>
    <t xml:space="preserve">WRP570</t>
  </si>
  <si>
    <t xml:space="preserve">DRUM WRAPPER 570 MM</t>
  </si>
  <si>
    <t xml:space="preserve">WRP890</t>
  </si>
  <si>
    <t xml:space="preserve">DRUM WRAPPER 890 MM</t>
  </si>
  <si>
    <t xml:space="preserve">WRP940</t>
  </si>
  <si>
    <t xml:space="preserve">DRUM WRAPPER 940 MM</t>
  </si>
  <si>
    <t xml:space="preserve">XINS</t>
  </si>
  <si>
    <t xml:space="preserve">XLPE COMPOUND MV CABLE</t>
  </si>
  <si>
    <t xml:space="preserve">XMBBK</t>
  </si>
  <si>
    <t xml:space="preserve">XLPE MB BLACK</t>
  </si>
  <si>
    <t xml:space="preserve">XMBBLU</t>
  </si>
  <si>
    <t xml:space="preserve">XLPE MB  BLUE</t>
  </si>
  <si>
    <t xml:space="preserve">XMBRED</t>
  </si>
  <si>
    <t xml:space="preserve">XLPE MB  RED</t>
  </si>
  <si>
    <t xml:space="preserve">XMBWH</t>
  </si>
  <si>
    <t xml:space="preserve">XLPE MB  WHITE</t>
  </si>
  <si>
    <t xml:space="preserve">XMBYEL</t>
  </si>
  <si>
    <t xml:space="preserve">XLPE MB  YELLOW</t>
  </si>
  <si>
    <t xml:space="preserve">XSAUCAT</t>
  </si>
  <si>
    <t xml:space="preserve">XLPE CATALYST</t>
  </si>
  <si>
    <t xml:space="preserve">XSAUINS</t>
  </si>
  <si>
    <t xml:space="preserve">LT XLPE COMPOUND</t>
  </si>
  <si>
    <t xml:space="preserve">XSCBON</t>
  </si>
  <si>
    <t xml:space="preserve">XLPE SC BONDED COMPOUND</t>
  </si>
  <si>
    <t xml:space="preserve">MACHINE HOURLY RATES</t>
  </si>
  <si>
    <t xml:space="preserve">Derived as operation cost / machine hour across all sheets. Max variance 0.45%.</t>
  </si>
  <si>
    <t xml:space="preserve">Machine_Code</t>
  </si>
  <si>
    <t xml:space="preserve">Stage type</t>
  </si>
  <si>
    <t xml:space="preserve">Rate (OMR/hr)</t>
  </si>
  <si>
    <t xml:space="preserve">Observations</t>
  </si>
  <si>
    <t xml:space="preserve">Variance %</t>
  </si>
  <si>
    <t xml:space="preserve">ARM-48BN</t>
  </si>
  <si>
    <t xml:space="preserve">Armouring</t>
  </si>
  <si>
    <t xml:space="preserve">BNR-L001</t>
  </si>
  <si>
    <t xml:space="preserve">Bunching</t>
  </si>
  <si>
    <t xml:space="preserve">BNR-L002</t>
  </si>
  <si>
    <t xml:space="preserve">BNR-L004</t>
  </si>
  <si>
    <t xml:space="preserve">BNR-N001</t>
  </si>
  <si>
    <t xml:space="preserve">BNR-N007</t>
  </si>
  <si>
    <t xml:space="preserve">BNRS1600</t>
  </si>
  <si>
    <t xml:space="preserve">CLR-PS02</t>
  </si>
  <si>
    <t xml:space="preserve">Coiler</t>
  </si>
  <si>
    <t xml:space="preserve">CRW-MP01</t>
  </si>
  <si>
    <t xml:space="preserve">Crosswinding</t>
  </si>
  <si>
    <t xml:space="preserve">CRW-MP02</t>
  </si>
  <si>
    <t xml:space="preserve">DT-2000P</t>
  </si>
  <si>
    <t xml:space="preserve">Drum twister / laying up</t>
  </si>
  <si>
    <t xml:space="preserve">DT-3000P</t>
  </si>
  <si>
    <t xml:space="preserve">DT-3000P1</t>
  </si>
  <si>
    <t xml:space="preserve">DT-3600C</t>
  </si>
  <si>
    <t xml:space="preserve">DT3000P1</t>
  </si>
  <si>
    <t xml:space="preserve">EX-100M1</t>
  </si>
  <si>
    <t xml:space="preserve">Extrusion</t>
  </si>
  <si>
    <t xml:space="preserve">EX-100M2</t>
  </si>
  <si>
    <t xml:space="preserve">EX-120R1</t>
  </si>
  <si>
    <t xml:space="preserve">EX-150M1</t>
  </si>
  <si>
    <t xml:space="preserve">EX-150M2</t>
  </si>
  <si>
    <t xml:space="preserve">EX-150M3</t>
  </si>
  <si>
    <t xml:space="preserve">EX-60M1</t>
  </si>
  <si>
    <t xml:space="preserve">EX-90R1</t>
  </si>
  <si>
    <t xml:space="preserve">EX-CCVT1</t>
  </si>
  <si>
    <t xml:space="preserve">EX-CCVT2</t>
  </si>
  <si>
    <t xml:space="preserve">FWD-0001</t>
  </si>
  <si>
    <t xml:space="preserve">Forwarding / rewind</t>
  </si>
  <si>
    <t xml:space="preserve">RBD-TWD1</t>
  </si>
  <si>
    <t xml:space="preserve">Rod breakdown</t>
  </si>
  <si>
    <t xml:space="preserve">RBD-TWD2</t>
  </si>
  <si>
    <t xml:space="preserve">ST-2000P</t>
  </si>
  <si>
    <t xml:space="preserve">Stranding</t>
  </si>
  <si>
    <t xml:space="preserve">STR-37RS</t>
  </si>
  <si>
    <t xml:space="preserve">STR-61RS</t>
  </si>
  <si>
    <t xml:space="preserve">TAPE-01</t>
  </si>
  <si>
    <t xml:space="preserve">Taping</t>
  </si>
  <si>
    <t xml:space="preserve">TAPE-02</t>
  </si>
  <si>
    <t xml:space="preserve">VTP-A001</t>
  </si>
  <si>
    <t xml:space="preserve">Vertical taping</t>
  </si>
  <si>
    <t xml:space="preserve">PRODUCT COST MASTER</t>
  </si>
  <si>
    <t xml:space="preserve">Cost columns are formulas. Change LME on Drivers and every row reflows.</t>
  </si>
  <si>
    <t xml:space="preserve">Product_Code</t>
  </si>
  <si>
    <t xml:space="preserve">Family</t>
  </si>
  <si>
    <t xml:space="preserve">Standard</t>
  </si>
  <si>
    <t xml:space="preserve">Cores</t>
  </si>
  <si>
    <t xml:space="preserve">Core unit</t>
  </si>
  <si>
    <t xml:space="preserve">Size (mm2)</t>
  </si>
  <si>
    <t xml:space="preserve">Conductor</t>
  </si>
  <si>
    <t xml:space="preserve">Insulation</t>
  </si>
  <si>
    <t xml:space="preserve">Screen</t>
  </si>
  <si>
    <t xml:space="preserve">Armour</t>
  </si>
  <si>
    <t xml:space="preserve">Sheath</t>
  </si>
  <si>
    <t xml:space="preserve">Shape</t>
  </si>
  <si>
    <t xml:space="preserve">Voltage</t>
  </si>
  <si>
    <t xml:space="preserve">RM cost /km (A)</t>
  </si>
  <si>
    <t xml:space="preserve">Operations /km (B)</t>
  </si>
  <si>
    <t xml:space="preserve">Overheads /km (C)</t>
  </si>
  <si>
    <t xml:space="preserve">Tooling /km</t>
  </si>
  <si>
    <t xml:space="preserve">Total cost /km</t>
  </si>
  <si>
    <t xml:space="preserve">Cost /metre</t>
  </si>
  <si>
    <t xml:space="preserve">Quote /metre</t>
  </si>
  <si>
    <t xml:space="preserve">Source cost /m (orig)</t>
  </si>
  <si>
    <t xml:space="preserve">Delta</t>
  </si>
  <si>
    <t xml:space="preserve">WJC2VEC4NSL</t>
  </si>
  <si>
    <t xml:space="preserve">SC WIRE - BS EN 50525-2-31 - 16 mm2 - Cu(2) - PVC - (Yellow-green) - 450/750V</t>
  </si>
  <si>
    <t xml:space="preserve">SC WIRE</t>
  </si>
  <si>
    <t xml:space="preserve">BS EN 50525-2-31</t>
  </si>
  <si>
    <t xml:space="preserve">core</t>
  </si>
  <si>
    <t xml:space="preserve">Cu</t>
  </si>
  <si>
    <t xml:space="preserve">PVC</t>
  </si>
  <si>
    <t xml:space="preserve">450/750V</t>
  </si>
  <si>
    <t xml:space="preserve">WKC2VEC4NSL</t>
  </si>
  <si>
    <t xml:space="preserve">SC WIRE - BS EN 50525-2-31 - 25 mm2 - Cu(2) - PVC - (Yellow-green) - 450/750V</t>
  </si>
  <si>
    <t xml:space="preserve">WLC2VEC4NSL</t>
  </si>
  <si>
    <t xml:space="preserve">SC WIRE - BS EN 50525-2-31 - 35 mm2 - Cu(2) - PVC - (Yellow-green) - 450/750V</t>
  </si>
  <si>
    <t xml:space="preserve">WMC2VEC4</t>
  </si>
  <si>
    <t xml:space="preserve">SC WIRE - BS EN 50525-2-31 - 50 mm2 - Cu(2) - PVC - (Yellow-green) - 450/750V</t>
  </si>
  <si>
    <t xml:space="preserve">CC2RN19NSL</t>
  </si>
  <si>
    <t xml:space="preserve">BARE CONDUCTOR</t>
  </si>
  <si>
    <t xml:space="preserve">Round</t>
  </si>
  <si>
    <t xml:space="preserve">WOC2VEC4</t>
  </si>
  <si>
    <t xml:space="preserve">SC WIRE - BS EN 50525-2-31 - 95 mm2 - Cu(2) - PVC - (Yellow-green) - 450/750V</t>
  </si>
  <si>
    <t xml:space="preserve">WIC2VEC4NSL</t>
  </si>
  <si>
    <t xml:space="preserve">SC WIRE - BS EN 50525-2-31 - 10 mm2 - Cu(2) - PVC - (Yellow-green) - 450/750V</t>
  </si>
  <si>
    <t xml:space="preserve">IEC1XP10AATWTKNA</t>
  </si>
  <si>
    <t xml:space="preserve">INSTRU CABLE - BS EN 50288-7 - 10Pair x 1.5 mm2 - Cu(1) - XLPE (KW) - IOSCR - FRRT PVC - SWA - FRRT PVC - 500V</t>
  </si>
  <si>
    <t xml:space="preserve">INSTRU CABLE</t>
  </si>
  <si>
    <t xml:space="preserve">BS EN 50288-7</t>
  </si>
  <si>
    <t xml:space="preserve">pair</t>
  </si>
  <si>
    <t xml:space="preserve">XLPE</t>
  </si>
  <si>
    <t xml:space="preserve">IOSCR</t>
  </si>
  <si>
    <t xml:space="preserve">SWA</t>
  </si>
  <si>
    <t xml:space="preserve">FRRT PVC</t>
  </si>
  <si>
    <t xml:space="preserve">500V</t>
  </si>
  <si>
    <t xml:space="preserve">IEC1XP10AATWTKNM</t>
  </si>
  <si>
    <t xml:space="preserve">INSTRU CABLE - BS EN 50288-7 - 10Pair x 1.5 mm2 - Cu(1) - MGT - XLPE (KW) - IOSCR - FRRT PVC - SWA - FRRT PVC - 500V</t>
  </si>
  <si>
    <t xml:space="preserve">IFC1XP10AATWTKNA</t>
  </si>
  <si>
    <t xml:space="preserve">INSTRU CABLE - BS EN 50288-7 - 10Pair x 2.5 mm2 - Cu(1) - XLPE (KW) - IOSCR - FRRT PVC - SWA - FRRT PVC - 500V</t>
  </si>
  <si>
    <t xml:space="preserve">CC2RP19NSL</t>
  </si>
  <si>
    <t xml:space="preserve">C07C12F2XLLWLKNA</t>
  </si>
  <si>
    <t xml:space="preserve">CONTROL CABLE - IEC 60502-1 - 12Cx2.5 mm2 - Cu(2) - XLPE (White)-OSCR- LSOH - SWA - LSOH - Round - 1kV</t>
  </si>
  <si>
    <t xml:space="preserve">CONTROL CABLE</t>
  </si>
  <si>
    <t xml:space="preserve">IEC 60502-1</t>
  </si>
  <si>
    <t xml:space="preserve">OSCR</t>
  </si>
  <si>
    <t xml:space="preserve">LSOH</t>
  </si>
  <si>
    <t xml:space="preserve">1kV</t>
  </si>
  <si>
    <t xml:space="preserve">C07C12F2XLLWLKNB</t>
  </si>
  <si>
    <t xml:space="preserve">CONTROL CABLE - IEC 60502-1 - 12Cx2.5 mm2 - Cu(2) - MGT - XLPE (White) - OSCR - LSOH - SWA - LSOH - Round - 1kV</t>
  </si>
  <si>
    <t xml:space="preserve">P37CR1S2XLVAVKNN</t>
  </si>
  <si>
    <t xml:space="preserve">LV CABLE - IEC 60502-1 - 1Cx240 mm2 - Cu(2) - XLPE (Black) - PVC - AWA - PVC - Round - 1kV</t>
  </si>
  <si>
    <t xml:space="preserve">LV CABLE</t>
  </si>
  <si>
    <t xml:space="preserve">AWA</t>
  </si>
  <si>
    <t xml:space="preserve">P61CR1T2XLVAVKNN</t>
  </si>
  <si>
    <t xml:space="preserve">LV CABLE - IEC 60502-1 - 1Cx300 mm2 - Cu(2) - XLPE (Black) - PVC - AWA - PVC - Round - 1kV</t>
  </si>
  <si>
    <t xml:space="preserve">P61CR1U2XLVAVKNN</t>
  </si>
  <si>
    <t xml:space="preserve">LV CABLE - IEC 60502-1 - 1Cx400 mm2 - Cu(2) - XLPE (Black) - PVC - AWA - PVC - Round - 1kV</t>
  </si>
  <si>
    <t xml:space="preserve">P61CR1W2XLVAVKNN</t>
  </si>
  <si>
    <t xml:space="preserve">LV CABLE - IEC 60502-1 - 1Cx630 mm2 - Cu(2) - XLPE (Black) - PVC - AWA - PVC - Round - 1kV</t>
  </si>
  <si>
    <t xml:space="preserve">MCU1XLBJ5MVAVKNN</t>
  </si>
  <si>
    <t xml:space="preserve">MV CABLE - IEC 60502-2 - 1Cx400 mm2 - Cu - XLPE (Natural) - CTS - PVC - AWA - PVC (Black) - 30kV</t>
  </si>
  <si>
    <t xml:space="preserve">MV CABLE</t>
  </si>
  <si>
    <t xml:space="preserve">IEC 60502-2</t>
  </si>
  <si>
    <t xml:space="preserve">CTS</t>
  </si>
  <si>
    <t xml:space="preserve">30kV</t>
  </si>
  <si>
    <t xml:space="preserve">MCW1XLBJ5MVAVKNN</t>
  </si>
  <si>
    <t xml:space="preserve">MV CABLE - IEC 60502-2 - 1Cx630 mm2 - Cu - XLPE (Natural) - CTS - PVC - AWA - PVC (Black) - 30kV</t>
  </si>
  <si>
    <t xml:space="preserve">IEC1XP01NATWTKNA</t>
  </si>
  <si>
    <t xml:space="preserve">INSTRU CABLE - BS EN 50288-7 - 1Pair x 1.5 mm2 - Cu(1) - XLPE (KW) - OSCR - FRRT PVC - SWA - FRRT PVC - 500V</t>
  </si>
  <si>
    <t xml:space="preserve">IEC1XP01NATWTKNM</t>
  </si>
  <si>
    <t xml:space="preserve">INSTRU CABLE - BS EN 50288-7 - 1Pair x 1.5 mm2 - Cu(1) - MGT - XLPE (KW) - OSCR - FRRT PVC - SWA - FRRT PVC - 500V</t>
  </si>
  <si>
    <t xml:space="preserve">WPC2VEC4</t>
  </si>
  <si>
    <t xml:space="preserve">SC WIRE - BS EN 50525-2-31 - 120 mm2 - Cu(2) - PVC - (Yellow-green) - 450/750V</t>
  </si>
  <si>
    <t xml:space="preserve">MCU1XLBH5MVAVKNN</t>
  </si>
  <si>
    <t xml:space="preserve">MV CABLE - IEC 60502-2 - 1Cx400 mm2 - Cu - XLPE (Natural) - CTS - PVC - AWA - PVC (Black) - 15kV</t>
  </si>
  <si>
    <t xml:space="preserve">15kV</t>
  </si>
  <si>
    <t xml:space="preserve">MCW1XLBH5MVAVKNN</t>
  </si>
  <si>
    <t xml:space="preserve">MV CABLE - IEC 60502-2 - 1Cx630 mm2 - Cu - XLPE (Natural) - CTS - PVC - AWA - PVC (Black) - 15kV</t>
  </si>
  <si>
    <t xml:space="preserve">MCW1XLBF5MVAVKNN</t>
  </si>
  <si>
    <t xml:space="preserve">MV CABLE - IEC 60502-2 - 1Cx630 mm2 - Cu - XLPE (Natural) - CTS - PVC - AWA - PVC (Black) - 6kV</t>
  </si>
  <si>
    <t xml:space="preserve">6kV</t>
  </si>
  <si>
    <t xml:space="preserve">WFC2VEC4Y1</t>
  </si>
  <si>
    <t xml:space="preserve">SC WIRE - BS EN 50525-2-31 - 2.5 mm2 - Cu(2) - PVC - (Yellow-green) - 450/750V - Coil</t>
  </si>
  <si>
    <t xml:space="preserve">IEC1XP20AATWTKNM</t>
  </si>
  <si>
    <t xml:space="preserve">INSTRU CABLE - BS EN 50288-7 - 20Pair x 1.5 mm2 - Cu(1) - MGT - XLPE (KW) - IOSCR - FRRT PVC - SWA - FRRT PVC - 500V</t>
  </si>
  <si>
    <t xml:space="preserve">IEC1XP20AATWTKNA</t>
  </si>
  <si>
    <t xml:space="preserve">INSTRU CABLE - BS EN 50288-7 - 20Pair x 1.5 mm2 - Cu(1) - XLPE (KW) - IOSCR - FRRT PVC - SWA - FRRT PVC - 500V</t>
  </si>
  <si>
    <t xml:space="preserve">IFC1XP20AATWTKNA</t>
  </si>
  <si>
    <t xml:space="preserve">INSTRU CABLE - BS EN 50288-7 - 20Pair x 2.5 mm2 - Cu(1) - XLPE (KW) - IOSCR - FRRT PVC - SWA - FRRT PVC - 500V</t>
  </si>
  <si>
    <t xml:space="preserve">C07C24E2XLLWLKNA</t>
  </si>
  <si>
    <t xml:space="preserve">CONTROL CABLE - IEC 60502-1 - 24Cx1.5 mm2 - Cu(2) - XLPE (White)-OSCR- LSOH - SWA - LSOH - Round - 1kV</t>
  </si>
  <si>
    <t xml:space="preserve">C07C24F2XLLWLKNA</t>
  </si>
  <si>
    <t xml:space="preserve">CONTROL CABLE - IEC 60502-1 - 24Cx2.5 mm2 - Cu(2) - XLPE (White)-OSCR- LSOH - SWA - LSOH - Round - 1kV</t>
  </si>
  <si>
    <t xml:space="preserve">C07C24F2XLLWLKNB</t>
  </si>
  <si>
    <t xml:space="preserve">CONTROL CABLE - IEC 60502-1 - 24Cx2.5 mm2 - Cu(2) - MGT - XLPE (White)- OSCR - LSOH - SWA - LSOH - Round - 1kV</t>
  </si>
  <si>
    <t xml:space="preserve">C07C24E2XLLWLKNB</t>
  </si>
  <si>
    <t xml:space="preserve">CONTROL CABLE - IEC 60502-1 - 24Cx1.5 mm2 - Cu(2) - MGT - XLPE (White)- OSCR - LSOH - SWA - LSOH - Round - 1kV</t>
  </si>
  <si>
    <t xml:space="preserve">C07C02F2XLLWLKNA</t>
  </si>
  <si>
    <t xml:space="preserve">CONTROL CABLE - IEC 60502-1 - 2Cx2.5 mm2 - Cu(2) - XLPE (White)  - OSCR - LSOH - SWA - LSOH - Round - 1kV</t>
  </si>
  <si>
    <t xml:space="preserve">C07C02F2XLLWLKNB</t>
  </si>
  <si>
    <t xml:space="preserve">CONTROL CABLE - IEC 60502-1 - 2Cx2.5 mm2 - Cu(2) - MGT - XLPE (White)  - OSCR - LSOH - SWA - LSOH - Round - 1kV</t>
  </si>
  <si>
    <t xml:space="preserve">IEC1XP02AATWTKNA</t>
  </si>
  <si>
    <t xml:space="preserve">INSTRU CABLE - BS EN 50288-7 - 2Pair x 1.5 mm2 - Cu(1) - XLPE (KW) - IOSCR - FRRT PVC - SWA - FRRT PVC - 500V</t>
  </si>
  <si>
    <t xml:space="preserve">MCM3XLBF5MVWVKNN</t>
  </si>
  <si>
    <t xml:space="preserve">MV CABLE - IEC 60502-2 - 3Cx50 mm2 - Cu - XLPE (RYB) - CTS - PVC - SWA - PVC (Black) - 6kV</t>
  </si>
  <si>
    <t xml:space="preserve">P07CS3M2XLVWVKNN</t>
  </si>
  <si>
    <t xml:space="preserve">LV CABLE - IEC 60502-1 - 3Cx50 mm2 - Cu(2) - XLPE (RYB) - PVC - SWA - PVC - Sector Shaped - 1kV</t>
  </si>
  <si>
    <t xml:space="preserve">Sector</t>
  </si>
  <si>
    <t xml:space="preserve">P07CR3F2XLVWVKNN</t>
  </si>
  <si>
    <t xml:space="preserve">LV CABLE - IEC 60502-1 - 3Cx2.5 mm2 - Cu(2) - XLPE (RYB) - PVC - SWA - PVC - Round - 1kV</t>
  </si>
  <si>
    <t xml:space="preserve">P07CR3G2XLVWVKNN</t>
  </si>
  <si>
    <t xml:space="preserve">LV CABLE - IEC 60502-1 - 3Cx4 mm2 - Cu(2) - XLPE (RYB) - PVC - SWA - PVC - Round - 1kV</t>
  </si>
  <si>
    <t xml:space="preserve">C07C03E2XLLWLKNB</t>
  </si>
  <si>
    <t xml:space="preserve">CONTROL CABLE - IEC 60502-1 - 3Cx1.5 mm2 - Cu(2) - MGT - XLPE (White) - OSCR- LSOH - SWA - LSOH - Round - 1kV</t>
  </si>
  <si>
    <t xml:space="preserve">MCP3XLBH5MVWVKNN</t>
  </si>
  <si>
    <t xml:space="preserve">MV CABLE - IEC 60502-2 - 3Cx120 mm2 - Cu - XLPE (RYB) - CTS - PVC - SWA - PVC (Black) - 15kV</t>
  </si>
  <si>
    <t xml:space="preserve">MCP3XLBJ5MVWVKNN</t>
  </si>
  <si>
    <t xml:space="preserve">MV CABLE - IEC 60502-2 - 3Cx120 mm2 - Cu - XLPE (RYB) - CTS - PVC - SWA - PVC (Black) - 30kV</t>
  </si>
  <si>
    <t xml:space="preserve">MCQ3XLBH5MVWVKNN</t>
  </si>
  <si>
    <t xml:space="preserve">MV CABLE - IEC 60502-2 - 3Cx150 mm2 - Cu - XLPE (RYB) - CTS - PVC - SWA - PVC (Black) - 15kV</t>
  </si>
  <si>
    <t xml:space="preserve">MCQ3XLBJ5MVWVKNN</t>
  </si>
  <si>
    <t xml:space="preserve">MV CABLE - IEC 60502-2 - 3Cx150 mm2 - Cu - XLPE (RYB) - CTS - PVC - SWA - PVC (Black) - 30kV</t>
  </si>
  <si>
    <t xml:space="preserve">MCR3XLBH5MVWVKNN</t>
  </si>
  <si>
    <t xml:space="preserve">MV CABLE - IEC 60502-2 - 3Cx185 mm2 - Cu - XLPE (RYB) - CTS - PVC - SWA - PVC (Red) - 15kV</t>
  </si>
  <si>
    <t xml:space="preserve">MCR3XLBJ5MVWVKNN</t>
  </si>
  <si>
    <t xml:space="preserve">MV CABLE - IEC 60502-2 - 3Cx185 mm2 - Cu - XLPE (RYB) - CTS - PVC - SWA - PVC (Black) - 30kV</t>
  </si>
  <si>
    <t xml:space="preserve">MCS3XLBH5MVWVKNN</t>
  </si>
  <si>
    <t xml:space="preserve">MV CABLE - IEC 60502-2 - 3Cx240 mm2 - Cu - XLPE (RYB) - CTS - PVC - SWA - PVC (Black) - 15kV</t>
  </si>
  <si>
    <t xml:space="preserve">MCS3XLBJ5MVWVKNN</t>
  </si>
  <si>
    <t xml:space="preserve">MV CABLE - IEC 60502-2 - 3Cx240 mm2 - Cu - XLPE (RYB) - CTS - PVC - SWA - PVC (Black) - 30kV</t>
  </si>
  <si>
    <t xml:space="preserve">MCT3XLBH5MVWVKNN</t>
  </si>
  <si>
    <t xml:space="preserve">MV CABLE - IEC 60502-2 - 3Cx300 mm2 - Cu - XLPE (RYB) - CTS - PVC - SWA - PVC (Black) - 15kV</t>
  </si>
  <si>
    <t xml:space="preserve">MCT3XLBJ5MVWVKNN</t>
  </si>
  <si>
    <t xml:space="preserve">MV CABLE - IEC 60502-2 - 3Cx300 mm2 - Cu - XLPE (RYB) - CTS - PVC - SWA - PVC (Black) - 30kV</t>
  </si>
  <si>
    <t xml:space="preserve">C07C03G2XLLWLKNA</t>
  </si>
  <si>
    <t xml:space="preserve">CONTROL CABLE - IEC 60502-1 - 3Cx4 mm2 - Cu(2) - XLPE (White)  - OSCR - LSOH - SWA - LSOH - Round - 1kV</t>
  </si>
  <si>
    <t xml:space="preserve">MCM3XLBJ5MVWVKNN</t>
  </si>
  <si>
    <t xml:space="preserve">MV CABLE - IEC 60502-2 - 3Cx50 mm2 - Cu - XLPE (RYB) - CTS - PVC - SWA - PVC (Black) - 30kV</t>
  </si>
  <si>
    <t xml:space="preserve">MCN3XLBH5MVWVKNN</t>
  </si>
  <si>
    <t xml:space="preserve">MV CABLE - IEC 60502-2 - 3Cx70 mm2 - Cu - XLPE (RYB) - CTS - PVC - SWA - PVC (Black) - 15kV</t>
  </si>
  <si>
    <t xml:space="preserve">MCN3XLBJ5MVWVKNN</t>
  </si>
  <si>
    <t xml:space="preserve">MV CABLE - IEC 60502-2 - 3Cx70 mm2 - Cu - XLPE (RYB) - CTS - PVC - SWA - PVC (Black) - 30kV</t>
  </si>
  <si>
    <t xml:space="preserve">MCO3XLBH5MVWVKNN</t>
  </si>
  <si>
    <t xml:space="preserve">MV CABLE - IEC 60502-2 - 3Cx95 mm2 - Cu - XLPE (RYB) - CTS - PVC - SWA - PVC (Black) - 15kV</t>
  </si>
  <si>
    <t xml:space="preserve">P07CR3I2XLVWVKNN</t>
  </si>
  <si>
    <t xml:space="preserve">LV CABLE - IEC 60502-1 - 3Cx10 mm2 - Cu(2) - XLPE (RYB) - PVC - SWA - PVC - Round - 1kV</t>
  </si>
  <si>
    <t xml:space="preserve">MCP3XLBF5MVWVKNN</t>
  </si>
  <si>
    <t xml:space="preserve">MV CABLE - IEC 60502-2 - 3Cx120 mm2 - Cu - XLPE (RYB) - CTS - PVC - SWA - PVC (Black) - 6kV</t>
  </si>
  <si>
    <t xml:space="preserve">P19CS3P2XLVWVKNN</t>
  </si>
  <si>
    <t xml:space="preserve">LV CABLE - IEC 60502-1 - 3Cx120 mm2 - Cu(2) - XLPE (RYB) - PVC - SWA - PVC - Sector Shaped - 1kV</t>
  </si>
  <si>
    <t xml:space="preserve">P19CS3Q2XLVWVKNN</t>
  </si>
  <si>
    <t xml:space="preserve">LV CABLE - IEC 60502-1 - 3Cx150 mm2 - Cu(2) - XLPE (RYB) - PVC - SWA - PVC - Sector Shaped - 1kV</t>
  </si>
  <si>
    <t xml:space="preserve">P07CR3J2XLVWVKNN</t>
  </si>
  <si>
    <t xml:space="preserve">LV CABLE - IEC 60502-1 - 3Cx16 mm2 - Cu(2) - XLPE (RYB) - PVC - SWA - PVC - Round - 1kV</t>
  </si>
  <si>
    <t xml:space="preserve">MCR3XLBF5MVWVKNN</t>
  </si>
  <si>
    <t xml:space="preserve">MV CABLE - IEC 60502-2 - 3Cx185 mm2 - Cu - XLPE (RYB) - CTS - PVC - SWA - PVC (Black) - 6kV</t>
  </si>
  <si>
    <t xml:space="preserve">P37CS3R2XLVWVKNN</t>
  </si>
  <si>
    <t xml:space="preserve">LV CABLE - IEC 60502-1 - 3Cx185 mm2 - Cu(2) - XLPE (RYB) - PVC - SWA - PVC - Sector Shaped - 1kV</t>
  </si>
  <si>
    <t xml:space="preserve">MCS3XLBF5MVWVKNN</t>
  </si>
  <si>
    <t xml:space="preserve">MV CABLE - IEC 60502-2 - 3Cx240 mm2 - Cu - XLPE (RYB) - CTS - PVC - SWA - PVC (Black) - 6kV</t>
  </si>
  <si>
    <t xml:space="preserve">P37CS3S2XLVWVKNN</t>
  </si>
  <si>
    <t xml:space="preserve">LV CABLE - IEC 60502-1 - 3Cx240 mm2 - Cu(2) - XLPE (RYB) - PVC - SWA - PVC - Sector Shaped - 1kV</t>
  </si>
  <si>
    <t xml:space="preserve">P07CS3K2XLVWVKNN</t>
  </si>
  <si>
    <t xml:space="preserve">LV CABLE - IEC 60502-1 - 3Cx25 mm2 - Cu(2) - XLPE (RYB) - PVC - SWA - PVC - Sector Shaped - 1kV</t>
  </si>
  <si>
    <t xml:space="preserve">MCT3XLBF5MVWVKNN</t>
  </si>
  <si>
    <t xml:space="preserve">MV CABLE - IEC 60502-2 - 3Cx300 mm2 - Cu - XLPE (RYB) - CTS - PVC - SWA - PVC (Black) - 6kV</t>
  </si>
  <si>
    <t xml:space="preserve">P61CS3T2XLVWVKNN</t>
  </si>
  <si>
    <t xml:space="preserve">LV CABLE - IEC 60502-1 - 3Cx300 mm2 - Cu(2) - XLPE (RYB) - PVC - SWA - PVC - Sector Shaped - 1kV</t>
  </si>
  <si>
    <t xml:space="preserve">MCL3XLBF5MVWVKNN</t>
  </si>
  <si>
    <t xml:space="preserve">MV CABLE - IEC 60502-2 - 3Cx35 mm2 - Cu - XLPE (RYB) - CTS - PVC - SWA - PVC (Black) - 6kV</t>
  </si>
  <si>
    <t xml:space="preserve">P07CS3L2XLVWVKNN</t>
  </si>
  <si>
    <t xml:space="preserve">LV CABLE - IEC 60502-1 - 3Cx35 mm2 - Cu(2) - XLPE (RYB) - PVC - SWA - PVC - Sector Shaped - 1kV</t>
  </si>
  <si>
    <t xml:space="preserve">MCM3XLBH5MVWVKNN</t>
  </si>
  <si>
    <t xml:space="preserve">MV CABLE - IEC 60502-2 - 3Cx50 mm2 - Cu - XLPE (RYB) - CTS - PVC - SWA - PVC (Black) - 15kV</t>
  </si>
  <si>
    <t xml:space="preserve">P07CR3H2XLVWVKNN</t>
  </si>
  <si>
    <t xml:space="preserve">LV CABLE - IEC 60502-1 - 3Cx6 mm2 - Cu(2) - XLPE (RYB) - PVC - SWA - PVC - Round - 1kV</t>
  </si>
  <si>
    <t xml:space="preserve">P19CS3N2XLVWVKNN</t>
  </si>
  <si>
    <t xml:space="preserve">LV CABLE - IEC 60502-1 - 3Cx70 mm2 - Cu(2) - XLPE (RYB) - PVC - SWA - PVC - Sector Shaped - 1kV</t>
  </si>
  <si>
    <t xml:space="preserve">MCN3XLBF5MVWVKNN</t>
  </si>
  <si>
    <t xml:space="preserve">MV CABLE - IEC 60502-2 - 3Cx70 mm2 - Cu - XLPE (RYB) - CTS - PVC - SWA - PVC (Black) - 6kV</t>
  </si>
  <si>
    <t xml:space="preserve">MCO3XLBJ5MVWVKNN</t>
  </si>
  <si>
    <t xml:space="preserve">MV CABLE - IEC 60502-2 - 3Cx95 mm2 - Cu - XLPE (RYB) - CTS - PVC - SWA - PVC (Black) - 30kV</t>
  </si>
  <si>
    <t xml:space="preserve">MCO3XLBF5MVWVKNN</t>
  </si>
  <si>
    <t xml:space="preserve">MV CABLE - IEC 60502-2 - 3Cx95 mm2 - Cu - XLPE (RYB) - CTS - PVC - SWA - PVC (Black) - 6kV</t>
  </si>
  <si>
    <t xml:space="preserve">P19CS3O2XLVWVKNN</t>
  </si>
  <si>
    <t xml:space="preserve">LV CABLE - IEC 60502-1 - 3Cx95 mm2 - Cu(2) - XLPE (RYB) - PVC - SWA - PVC - Sector Shaped - 1kV</t>
  </si>
  <si>
    <t xml:space="preserve">P07CR4F2XLVWVKNN</t>
  </si>
  <si>
    <t xml:space="preserve">LV CABLE - IEC 60502-1 - 4Cx2.5 mm2 - Cu(2) - XLPE (RYBK) - PVC - SWA - PVC - Round - 1kV</t>
  </si>
  <si>
    <t xml:space="preserve">P07CR4G2XLVWVKNN</t>
  </si>
  <si>
    <t xml:space="preserve">LV CABLE - IEC 60502-1 - 4Cx4 mm2 - Cu(2) - XLPE (RYBK) - PVC - SWA - PVC - Round - 1kV</t>
  </si>
  <si>
    <t xml:space="preserve">C07C48E2XLLWLKNB</t>
  </si>
  <si>
    <t xml:space="preserve">CONTROL CABLE - IEC 60502-1 - 48Cx1.5 mm2 - Cu(2) - MGT - XLPE (White)- OSCR - LSOH - SWA - LSOH - Round - 1kV</t>
  </si>
  <si>
    <t xml:space="preserve">C07C48F2XLLWLKNB</t>
  </si>
  <si>
    <t xml:space="preserve">CONTROL CABLE - IEC 60502-1 - 48Cx2.5 mm2 - Cu(2) - MGT - XLPE (White)- OSCR - LSOH - SWA - LSOH - Round - 1kV</t>
  </si>
  <si>
    <t xml:space="preserve">C07C48F2XLLWLKNA</t>
  </si>
  <si>
    <t xml:space="preserve">CONTROL CABLE - IEC 60502-1 - 48Cx2.5 mm2 - Cu(2) - XLPE (White)-OSCR- LSOH - SWA - LSOH - Round - 1kV</t>
  </si>
  <si>
    <t xml:space="preserve">P07CR4I2XLVWVKNN</t>
  </si>
  <si>
    <t xml:space="preserve">LV CABLE - IEC 60502-1 - 4Cx10 mm2 - Cu(2) - XLPE (RYBK) - PVC - SWA - PVC - Round - 1kV</t>
  </si>
  <si>
    <t xml:space="preserve">P19CS4Q2XLVWVKNN</t>
  </si>
  <si>
    <t xml:space="preserve">LV CABLE - IEC 60502-1 - 4Cx150 mm2 - Cu(2) - XLPE (RYBK) - PVC - SWA - PVC - Sector Shaped - 1kV</t>
  </si>
  <si>
    <t xml:space="preserve">P07CR4J2XLVWVKNN</t>
  </si>
  <si>
    <t xml:space="preserve">LV CABLE - IEC 60502-1 - 4Cx16 mm2 - Cu(2) - XLPE (RYBK) - PVC - SWA - PVC - Round - 1kV</t>
  </si>
  <si>
    <t xml:space="preserve">P37CS4R2XLVWVKNN</t>
  </si>
  <si>
    <t xml:space="preserve">LV CABLE - IEC 60502-1 - 4Cx185 mm2 - Cu(2) - XLPE (RYBK) - PVC - SWA - PVC - Sector Shaped - 1kV</t>
  </si>
  <si>
    <t xml:space="preserve">P37CS4S2XLVWVKNN</t>
  </si>
  <si>
    <t xml:space="preserve">LV CABLE - IEC 60502-1 - 4Cx240 mm2 - Cu(2) - XLPE (RYBK) - PVC - SWA - PVC - Sector Shaped - 1kV</t>
  </si>
  <si>
    <t xml:space="preserve">P07CS4K2XLVWVKNN</t>
  </si>
  <si>
    <t xml:space="preserve">LV CABLE - IEC 60502-1 - 4Cx25 mm2 - Cu(2) - XLPE (RYBK) - PVC - SWA - PVC - Sector Shaped - 1kV</t>
  </si>
  <si>
    <t xml:space="preserve">P07CS4L2XLVWVKNN</t>
  </si>
  <si>
    <t xml:space="preserve">LV CABLE - IEC 60502-1 - 4Cx35 mm2 - Cu(2) - XLPE (RYBK) - PVC - SWA - PVC - Sector Shaped - 1kV</t>
  </si>
  <si>
    <t xml:space="preserve">P07CS4M2XLVWVKNN</t>
  </si>
  <si>
    <t xml:space="preserve">LV CABLE - IEC 60502-1 - 4Cx50 mm2 - Cu(2) - XLPE (RYBK) - PVC - SWA - PVC - Sector Shaped - 1kV</t>
  </si>
  <si>
    <t xml:space="preserve">P07CR4H2XLVWVKNN</t>
  </si>
  <si>
    <t xml:space="preserve">LV CABLE - IEC 60502-1 - 4Cx6 mm2 - Cu(2) - XLPE (RYBK) - PVC - SWA - PVC - Round - 1kV</t>
  </si>
  <si>
    <t xml:space="preserve">P19CS4O2XLVWVKNN</t>
  </si>
  <si>
    <t xml:space="preserve">LV CABLE - IEC 60502-1 - 4Cx95 mm2 - Cu(2) - XLPE (RYBK) - PVC - SWA - PVC - Sector Shaped - 1kV</t>
  </si>
  <si>
    <t xml:space="preserve">IEC1XP05AATWTKNA</t>
  </si>
  <si>
    <t xml:space="preserve">INSTRU CABLE - BS EN 50288-7 - 5Pair x 1.5 mm2 - Cu(1) - XLPE (KW) - IOSCR - FRRT PVC - SWA - FRRT PVC - 500V</t>
  </si>
  <si>
    <t xml:space="preserve">IEC1XP05AATWTKNM</t>
  </si>
  <si>
    <t xml:space="preserve">INSTRU CABLE - BS EN 50288-7 - 5Pair x 1.5 mm2 - Cu(1) - MGT - XLPE (KW) - IOSCR - FRRT PVC - SWA - FRRT PVC - 500V</t>
  </si>
  <si>
    <t xml:space="preserve">WHC2VEC4Y1</t>
  </si>
  <si>
    <t xml:space="preserve">SC WIRE - BS EN 50525-2-31 - 6 mm2 - Cu(2) - PVC - (Yellow-green) - 450/750V - Coil</t>
  </si>
  <si>
    <t xml:space="preserve">C07C07F2XLVWVKNN</t>
  </si>
  <si>
    <t xml:space="preserve">CONTROL CABLE - IEC 60502-1 - 7Cx2.5 mm2 - Cu(2) - XLPE (White)  - PVC - SWA - PVC - Round - 1kV</t>
  </si>
  <si>
    <t xml:space="preserve">CC2RO19NSL</t>
  </si>
  <si>
    <t xml:space="preserve">TOTALS / CHECK</t>
  </si>
  <si>
    <t xml:space="preserve">Sum of absolute deltas vs the original sheets - should be ~0.</t>
  </si>
  <si>
    <t xml:space="preserve">BILL OF MATERIALS</t>
  </si>
  <si>
    <t xml:space="preserve">Quantity per km is engineering data. Rate is looked up from RM_Rates.</t>
  </si>
  <si>
    <t xml:space="preserve">Sheet</t>
  </si>
  <si>
    <t xml:space="preserve">Qty /km</t>
  </si>
  <si>
    <t xml:space="preserve">Scrap qty</t>
  </si>
  <si>
    <t xml:space="preserve">Total qty</t>
  </si>
  <si>
    <t xml:space="preserve">Rate (OMR)</t>
  </si>
  <si>
    <t xml:space="preserve">Value (OMR)</t>
  </si>
  <si>
    <t xml:space="preserve">1 x 16 Cost Sheet - WJC2VEC4NSL</t>
  </si>
  <si>
    <t xml:space="preserve">1 x 25 Cost Sheet - WKC2VEC4NSL</t>
  </si>
  <si>
    <t xml:space="preserve">1 x 35Cost Sheet - WLC2VEC4NSL</t>
  </si>
  <si>
    <t xml:space="preserve">1 x 50Cost Sheet - WMC2VEC4</t>
  </si>
  <si>
    <t xml:space="preserve">1 x 70 Cost Sheet - CC2RN19NSL</t>
  </si>
  <si>
    <t xml:space="preserve">1 x 95Cost Sheet - WOC2VEC4</t>
  </si>
  <si>
    <t xml:space="preserve">10- WIC2VEC4NSL</t>
  </si>
  <si>
    <t xml:space="preserve">10p-1.5 - IEC1XP10AATWTKNA</t>
  </si>
  <si>
    <t xml:space="preserve">10px1.5 - IEC1XP10AATWTKNM</t>
  </si>
  <si>
    <t xml:space="preserve">10px2.5 - IFC1XP10AATWTKNA</t>
  </si>
  <si>
    <t xml:space="preserve">120 sq.mmCost Sheet - CC2RP19NSL</t>
  </si>
  <si>
    <t xml:space="preserve">12cx2.5- C07C12F2XLLWLKNA</t>
  </si>
  <si>
    <t xml:space="preserve">12cx2.5- C07C12F2XLLWLKNB</t>
  </si>
  <si>
    <t xml:space="preserve">1CX240 - P37CR1S2XLVAVKNN</t>
  </si>
  <si>
    <t xml:space="preserve">1CX300- P61CR1T2XLVAVKNN</t>
  </si>
  <si>
    <t xml:space="preserve">1CX400- P61CR1U2XLVAVKNN</t>
  </si>
  <si>
    <t xml:space="preserve">1CX630 - P61CR1W2XLVAVKNN</t>
  </si>
  <si>
    <t xml:space="preserve">1cx400- MCU1XLBJ5MVAVKNN</t>
  </si>
  <si>
    <t xml:space="preserve">1cx630 - MCW1XLBJ5MVAVKNN</t>
  </si>
  <si>
    <t xml:space="preserve">1px1.5 - IEC1XP01NATWTKNA</t>
  </si>
  <si>
    <t xml:space="preserve">1px1.5 - IEC1XP01NATWTKNM</t>
  </si>
  <si>
    <t xml:space="preserve">1x 120 Cost Sheet - WPC2VEC4</t>
  </si>
  <si>
    <t xml:space="preserve">1x 400 mvSheet - MCU1XLBH5MVAVKNN</t>
  </si>
  <si>
    <t xml:space="preserve">1x630Cost Sheet - MCW1XLBH5MVAVKNN</t>
  </si>
  <si>
    <t xml:space="preserve">1x630Cost Sheet - P37CS4R2XCVWVKNN</t>
  </si>
  <si>
    <t xml:space="preserve">2.5- WFC2VEC4Y1</t>
  </si>
  <si>
    <t xml:space="preserve">20px1.5 - IEC1XP20AATWTKNM</t>
  </si>
  <si>
    <t xml:space="preserve">20px1.5- IEC1XP20AATWTKNA</t>
  </si>
  <si>
    <t xml:space="preserve">20px2.5- IFC1XP20AATWTKNA</t>
  </si>
  <si>
    <t xml:space="preserve">24cx1.5- C07C24E2XLLWLKNA</t>
  </si>
  <si>
    <t xml:space="preserve">24cx2.5 - C07C24F2XLLWLKNA</t>
  </si>
  <si>
    <t xml:space="preserve">24cx2.5- C07C24F2XLLWLKNB</t>
  </si>
  <si>
    <t xml:space="preserve">24x1.5 - C07C24E2XLLWLKNB</t>
  </si>
  <si>
    <t xml:space="preserve">2cx2.5 - C07C02F2XLLWLKNA</t>
  </si>
  <si>
    <t xml:space="preserve">2cx2.5 - C07C02F2XLLWLKNB</t>
  </si>
  <si>
    <t xml:space="preserve">2px1.5- IEC1XP02AATWTKNA</t>
  </si>
  <si>
    <t xml:space="preserve">3 x 50 mvCost Sheet - MCM3XLBF5MVWVKNN</t>
  </si>
  <si>
    <t xml:space="preserve">3 x50 - P07CS3M2XLVWVKNN</t>
  </si>
  <si>
    <t xml:space="preserve">3CX2.5- P07CR3F2XLVWVKNN</t>
  </si>
  <si>
    <t xml:space="preserve">3CX4- P07CR3G2XLVWVKNN</t>
  </si>
  <si>
    <t xml:space="preserve">3cx1.5- C07C03E2XLLWLKNB</t>
  </si>
  <si>
    <t xml:space="preserve">3cx120- MCP3XLBH5MVWVKNN</t>
  </si>
  <si>
    <t xml:space="preserve">3cx120- MCP3XLBJ5MVWVKNN</t>
  </si>
  <si>
    <t xml:space="preserve">3cx150 - MCQ3XLBH5MVWVKNN</t>
  </si>
  <si>
    <t xml:space="preserve">3cx150- MCQ3XLBJ5MVWVKNN</t>
  </si>
  <si>
    <t xml:space="preserve">3cx185 - MCR3XLBH5MVWVKNN</t>
  </si>
  <si>
    <t xml:space="preserve">3cx185 - MCR3XLBJ5MVWVKNN</t>
  </si>
  <si>
    <t xml:space="preserve">3cx240- MCS3XLBH5MVWVKNN</t>
  </si>
  <si>
    <t xml:space="preserve">3cx240- MCS3XLBJ5MVWVKNN</t>
  </si>
  <si>
    <t xml:space="preserve">3cx300- MCT3XLBH5MVWVKNN</t>
  </si>
  <si>
    <t xml:space="preserve">3cx300- MCT3XLBJ5MVWVKNN</t>
  </si>
  <si>
    <t xml:space="preserve">3cx4 - C07C03G2XLLWLKNA</t>
  </si>
  <si>
    <t xml:space="preserve">3cx50- MCM3XLBJ5MVWVKNN</t>
  </si>
  <si>
    <t xml:space="preserve">3cx70- MCN3XLBH5MVWVKNN</t>
  </si>
  <si>
    <t xml:space="preserve">3cx70- MCN3XLBJ5MVWVKNN</t>
  </si>
  <si>
    <t xml:space="preserve">3cx95- MCO3XLBH5MVWVKNN</t>
  </si>
  <si>
    <t xml:space="preserve">3x10- P07CR3I2XLVWVKNN</t>
  </si>
  <si>
    <t xml:space="preserve">3x120 Cost Sheet - MCP3XLBF5MVWVKNN</t>
  </si>
  <si>
    <t xml:space="preserve">3x120 Cost Sheet - P19CS3P2XLVWVKNN</t>
  </si>
  <si>
    <t xml:space="preserve">3x150 Cost Sheet - P19CS3Q2XLVWVKNN</t>
  </si>
  <si>
    <t xml:space="preserve">3x16 P07CR3J2XLVWVKNN</t>
  </si>
  <si>
    <t xml:space="preserve">3x185 Cost Sheet - MCR3XLBF5MVWVKNN</t>
  </si>
  <si>
    <t xml:space="preserve">3x185Cost Sheet - P37CS3R2XLVWVKNN</t>
  </si>
  <si>
    <t xml:space="preserve">3x240 Sheet - MCS3XLBF5MVWVKNN</t>
  </si>
  <si>
    <t xml:space="preserve">3x240Cost Sheet - P37CS3S2XLVWVKNN</t>
  </si>
  <si>
    <t xml:space="preserve">3x25 - P07CS3K2XLVWVKNN</t>
  </si>
  <si>
    <t xml:space="preserve">3x300Cost Sheet - MCT3XLBF5MVWVKNN</t>
  </si>
  <si>
    <t xml:space="preserve">3x300Cost Sheet - P61CS3T2XLVWVKNN</t>
  </si>
  <si>
    <t xml:space="preserve">3x35 Cost Sheet - MCL3XLBF5MVWVKNN</t>
  </si>
  <si>
    <t xml:space="preserve">3x35 P07CS3L2XLVWVKNN</t>
  </si>
  <si>
    <t xml:space="preserve">3x50 15kvCost Sheet - MCM3XLBH5MVWVKNN</t>
  </si>
  <si>
    <t xml:space="preserve">3x50Cost Sheet - P07CS3M2XLVWVKNN</t>
  </si>
  <si>
    <t xml:space="preserve">3x6 - P07CR3H2XLVWVKNN</t>
  </si>
  <si>
    <t xml:space="preserve">3x70 15kvCost Sheet - MCN3XLBH5MVWVKNN</t>
  </si>
  <si>
    <t xml:space="preserve">3x70 Cost Sheet - P19CS3N2XLVWVKNN</t>
  </si>
  <si>
    <t xml:space="preserve">3x70mvCost Sheet - MCN3XLBF5MVWVKNN</t>
  </si>
  <si>
    <t xml:space="preserve">3x95 - MCO3XLBJ5MVWVKNN</t>
  </si>
  <si>
    <t xml:space="preserve">3x95 Cost Sheet - MCO3XLBF5MVWVKNN</t>
  </si>
  <si>
    <t xml:space="preserve">3x95 Cost Sheet - P19CS3O2XLVWVKNN</t>
  </si>
  <si>
    <t xml:space="preserve">4 x 2.5Cost Sheet - P07CR4F2XLVWVKNN</t>
  </si>
  <si>
    <t xml:space="preserve">4 x 4s Cost Sheet - P07CR4G2XLVWVKNN</t>
  </si>
  <si>
    <t xml:space="preserve">48CX1.5 - C07C48E2XLLWLKNB</t>
  </si>
  <si>
    <t xml:space="preserve">48CX2.5 - C07C48F2XLLWLKNB</t>
  </si>
  <si>
    <t xml:space="preserve">48cx2.5- C07C48F2XLLWLKNA</t>
  </si>
  <si>
    <t xml:space="preserve">4x10Cost Sheet - P07CR4I2XLVWVKNN</t>
  </si>
  <si>
    <t xml:space="preserve">4x150 Cost Sheet - P19CS4Q2XLVWVKNN</t>
  </si>
  <si>
    <t xml:space="preserve">4x16Cost Sheet - P07CR4J2XLVWVKNN</t>
  </si>
  <si>
    <t xml:space="preserve">4x185Cost Sheet - P37CS4R2XLVWVKNN</t>
  </si>
  <si>
    <t xml:space="preserve">4x240 Cost Sheet - P37CS4S2XLVWVKNN</t>
  </si>
  <si>
    <t xml:space="preserve">4x25Cost Sheet - P07CS4K2XLVWVKNN</t>
  </si>
  <si>
    <t xml:space="preserve">4x35Cost Sheet - P07CS4L2XLVWVKNN</t>
  </si>
  <si>
    <t xml:space="preserve">4x50Cost Sheet - P07CS4M2XLVWVKNN</t>
  </si>
  <si>
    <t xml:space="preserve">4x6 Cost Sheet - P07CR4H2XLVWVKNN</t>
  </si>
  <si>
    <t xml:space="preserve">4x95Cost Sheet - P19CS4O2XLVWVKNN</t>
  </si>
  <si>
    <t xml:space="preserve">5px1.5 - IEC1XP05AATWTKNA</t>
  </si>
  <si>
    <t xml:space="preserve">5px1.5 - IEC1XP05AATWTKNM</t>
  </si>
  <si>
    <t xml:space="preserve">6- WHC2VEC4Y1</t>
  </si>
  <si>
    <t xml:space="preserve">7x2.5 Cost Sheet - C07C07F2XLVWVKNN</t>
  </si>
  <si>
    <t xml:space="preserve">95 sq.mm Cost Sheet - CC2RO19NSL</t>
  </si>
  <si>
    <t xml:space="preserve">MANUFACTURING OPERATIONS</t>
  </si>
  <si>
    <t xml:space="preserve">Cost = machine hours x cores x machine rate.</t>
  </si>
  <si>
    <t xml:space="preserve">Machine hours</t>
  </si>
  <si>
    <t xml:space="preserve">Cost (OMR/km)</t>
  </si>
  <si>
    <t xml:space="preserve">OVERHEAD ALLOCATION</t>
  </si>
  <si>
    <t xml:space="preserve">Stored per product as entered in the source sheets - not formula-derived.</t>
  </si>
  <si>
    <t xml:space="preserve">Overhead line</t>
  </si>
  <si>
    <t xml:space="preserve">Value (OMR/km)</t>
  </si>
  <si>
    <t xml:space="preserve">Admin-Salaries</t>
  </si>
  <si>
    <t xml:space="preserve">Admin Overheads</t>
  </si>
  <si>
    <t xml:space="preserve">Marketing Salary</t>
  </si>
  <si>
    <t xml:space="preserve">Mktg Expenses</t>
  </si>
  <si>
    <t xml:space="preserve">Interest-Fixed Assets</t>
  </si>
  <si>
    <t xml:space="preserve">Interest-Working Capital</t>
  </si>
  <si>
    <t xml:space="preserve">Common Wages Prodn</t>
  </si>
  <si>
    <t xml:space="preserve">Cost of tooling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</si>
</sst>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00"/>
    <numFmt numFmtId="166" formatCode="0.0%"/>
    <numFmt numFmtId="167" formatCode="0.000"/>
    <numFmt numFmtId="168" formatCode="#,##0.00"/>
    <numFmt numFmtId="169" formatCode="#,##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E8F0F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8F0F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/>
      <c r="B5" s="4"/>
    </row>
    <row r="6" customFormat="false" ht="15" hidden="false" customHeight="false" outlineLevel="0" collapsed="false">
      <c r="A6" s="3" t="s">
        <v>4</v>
      </c>
      <c r="B6" s="4" t="s">
        <v>5</v>
      </c>
    </row>
    <row r="7" customFormat="false" ht="15" hidden="false" customHeight="false" outlineLevel="0" collapsed="false">
      <c r="A7" s="3" t="s">
        <v>6</v>
      </c>
      <c r="B7" s="4" t="s">
        <v>7</v>
      </c>
    </row>
    <row r="8" customFormat="false" ht="15" hidden="false" customHeight="false" outlineLevel="0" collapsed="false">
      <c r="A8" s="3" t="s">
        <v>8</v>
      </c>
      <c r="B8" s="4" t="s">
        <v>9</v>
      </c>
    </row>
    <row r="9" customFormat="false" ht="15" hidden="false" customHeight="false" outlineLevel="0" collapsed="false">
      <c r="A9" s="3" t="s">
        <v>10</v>
      </c>
      <c r="B9" s="4" t="s">
        <v>11</v>
      </c>
    </row>
    <row r="10" customFormat="false" ht="15" hidden="false" customHeight="false" outlineLevel="0" collapsed="false">
      <c r="A10" s="3" t="s">
        <v>12</v>
      </c>
      <c r="B10" s="4" t="s">
        <v>13</v>
      </c>
    </row>
    <row r="11" customFormat="false" ht="15" hidden="false" customHeight="false" outlineLevel="0" collapsed="false">
      <c r="A11" s="3" t="s">
        <v>14</v>
      </c>
      <c r="B11" s="4" t="s">
        <v>15</v>
      </c>
    </row>
    <row r="12" customFormat="false" ht="15" hidden="false" customHeight="false" outlineLevel="0" collapsed="false">
      <c r="A12" s="3" t="s">
        <v>16</v>
      </c>
      <c r="B12" s="4" t="s">
        <v>17</v>
      </c>
    </row>
    <row r="13" customFormat="false" ht="15" hidden="false" customHeight="false" outlineLevel="0" collapsed="false">
      <c r="A13" s="5"/>
      <c r="B13" s="4"/>
    </row>
    <row r="14" customFormat="false" ht="23.85" hidden="false" customHeight="false" outlineLevel="0" collapsed="false">
      <c r="A14" s="3" t="s">
        <v>18</v>
      </c>
      <c r="B14" s="4" t="s">
        <v>19</v>
      </c>
    </row>
    <row r="15" customFormat="false" ht="15" hidden="false" customHeight="false" outlineLevel="0" collapsed="false">
      <c r="A15" s="5"/>
      <c r="B15" s="4"/>
    </row>
    <row r="16" customFormat="false" ht="23.85" hidden="false" customHeight="false" outlineLevel="0" collapsed="false">
      <c r="A16" s="3" t="s">
        <v>20</v>
      </c>
      <c r="B16" s="6" t="s">
        <v>21</v>
      </c>
    </row>
    <row r="17" customFormat="false" ht="15" hidden="false" customHeight="false" outlineLevel="0" collapsed="false">
      <c r="A17" s="3" t="s">
        <v>22</v>
      </c>
      <c r="B17" s="6" t="s">
        <v>23</v>
      </c>
    </row>
    <row r="18" customFormat="false" ht="35.05" hidden="false" customHeight="false" outlineLevel="0" collapsed="false">
      <c r="A18" s="3" t="s">
        <v>24</v>
      </c>
      <c r="B18" s="6" t="s">
        <v>25</v>
      </c>
    </row>
    <row r="19" customFormat="false" ht="15" hidden="false" customHeight="false" outlineLevel="0" collapsed="false">
      <c r="A19" s="3" t="s">
        <v>26</v>
      </c>
      <c r="B19" s="6" t="s">
        <v>27</v>
      </c>
    </row>
    <row r="20" customFormat="false" ht="23.85" hidden="false" customHeight="false" outlineLevel="0" collapsed="false">
      <c r="A20" s="3" t="s">
        <v>28</v>
      </c>
      <c r="B20" s="6" t="s">
        <v>29</v>
      </c>
    </row>
    <row r="21" customFormat="false" ht="15" hidden="false" customHeight="false" outlineLevel="0" collapsed="false">
      <c r="A21" s="5"/>
      <c r="B21" s="4"/>
    </row>
    <row r="22" customFormat="false" ht="23.85" hidden="false" customHeight="false" outlineLevel="0" collapsed="false">
      <c r="A22" s="3" t="s">
        <v>30</v>
      </c>
      <c r="B22" s="4" t="s">
        <v>31</v>
      </c>
    </row>
    <row r="23" customFormat="false" ht="15" hidden="false" customHeight="false" outlineLevel="0" collapsed="false">
      <c r="A23" s="3" t="s">
        <v>32</v>
      </c>
      <c r="B23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7" t="s">
        <v>36</v>
      </c>
      <c r="B4" s="7" t="s">
        <v>37</v>
      </c>
      <c r="C4" s="7" t="s">
        <v>38</v>
      </c>
    </row>
    <row r="5" customFormat="false" ht="15" hidden="false" customHeight="false" outlineLevel="0" collapsed="false">
      <c r="A5" s="3" t="s">
        <v>39</v>
      </c>
      <c r="B5" s="8" t="n">
        <v>4850</v>
      </c>
      <c r="C5" s="2" t="s">
        <v>40</v>
      </c>
    </row>
    <row r="6" customFormat="false" ht="15" hidden="false" customHeight="false" outlineLevel="0" collapsed="false">
      <c r="A6" s="3" t="s">
        <v>41</v>
      </c>
      <c r="B6" s="8" t="n">
        <v>0.3845</v>
      </c>
      <c r="C6" s="2" t="s">
        <v>42</v>
      </c>
    </row>
    <row r="7" customFormat="false" ht="15" hidden="false" customHeight="false" outlineLevel="0" collapsed="false">
      <c r="A7" s="3" t="s">
        <v>43</v>
      </c>
      <c r="B7" s="9" t="n">
        <v>0.15</v>
      </c>
      <c r="C7" s="2" t="s">
        <v>44</v>
      </c>
    </row>
    <row r="8" customFormat="false" ht="15" hidden="false" customHeight="false" outlineLevel="0" collapsed="false">
      <c r="A8" s="3" t="s">
        <v>45</v>
      </c>
      <c r="B8" s="10" t="s">
        <v>46</v>
      </c>
      <c r="C8" s="2" t="s">
        <v>47</v>
      </c>
    </row>
    <row r="10" customFormat="false" ht="15" hidden="false" customHeight="false" outlineLevel="0" collapsed="false">
      <c r="A10" s="3" t="s">
        <v>48</v>
      </c>
      <c r="B10" s="11" t="n">
        <f aca="false">B5*B6/1000</f>
        <v>1.864825</v>
      </c>
      <c r="C10" s="2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8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</row>
    <row r="4" customFormat="false" ht="23.85" hidden="false" customHeight="false" outlineLevel="0" collapsed="false">
      <c r="A4" s="7" t="s">
        <v>52</v>
      </c>
      <c r="B4" s="7" t="s">
        <v>53</v>
      </c>
      <c r="C4" s="7" t="s">
        <v>54</v>
      </c>
      <c r="D4" s="7" t="s">
        <v>55</v>
      </c>
      <c r="E4" s="7" t="s">
        <v>56</v>
      </c>
      <c r="F4" s="7" t="s">
        <v>57</v>
      </c>
    </row>
    <row r="5" customFormat="false" ht="15" hidden="false" customHeight="false" outlineLevel="0" collapsed="false">
      <c r="A5" s="5" t="s">
        <v>58</v>
      </c>
      <c r="B5" s="5" t="s">
        <v>59</v>
      </c>
      <c r="C5" s="5" t="s">
        <v>60</v>
      </c>
      <c r="D5" s="5" t="s">
        <v>61</v>
      </c>
      <c r="F5" s="12" t="n">
        <v>1.83595955371857</v>
      </c>
    </row>
    <row r="6" customFormat="false" ht="15" hidden="false" customHeight="false" outlineLevel="0" collapsed="false">
      <c r="A6" s="5" t="s">
        <v>62</v>
      </c>
      <c r="B6" s="5" t="s">
        <v>63</v>
      </c>
      <c r="C6" s="5" t="s">
        <v>60</v>
      </c>
      <c r="D6" s="5" t="s">
        <v>61</v>
      </c>
      <c r="F6" s="12" t="n">
        <v>1.83595955371857</v>
      </c>
    </row>
    <row r="7" customFormat="false" ht="15" hidden="false" customHeight="false" outlineLevel="0" collapsed="false">
      <c r="A7" s="5" t="s">
        <v>64</v>
      </c>
      <c r="B7" s="5" t="s">
        <v>65</v>
      </c>
      <c r="C7" s="5" t="s">
        <v>60</v>
      </c>
      <c r="D7" s="5" t="s">
        <v>61</v>
      </c>
      <c r="F7" s="12" t="n">
        <v>1.83595955371857</v>
      </c>
    </row>
    <row r="8" customFormat="false" ht="15" hidden="false" customHeight="false" outlineLevel="0" collapsed="false">
      <c r="A8" s="5" t="s">
        <v>66</v>
      </c>
      <c r="B8" s="5" t="s">
        <v>67</v>
      </c>
      <c r="C8" s="5" t="s">
        <v>60</v>
      </c>
      <c r="D8" s="5" t="s">
        <v>61</v>
      </c>
      <c r="F8" s="12" t="n">
        <v>1.83595955371857</v>
      </c>
    </row>
    <row r="9" customFormat="false" ht="15" hidden="false" customHeight="false" outlineLevel="0" collapsed="false">
      <c r="A9" s="5" t="s">
        <v>68</v>
      </c>
      <c r="B9" s="5" t="s">
        <v>69</v>
      </c>
      <c r="C9" s="5" t="s">
        <v>60</v>
      </c>
      <c r="D9" s="5" t="s">
        <v>61</v>
      </c>
      <c r="F9" s="12" t="n">
        <v>1.83595955371857</v>
      </c>
    </row>
    <row r="10" customFormat="false" ht="15" hidden="false" customHeight="false" outlineLevel="0" collapsed="false">
      <c r="A10" s="5" t="s">
        <v>70</v>
      </c>
      <c r="B10" s="5" t="s">
        <v>71</v>
      </c>
      <c r="C10" s="5" t="s">
        <v>72</v>
      </c>
      <c r="D10" s="5" t="s">
        <v>61</v>
      </c>
      <c r="F10" s="12" t="n">
        <v>2.86922955513001</v>
      </c>
    </row>
    <row r="11" customFormat="false" ht="15" hidden="false" customHeight="false" outlineLevel="0" collapsed="false">
      <c r="A11" s="5" t="s">
        <v>73</v>
      </c>
      <c r="B11" s="5" t="s">
        <v>74</v>
      </c>
      <c r="C11" s="5" t="s">
        <v>72</v>
      </c>
      <c r="D11" s="5" t="s">
        <v>61</v>
      </c>
      <c r="F11" s="12" t="n">
        <v>0.967333495616913</v>
      </c>
    </row>
    <row r="12" customFormat="false" ht="15" hidden="false" customHeight="false" outlineLevel="0" collapsed="false">
      <c r="A12" s="5" t="s">
        <v>75</v>
      </c>
      <c r="B12" s="5" t="s">
        <v>76</v>
      </c>
      <c r="C12" s="5" t="s">
        <v>72</v>
      </c>
      <c r="D12" s="5" t="s">
        <v>61</v>
      </c>
      <c r="F12" s="12" t="n">
        <v>0.967333495616913</v>
      </c>
    </row>
    <row r="13" customFormat="false" ht="15" hidden="false" customHeight="false" outlineLevel="0" collapsed="false">
      <c r="A13" s="5" t="s">
        <v>77</v>
      </c>
      <c r="B13" s="5" t="s">
        <v>78</v>
      </c>
      <c r="C13" s="5" t="s">
        <v>72</v>
      </c>
      <c r="D13" s="5" t="s">
        <v>61</v>
      </c>
      <c r="F13" s="12" t="n">
        <v>0.967333495616913</v>
      </c>
    </row>
    <row r="14" customFormat="false" ht="15" hidden="false" customHeight="false" outlineLevel="0" collapsed="false">
      <c r="A14" s="5" t="s">
        <v>79</v>
      </c>
      <c r="B14" s="5" t="s">
        <v>80</v>
      </c>
      <c r="C14" s="5" t="s">
        <v>72</v>
      </c>
      <c r="D14" s="5" t="s">
        <v>81</v>
      </c>
      <c r="E14" s="12" t="n">
        <v>0.115741</v>
      </c>
      <c r="F14" s="13" t="n">
        <f aca="false">Drivers!$B$10+E14</f>
        <v>1.980566</v>
      </c>
    </row>
    <row r="15" customFormat="false" ht="15" hidden="false" customHeight="false" outlineLevel="0" collapsed="false">
      <c r="A15" s="5" t="s">
        <v>82</v>
      </c>
      <c r="B15" s="5" t="s">
        <v>83</v>
      </c>
      <c r="C15" s="5" t="s">
        <v>72</v>
      </c>
      <c r="D15" s="5" t="s">
        <v>81</v>
      </c>
      <c r="E15" s="12" t="n">
        <v>0.108407</v>
      </c>
      <c r="F15" s="13" t="n">
        <f aca="false">Drivers!$B$10+E15</f>
        <v>1.973232</v>
      </c>
    </row>
    <row r="16" customFormat="false" ht="15" hidden="false" customHeight="false" outlineLevel="0" collapsed="false">
      <c r="A16" s="5" t="s">
        <v>84</v>
      </c>
      <c r="B16" s="5" t="s">
        <v>85</v>
      </c>
      <c r="C16" s="5" t="s">
        <v>72</v>
      </c>
      <c r="D16" s="5" t="s">
        <v>81</v>
      </c>
      <c r="E16" s="12" t="n">
        <v>0.125777</v>
      </c>
      <c r="F16" s="13" t="n">
        <f aca="false">Drivers!$B$10+E16</f>
        <v>1.990602</v>
      </c>
    </row>
    <row r="17" customFormat="false" ht="15" hidden="false" customHeight="false" outlineLevel="0" collapsed="false">
      <c r="A17" s="5" t="s">
        <v>86</v>
      </c>
      <c r="B17" s="5" t="s">
        <v>87</v>
      </c>
      <c r="C17" s="5" t="s">
        <v>72</v>
      </c>
      <c r="D17" s="5" t="s">
        <v>81</v>
      </c>
      <c r="E17" s="12" t="n">
        <v>0.133111</v>
      </c>
      <c r="F17" s="13" t="n">
        <f aca="false">Drivers!$B$10+E17</f>
        <v>1.997936</v>
      </c>
    </row>
    <row r="18" customFormat="false" ht="15" hidden="false" customHeight="false" outlineLevel="0" collapsed="false">
      <c r="A18" s="5" t="s">
        <v>88</v>
      </c>
      <c r="B18" s="5" t="s">
        <v>89</v>
      </c>
      <c r="C18" s="5" t="s">
        <v>72</v>
      </c>
      <c r="D18" s="5" t="s">
        <v>81</v>
      </c>
      <c r="E18" s="12" t="n">
        <v>0.138901</v>
      </c>
      <c r="F18" s="13" t="n">
        <f aca="false">Drivers!$B$10+E18</f>
        <v>2.003726</v>
      </c>
    </row>
    <row r="19" customFormat="false" ht="15" hidden="false" customHeight="false" outlineLevel="0" collapsed="false">
      <c r="A19" s="5" t="s">
        <v>90</v>
      </c>
      <c r="B19" s="5" t="s">
        <v>91</v>
      </c>
      <c r="C19" s="5" t="s">
        <v>72</v>
      </c>
      <c r="D19" s="5" t="s">
        <v>81</v>
      </c>
      <c r="E19" s="12" t="n">
        <v>0.140059</v>
      </c>
      <c r="F19" s="13" t="n">
        <f aca="false">Drivers!$B$10+E19</f>
        <v>2.004884</v>
      </c>
    </row>
    <row r="20" customFormat="false" ht="15" hidden="false" customHeight="false" outlineLevel="0" collapsed="false">
      <c r="A20" s="5" t="s">
        <v>92</v>
      </c>
      <c r="B20" s="5" t="s">
        <v>93</v>
      </c>
      <c r="C20" s="5" t="s">
        <v>72</v>
      </c>
      <c r="D20" s="5" t="s">
        <v>81</v>
      </c>
      <c r="E20" s="12" t="n">
        <v>0.116127</v>
      </c>
      <c r="F20" s="13" t="n">
        <f aca="false">Drivers!$B$10+E20</f>
        <v>1.980952</v>
      </c>
    </row>
    <row r="21" customFormat="false" ht="15" hidden="false" customHeight="false" outlineLevel="0" collapsed="false">
      <c r="A21" s="5" t="s">
        <v>94</v>
      </c>
      <c r="B21" s="5" t="s">
        <v>95</v>
      </c>
      <c r="C21" s="5" t="s">
        <v>72</v>
      </c>
      <c r="D21" s="5" t="s">
        <v>81</v>
      </c>
      <c r="E21" s="12" t="n">
        <v>0.108407</v>
      </c>
      <c r="F21" s="13" t="n">
        <f aca="false">Drivers!$B$10+E21</f>
        <v>1.973232</v>
      </c>
    </row>
    <row r="22" customFormat="false" ht="15" hidden="false" customHeight="false" outlineLevel="0" collapsed="false">
      <c r="A22" s="5" t="s">
        <v>96</v>
      </c>
      <c r="B22" s="5" t="s">
        <v>97</v>
      </c>
      <c r="C22" s="5" t="s">
        <v>72</v>
      </c>
      <c r="D22" s="5" t="s">
        <v>81</v>
      </c>
      <c r="E22" s="12" t="n">
        <v>0.106091</v>
      </c>
      <c r="F22" s="13" t="n">
        <f aca="false">Drivers!$B$10+E22</f>
        <v>1.970916</v>
      </c>
    </row>
    <row r="23" customFormat="false" ht="15" hidden="false" customHeight="false" outlineLevel="0" collapsed="false">
      <c r="A23" s="5" t="s">
        <v>98</v>
      </c>
      <c r="B23" s="5" t="s">
        <v>99</v>
      </c>
      <c r="C23" s="5" t="s">
        <v>72</v>
      </c>
      <c r="D23" s="5" t="s">
        <v>81</v>
      </c>
      <c r="E23" s="12" t="n">
        <v>0.104547</v>
      </c>
      <c r="F23" s="13" t="n">
        <f aca="false">Drivers!$B$10+E23</f>
        <v>1.969372</v>
      </c>
    </row>
    <row r="24" customFormat="false" ht="15" hidden="false" customHeight="false" outlineLevel="0" collapsed="false">
      <c r="A24" s="5" t="s">
        <v>100</v>
      </c>
      <c r="B24" s="5" t="s">
        <v>101</v>
      </c>
      <c r="C24" s="5" t="s">
        <v>72</v>
      </c>
      <c r="D24" s="5" t="s">
        <v>81</v>
      </c>
      <c r="E24" s="12" t="n">
        <v>0.103389</v>
      </c>
      <c r="F24" s="13" t="n">
        <f aca="false">Drivers!$B$10+E24</f>
        <v>1.968214</v>
      </c>
    </row>
    <row r="25" customFormat="false" ht="15" hidden="false" customHeight="false" outlineLevel="0" collapsed="false">
      <c r="A25" s="5" t="s">
        <v>102</v>
      </c>
      <c r="B25" s="5" t="s">
        <v>103</v>
      </c>
      <c r="C25" s="5" t="s">
        <v>72</v>
      </c>
      <c r="D25" s="5" t="s">
        <v>81</v>
      </c>
      <c r="E25" s="12" t="n">
        <v>0.110337</v>
      </c>
      <c r="F25" s="13" t="n">
        <f aca="false">Drivers!$B$10+E25</f>
        <v>1.975162</v>
      </c>
    </row>
    <row r="26" customFormat="false" ht="15" hidden="false" customHeight="false" outlineLevel="0" collapsed="false">
      <c r="A26" s="5" t="s">
        <v>104</v>
      </c>
      <c r="B26" s="5" t="s">
        <v>105</v>
      </c>
      <c r="C26" s="5" t="s">
        <v>72</v>
      </c>
      <c r="D26" s="5" t="s">
        <v>81</v>
      </c>
      <c r="E26" s="12" t="n">
        <v>0.106091</v>
      </c>
      <c r="F26" s="13" t="n">
        <f aca="false">Drivers!$B$10+E26</f>
        <v>1.970916</v>
      </c>
    </row>
    <row r="27" customFormat="false" ht="15" hidden="false" customHeight="false" outlineLevel="0" collapsed="false">
      <c r="A27" s="5" t="s">
        <v>106</v>
      </c>
      <c r="B27" s="5" t="s">
        <v>107</v>
      </c>
      <c r="C27" s="5" t="s">
        <v>72</v>
      </c>
      <c r="D27" s="5" t="s">
        <v>81</v>
      </c>
      <c r="E27" s="12" t="n">
        <v>0.104547</v>
      </c>
      <c r="F27" s="13" t="n">
        <f aca="false">Drivers!$B$10+E27</f>
        <v>1.969372</v>
      </c>
    </row>
    <row r="28" customFormat="false" ht="15" hidden="false" customHeight="false" outlineLevel="0" collapsed="false">
      <c r="A28" s="5" t="s">
        <v>108</v>
      </c>
      <c r="B28" s="5" t="s">
        <v>109</v>
      </c>
      <c r="C28" s="5" t="s">
        <v>72</v>
      </c>
      <c r="D28" s="5" t="s">
        <v>81</v>
      </c>
      <c r="E28" s="12" t="n">
        <v>0.103389</v>
      </c>
      <c r="F28" s="13" t="n">
        <f aca="false">Drivers!$B$10+E28</f>
        <v>1.968214</v>
      </c>
    </row>
    <row r="29" customFormat="false" ht="15" hidden="false" customHeight="false" outlineLevel="0" collapsed="false">
      <c r="A29" s="5" t="s">
        <v>110</v>
      </c>
      <c r="B29" s="5" t="s">
        <v>111</v>
      </c>
      <c r="C29" s="5" t="s">
        <v>72</v>
      </c>
      <c r="D29" s="5" t="s">
        <v>81</v>
      </c>
      <c r="E29" s="12" t="n">
        <v>0.103389</v>
      </c>
      <c r="F29" s="13" t="n">
        <f aca="false">Drivers!$B$10+E29</f>
        <v>1.968214</v>
      </c>
    </row>
    <row r="30" customFormat="false" ht="15" hidden="false" customHeight="false" outlineLevel="0" collapsed="false">
      <c r="A30" s="5" t="s">
        <v>112</v>
      </c>
      <c r="B30" s="5" t="s">
        <v>113</v>
      </c>
      <c r="C30" s="5" t="s">
        <v>72</v>
      </c>
      <c r="D30" s="5" t="s">
        <v>81</v>
      </c>
      <c r="E30" s="12" t="n">
        <v>0.106091</v>
      </c>
      <c r="F30" s="13" t="n">
        <f aca="false">Drivers!$B$10+E30</f>
        <v>1.970916</v>
      </c>
    </row>
    <row r="31" customFormat="false" ht="15" hidden="false" customHeight="false" outlineLevel="0" collapsed="false">
      <c r="A31" s="5" t="s">
        <v>114</v>
      </c>
      <c r="B31" s="5" t="s">
        <v>115</v>
      </c>
      <c r="C31" s="5" t="s">
        <v>72</v>
      </c>
      <c r="D31" s="5" t="s">
        <v>81</v>
      </c>
      <c r="E31" s="12" t="n">
        <v>0.104547</v>
      </c>
      <c r="F31" s="13" t="n">
        <f aca="false">Drivers!$B$10+E31</f>
        <v>1.969372</v>
      </c>
    </row>
    <row r="32" customFormat="false" ht="15" hidden="false" customHeight="false" outlineLevel="0" collapsed="false">
      <c r="A32" s="5" t="s">
        <v>116</v>
      </c>
      <c r="B32" s="5" t="s">
        <v>117</v>
      </c>
      <c r="C32" s="5" t="s">
        <v>72</v>
      </c>
      <c r="D32" s="5" t="s">
        <v>81</v>
      </c>
      <c r="E32" s="12" t="n">
        <v>0.103389</v>
      </c>
      <c r="F32" s="13" t="n">
        <f aca="false">Drivers!$B$10+E32</f>
        <v>1.968214</v>
      </c>
    </row>
    <row r="33" customFormat="false" ht="15" hidden="false" customHeight="false" outlineLevel="0" collapsed="false">
      <c r="A33" s="5" t="s">
        <v>118</v>
      </c>
      <c r="B33" s="5" t="s">
        <v>119</v>
      </c>
      <c r="C33" s="5" t="s">
        <v>72</v>
      </c>
      <c r="D33" s="5" t="s">
        <v>81</v>
      </c>
      <c r="E33" s="12" t="n">
        <v>0.104547</v>
      </c>
      <c r="F33" s="13" t="n">
        <f aca="false">Drivers!$B$10+E33</f>
        <v>1.969372</v>
      </c>
    </row>
    <row r="34" customFormat="false" ht="15" hidden="false" customHeight="false" outlineLevel="0" collapsed="false">
      <c r="A34" s="5" t="s">
        <v>120</v>
      </c>
      <c r="B34" s="5" t="s">
        <v>121</v>
      </c>
      <c r="C34" s="5" t="s">
        <v>72</v>
      </c>
      <c r="D34" s="5" t="s">
        <v>81</v>
      </c>
      <c r="E34" s="12" t="n">
        <v>0.103003</v>
      </c>
      <c r="F34" s="13" t="n">
        <f aca="false">Drivers!$B$10+E34</f>
        <v>1.967828</v>
      </c>
    </row>
    <row r="35" customFormat="false" ht="15" hidden="false" customHeight="false" outlineLevel="0" collapsed="false">
      <c r="A35" s="5" t="s">
        <v>122</v>
      </c>
      <c r="B35" s="5" t="s">
        <v>123</v>
      </c>
      <c r="C35" s="5" t="s">
        <v>72</v>
      </c>
      <c r="D35" s="5" t="s">
        <v>81</v>
      </c>
      <c r="E35" s="12" t="n">
        <v>0.102617</v>
      </c>
      <c r="F35" s="13" t="n">
        <f aca="false">Drivers!$B$10+E35</f>
        <v>1.967442</v>
      </c>
    </row>
    <row r="36" customFormat="false" ht="15" hidden="false" customHeight="false" outlineLevel="0" collapsed="false">
      <c r="A36" s="5" t="s">
        <v>124</v>
      </c>
      <c r="B36" s="5" t="s">
        <v>125</v>
      </c>
      <c r="C36" s="5" t="s">
        <v>72</v>
      </c>
      <c r="D36" s="5" t="s">
        <v>81</v>
      </c>
      <c r="E36" s="12" t="n">
        <v>0.106091</v>
      </c>
      <c r="F36" s="13" t="n">
        <f aca="false">Drivers!$B$10+E36</f>
        <v>1.970916</v>
      </c>
    </row>
    <row r="37" customFormat="false" ht="15" hidden="false" customHeight="false" outlineLevel="0" collapsed="false">
      <c r="A37" s="5" t="s">
        <v>126</v>
      </c>
      <c r="B37" s="5" t="s">
        <v>127</v>
      </c>
      <c r="C37" s="5" t="s">
        <v>72</v>
      </c>
      <c r="D37" s="5" t="s">
        <v>81</v>
      </c>
      <c r="E37" s="12" t="n">
        <v>0.104547</v>
      </c>
      <c r="F37" s="13" t="n">
        <f aca="false">Drivers!$B$10+E37</f>
        <v>1.969372</v>
      </c>
    </row>
    <row r="38" customFormat="false" ht="15" hidden="false" customHeight="false" outlineLevel="0" collapsed="false">
      <c r="A38" s="5" t="s">
        <v>128</v>
      </c>
      <c r="B38" s="5" t="s">
        <v>129</v>
      </c>
      <c r="C38" s="5" t="s">
        <v>72</v>
      </c>
      <c r="D38" s="5" t="s">
        <v>81</v>
      </c>
      <c r="E38" s="12" t="n">
        <v>0.103389</v>
      </c>
      <c r="F38" s="13" t="n">
        <f aca="false">Drivers!$B$10+E38</f>
        <v>1.968214</v>
      </c>
    </row>
    <row r="39" customFormat="false" ht="15" hidden="false" customHeight="false" outlineLevel="0" collapsed="false">
      <c r="A39" s="5" t="s">
        <v>130</v>
      </c>
      <c r="B39" s="5" t="s">
        <v>131</v>
      </c>
      <c r="C39" s="5" t="s">
        <v>72</v>
      </c>
      <c r="D39" s="5" t="s">
        <v>81</v>
      </c>
      <c r="E39" s="12" t="n">
        <v>0.106091</v>
      </c>
      <c r="F39" s="13" t="n">
        <f aca="false">Drivers!$B$10+E39</f>
        <v>1.970916</v>
      </c>
    </row>
    <row r="40" customFormat="false" ht="15" hidden="false" customHeight="false" outlineLevel="0" collapsed="false">
      <c r="A40" s="5" t="s">
        <v>132</v>
      </c>
      <c r="B40" s="5" t="s">
        <v>133</v>
      </c>
      <c r="C40" s="5" t="s">
        <v>72</v>
      </c>
      <c r="D40" s="5" t="s">
        <v>81</v>
      </c>
      <c r="E40" s="12" t="n">
        <v>0.104547</v>
      </c>
      <c r="F40" s="13" t="n">
        <f aca="false">Drivers!$B$10+E40</f>
        <v>1.969372</v>
      </c>
    </row>
    <row r="41" customFormat="false" ht="15" hidden="false" customHeight="false" outlineLevel="0" collapsed="false">
      <c r="A41" s="5" t="s">
        <v>134</v>
      </c>
      <c r="B41" s="5" t="s">
        <v>135</v>
      </c>
      <c r="C41" s="5" t="s">
        <v>72</v>
      </c>
      <c r="D41" s="5" t="s">
        <v>81</v>
      </c>
      <c r="E41" s="12" t="n">
        <v>0.103003</v>
      </c>
      <c r="F41" s="13" t="n">
        <f aca="false">Drivers!$B$10+E41</f>
        <v>1.967828</v>
      </c>
    </row>
    <row r="42" customFormat="false" ht="15" hidden="false" customHeight="false" outlineLevel="0" collapsed="false">
      <c r="A42" s="5" t="s">
        <v>136</v>
      </c>
      <c r="B42" s="5" t="s">
        <v>137</v>
      </c>
      <c r="C42" s="5" t="s">
        <v>72</v>
      </c>
      <c r="D42" s="5" t="s">
        <v>81</v>
      </c>
      <c r="E42" s="12" t="n">
        <v>0.103389</v>
      </c>
      <c r="F42" s="13" t="n">
        <f aca="false">Drivers!$B$10+E42</f>
        <v>1.968214</v>
      </c>
    </row>
    <row r="43" customFormat="false" ht="15" hidden="false" customHeight="false" outlineLevel="0" collapsed="false">
      <c r="A43" s="5" t="s">
        <v>138</v>
      </c>
      <c r="B43" s="5" t="s">
        <v>139</v>
      </c>
      <c r="C43" s="5" t="s">
        <v>72</v>
      </c>
      <c r="D43" s="5" t="s">
        <v>81</v>
      </c>
      <c r="E43" s="12" t="n">
        <v>0.104547</v>
      </c>
      <c r="F43" s="13" t="n">
        <f aca="false">Drivers!$B$10+E43</f>
        <v>1.969372</v>
      </c>
    </row>
    <row r="44" customFormat="false" ht="15" hidden="false" customHeight="false" outlineLevel="0" collapsed="false">
      <c r="A44" s="5" t="s">
        <v>140</v>
      </c>
      <c r="B44" s="5" t="s">
        <v>141</v>
      </c>
      <c r="C44" s="5" t="s">
        <v>72</v>
      </c>
      <c r="D44" s="5" t="s">
        <v>81</v>
      </c>
      <c r="E44" s="12" t="n">
        <v>0.103003</v>
      </c>
      <c r="F44" s="13" t="n">
        <f aca="false">Drivers!$B$10+E44</f>
        <v>1.967828</v>
      </c>
    </row>
    <row r="45" customFormat="false" ht="15" hidden="false" customHeight="false" outlineLevel="0" collapsed="false">
      <c r="A45" s="5" t="s">
        <v>142</v>
      </c>
      <c r="B45" s="5" t="s">
        <v>143</v>
      </c>
      <c r="C45" s="5" t="s">
        <v>72</v>
      </c>
      <c r="D45" s="5" t="s">
        <v>81</v>
      </c>
      <c r="E45" s="12" t="n">
        <v>0.104547</v>
      </c>
      <c r="F45" s="13" t="n">
        <f aca="false">Drivers!$B$10+E45</f>
        <v>1.969372</v>
      </c>
    </row>
    <row r="46" customFormat="false" ht="15" hidden="false" customHeight="false" outlineLevel="0" collapsed="false">
      <c r="A46" s="5" t="s">
        <v>144</v>
      </c>
      <c r="B46" s="5" t="s">
        <v>145</v>
      </c>
      <c r="C46" s="5" t="s">
        <v>72</v>
      </c>
      <c r="D46" s="5" t="s">
        <v>81</v>
      </c>
      <c r="E46" s="12" t="n">
        <v>0.106091</v>
      </c>
      <c r="F46" s="13" t="n">
        <f aca="false">Drivers!$B$10+E46</f>
        <v>1.970916</v>
      </c>
    </row>
    <row r="47" customFormat="false" ht="15" hidden="false" customHeight="false" outlineLevel="0" collapsed="false">
      <c r="A47" s="5" t="s">
        <v>146</v>
      </c>
      <c r="B47" s="5" t="s">
        <v>147</v>
      </c>
      <c r="C47" s="5" t="s">
        <v>72</v>
      </c>
      <c r="D47" s="5" t="s">
        <v>81</v>
      </c>
      <c r="E47" s="12" t="n">
        <v>0.104547</v>
      </c>
      <c r="F47" s="13" t="n">
        <f aca="false">Drivers!$B$10+E47</f>
        <v>1.969372</v>
      </c>
    </row>
    <row r="48" customFormat="false" ht="15" hidden="false" customHeight="false" outlineLevel="0" collapsed="false">
      <c r="A48" s="5" t="s">
        <v>148</v>
      </c>
      <c r="B48" s="5" t="s">
        <v>149</v>
      </c>
      <c r="C48" s="5" t="s">
        <v>72</v>
      </c>
      <c r="D48" s="5" t="s">
        <v>81</v>
      </c>
      <c r="E48" s="12" t="n">
        <v>0.103389</v>
      </c>
      <c r="F48" s="13" t="n">
        <f aca="false">Drivers!$B$10+E48</f>
        <v>1.968214</v>
      </c>
    </row>
    <row r="49" customFormat="false" ht="15" hidden="false" customHeight="false" outlineLevel="0" collapsed="false">
      <c r="A49" s="5" t="s">
        <v>150</v>
      </c>
      <c r="B49" s="5" t="s">
        <v>151</v>
      </c>
      <c r="C49" s="5" t="s">
        <v>72</v>
      </c>
      <c r="D49" s="5" t="s">
        <v>81</v>
      </c>
      <c r="E49" s="12" t="n">
        <v>0.104547</v>
      </c>
      <c r="F49" s="13" t="n">
        <f aca="false">Drivers!$B$10+E49</f>
        <v>1.969372</v>
      </c>
    </row>
    <row r="50" customFormat="false" ht="15" hidden="false" customHeight="false" outlineLevel="0" collapsed="false">
      <c r="A50" s="5" t="s">
        <v>152</v>
      </c>
      <c r="B50" s="5" t="s">
        <v>153</v>
      </c>
      <c r="C50" s="5" t="s">
        <v>72</v>
      </c>
      <c r="D50" s="5" t="s">
        <v>81</v>
      </c>
      <c r="E50" s="12" t="n">
        <v>0.103389</v>
      </c>
      <c r="F50" s="13" t="n">
        <f aca="false">Drivers!$B$10+E50</f>
        <v>1.968214</v>
      </c>
    </row>
    <row r="51" customFormat="false" ht="15" hidden="false" customHeight="false" outlineLevel="0" collapsed="false">
      <c r="A51" s="5" t="s">
        <v>154</v>
      </c>
      <c r="B51" s="5" t="s">
        <v>155</v>
      </c>
      <c r="C51" s="5" t="s">
        <v>72</v>
      </c>
      <c r="D51" s="5" t="s">
        <v>81</v>
      </c>
      <c r="E51" s="12" t="n">
        <v>0.104547</v>
      </c>
      <c r="F51" s="13" t="n">
        <f aca="false">Drivers!$B$10+E51</f>
        <v>1.969372</v>
      </c>
    </row>
    <row r="52" customFormat="false" ht="15" hidden="false" customHeight="false" outlineLevel="0" collapsed="false">
      <c r="A52" s="5" t="s">
        <v>156</v>
      </c>
      <c r="B52" s="5" t="s">
        <v>157</v>
      </c>
      <c r="C52" s="5" t="s">
        <v>72</v>
      </c>
      <c r="D52" s="5" t="s">
        <v>81</v>
      </c>
      <c r="E52" s="12" t="n">
        <v>0.103003</v>
      </c>
      <c r="F52" s="13" t="n">
        <f aca="false">Drivers!$B$10+E52</f>
        <v>1.967828</v>
      </c>
    </row>
    <row r="53" customFormat="false" ht="15" hidden="false" customHeight="false" outlineLevel="0" collapsed="false">
      <c r="A53" s="5" t="s">
        <v>158</v>
      </c>
      <c r="B53" s="5" t="s">
        <v>159</v>
      </c>
      <c r="C53" s="5" t="s">
        <v>72</v>
      </c>
      <c r="D53" s="5" t="s">
        <v>61</v>
      </c>
      <c r="F53" s="12" t="n">
        <v>3.00841188430786</v>
      </c>
    </row>
    <row r="54" customFormat="false" ht="15" hidden="false" customHeight="false" outlineLevel="0" collapsed="false">
      <c r="A54" s="5" t="s">
        <v>160</v>
      </c>
      <c r="B54" s="5" t="s">
        <v>161</v>
      </c>
      <c r="C54" s="5" t="s">
        <v>72</v>
      </c>
      <c r="D54" s="5" t="s">
        <v>61</v>
      </c>
      <c r="F54" s="12" t="n">
        <v>3.00841188430786</v>
      </c>
    </row>
    <row r="55" customFormat="false" ht="15" hidden="false" customHeight="false" outlineLevel="0" collapsed="false">
      <c r="A55" s="5" t="s">
        <v>162</v>
      </c>
      <c r="B55" s="5" t="s">
        <v>163</v>
      </c>
      <c r="C55" s="5" t="s">
        <v>72</v>
      </c>
      <c r="D55" s="5" t="s">
        <v>61</v>
      </c>
      <c r="F55" s="12" t="n">
        <v>3.00841188430786</v>
      </c>
    </row>
    <row r="56" customFormat="false" ht="15" hidden="false" customHeight="false" outlineLevel="0" collapsed="false">
      <c r="A56" s="5" t="s">
        <v>164</v>
      </c>
      <c r="B56" s="5" t="s">
        <v>165</v>
      </c>
      <c r="C56" s="5" t="s">
        <v>166</v>
      </c>
      <c r="D56" s="5" t="s">
        <v>61</v>
      </c>
      <c r="F56" s="12" t="n">
        <v>0.100000001490116</v>
      </c>
    </row>
    <row r="57" customFormat="false" ht="15" hidden="false" customHeight="false" outlineLevel="0" collapsed="false">
      <c r="A57" s="5" t="s">
        <v>167</v>
      </c>
      <c r="B57" s="5" t="s">
        <v>168</v>
      </c>
      <c r="C57" s="5" t="s">
        <v>166</v>
      </c>
      <c r="D57" s="5" t="s">
        <v>61</v>
      </c>
      <c r="F57" s="12" t="n">
        <v>0.124766282737255</v>
      </c>
    </row>
    <row r="58" customFormat="false" ht="15" hidden="false" customHeight="false" outlineLevel="0" collapsed="false">
      <c r="A58" s="5" t="s">
        <v>169</v>
      </c>
      <c r="B58" s="5" t="s">
        <v>170</v>
      </c>
      <c r="C58" s="5" t="s">
        <v>166</v>
      </c>
      <c r="D58" s="5" t="s">
        <v>61</v>
      </c>
      <c r="F58" s="12" t="n">
        <v>0.124766282737255</v>
      </c>
    </row>
    <row r="59" customFormat="false" ht="15" hidden="false" customHeight="false" outlineLevel="0" collapsed="false">
      <c r="A59" s="5" t="s">
        <v>171</v>
      </c>
      <c r="B59" s="5" t="s">
        <v>172</v>
      </c>
      <c r="C59" s="5" t="s">
        <v>166</v>
      </c>
      <c r="D59" s="5" t="s">
        <v>61</v>
      </c>
      <c r="F59" s="12" t="n">
        <v>0.124766282737255</v>
      </c>
    </row>
    <row r="60" customFormat="false" ht="15" hidden="false" customHeight="false" outlineLevel="0" collapsed="false">
      <c r="A60" s="5" t="s">
        <v>173</v>
      </c>
      <c r="B60" s="5" t="s">
        <v>174</v>
      </c>
      <c r="C60" s="5" t="s">
        <v>166</v>
      </c>
      <c r="D60" s="5" t="s">
        <v>61</v>
      </c>
      <c r="F60" s="12" t="n">
        <v>0.255849838256836</v>
      </c>
    </row>
    <row r="61" customFormat="false" ht="15" hidden="false" customHeight="false" outlineLevel="0" collapsed="false">
      <c r="A61" s="5" t="s">
        <v>175</v>
      </c>
      <c r="B61" s="5" t="s">
        <v>176</v>
      </c>
      <c r="C61" s="5" t="s">
        <v>166</v>
      </c>
      <c r="D61" s="5" t="s">
        <v>61</v>
      </c>
      <c r="F61" s="12" t="n">
        <v>0.39300000667572</v>
      </c>
    </row>
    <row r="62" customFormat="false" ht="15" hidden="false" customHeight="false" outlineLevel="0" collapsed="false">
      <c r="A62" s="5" t="s">
        <v>177</v>
      </c>
      <c r="B62" s="5" t="s">
        <v>178</v>
      </c>
      <c r="C62" s="5" t="s">
        <v>166</v>
      </c>
      <c r="D62" s="5" t="s">
        <v>61</v>
      </c>
      <c r="F62" s="12" t="n">
        <v>0.39300000667572</v>
      </c>
    </row>
    <row r="63" customFormat="false" ht="15" hidden="false" customHeight="false" outlineLevel="0" collapsed="false">
      <c r="A63" s="5" t="s">
        <v>179</v>
      </c>
      <c r="B63" s="5" t="s">
        <v>180</v>
      </c>
      <c r="C63" s="5" t="s">
        <v>166</v>
      </c>
      <c r="D63" s="5" t="s">
        <v>61</v>
      </c>
      <c r="F63" s="12" t="n">
        <v>0.548813700675964</v>
      </c>
    </row>
    <row r="64" customFormat="false" ht="15" hidden="false" customHeight="false" outlineLevel="0" collapsed="false">
      <c r="A64" s="5" t="s">
        <v>181</v>
      </c>
      <c r="B64" s="5" t="s">
        <v>182</v>
      </c>
      <c r="C64" s="5" t="s">
        <v>60</v>
      </c>
      <c r="D64" s="5" t="s">
        <v>61</v>
      </c>
      <c r="F64" s="12" t="n">
        <v>0.675000011920929</v>
      </c>
    </row>
    <row r="65" customFormat="false" ht="15" hidden="false" customHeight="false" outlineLevel="0" collapsed="false">
      <c r="A65" s="5" t="s">
        <v>183</v>
      </c>
      <c r="B65" s="5" t="s">
        <v>184</v>
      </c>
      <c r="C65" s="5" t="s">
        <v>60</v>
      </c>
      <c r="D65" s="5" t="s">
        <v>61</v>
      </c>
      <c r="F65" s="12" t="n">
        <v>0.675000011920929</v>
      </c>
    </row>
    <row r="66" customFormat="false" ht="15" hidden="false" customHeight="false" outlineLevel="0" collapsed="false">
      <c r="A66" s="5" t="s">
        <v>185</v>
      </c>
      <c r="B66" s="5" t="s">
        <v>186</v>
      </c>
      <c r="C66" s="5" t="s">
        <v>60</v>
      </c>
      <c r="D66" s="5" t="s">
        <v>61</v>
      </c>
      <c r="F66" s="12" t="n">
        <v>0.675000011920929</v>
      </c>
    </row>
    <row r="67" customFormat="false" ht="15" hidden="false" customHeight="false" outlineLevel="0" collapsed="false">
      <c r="A67" s="5" t="s">
        <v>187</v>
      </c>
      <c r="B67" s="5" t="s">
        <v>188</v>
      </c>
      <c r="C67" s="5" t="s">
        <v>60</v>
      </c>
      <c r="D67" s="5" t="s">
        <v>61</v>
      </c>
      <c r="F67" s="12" t="n">
        <v>0.675000011920929</v>
      </c>
    </row>
    <row r="68" customFormat="false" ht="15" hidden="false" customHeight="false" outlineLevel="0" collapsed="false">
      <c r="A68" s="5" t="s">
        <v>189</v>
      </c>
      <c r="B68" s="5" t="s">
        <v>190</v>
      </c>
      <c r="C68" s="5" t="s">
        <v>60</v>
      </c>
      <c r="D68" s="5" t="s">
        <v>61</v>
      </c>
      <c r="F68" s="12" t="n">
        <v>0.568400025367737</v>
      </c>
    </row>
    <row r="69" customFormat="false" ht="15" hidden="false" customHeight="false" outlineLevel="0" collapsed="false">
      <c r="A69" s="5" t="s">
        <v>191</v>
      </c>
      <c r="B69" s="5" t="s">
        <v>192</v>
      </c>
      <c r="C69" s="5" t="s">
        <v>72</v>
      </c>
      <c r="D69" s="5" t="s">
        <v>61</v>
      </c>
      <c r="F69" s="12" t="n">
        <v>2.39035940170288</v>
      </c>
    </row>
    <row r="70" customFormat="false" ht="15" hidden="false" customHeight="false" outlineLevel="0" collapsed="false">
      <c r="A70" s="5" t="s">
        <v>193</v>
      </c>
      <c r="B70" s="5" t="s">
        <v>194</v>
      </c>
      <c r="C70" s="5" t="s">
        <v>72</v>
      </c>
      <c r="D70" s="5" t="s">
        <v>61</v>
      </c>
      <c r="F70" s="12" t="n">
        <v>0.769918501377106</v>
      </c>
    </row>
    <row r="71" customFormat="false" ht="15" hidden="false" customHeight="false" outlineLevel="0" collapsed="false">
      <c r="A71" s="5" t="s">
        <v>195</v>
      </c>
      <c r="B71" s="5" t="s">
        <v>196</v>
      </c>
      <c r="C71" s="5" t="s">
        <v>72</v>
      </c>
      <c r="D71" s="5" t="s">
        <v>61</v>
      </c>
      <c r="F71" s="12" t="n">
        <v>5.34994649887085</v>
      </c>
    </row>
    <row r="72" customFormat="false" ht="15" hidden="false" customHeight="false" outlineLevel="0" collapsed="false">
      <c r="A72" s="5" t="s">
        <v>197</v>
      </c>
      <c r="B72" s="5" t="s">
        <v>196</v>
      </c>
      <c r="C72" s="5" t="s">
        <v>72</v>
      </c>
      <c r="D72" s="5" t="s">
        <v>61</v>
      </c>
      <c r="F72" s="12" t="n">
        <v>5.34994649887085</v>
      </c>
    </row>
    <row r="73" customFormat="false" ht="15" hidden="false" customHeight="false" outlineLevel="0" collapsed="false">
      <c r="A73" s="5" t="s">
        <v>198</v>
      </c>
      <c r="B73" s="5" t="s">
        <v>199</v>
      </c>
      <c r="C73" s="5" t="s">
        <v>166</v>
      </c>
      <c r="D73" s="5" t="s">
        <v>61</v>
      </c>
      <c r="F73" s="12" t="n">
        <v>3.43300008773804</v>
      </c>
    </row>
    <row r="74" customFormat="false" ht="15" hidden="false" customHeight="false" outlineLevel="0" collapsed="false">
      <c r="A74" s="5" t="s">
        <v>200</v>
      </c>
      <c r="B74" s="5" t="s">
        <v>201</v>
      </c>
      <c r="C74" s="5" t="s">
        <v>72</v>
      </c>
      <c r="D74" s="5" t="s">
        <v>61</v>
      </c>
      <c r="F74" s="12" t="n">
        <v>0.750177025794983</v>
      </c>
    </row>
    <row r="75" customFormat="false" ht="15" hidden="false" customHeight="false" outlineLevel="0" collapsed="false">
      <c r="A75" s="5" t="s">
        <v>202</v>
      </c>
      <c r="B75" s="5" t="s">
        <v>203</v>
      </c>
      <c r="C75" s="5" t="s">
        <v>72</v>
      </c>
      <c r="D75" s="5" t="s">
        <v>61</v>
      </c>
      <c r="F75" s="12" t="n">
        <v>0.750177025794983</v>
      </c>
    </row>
    <row r="76" customFormat="false" ht="15" hidden="false" customHeight="false" outlineLevel="0" collapsed="false">
      <c r="A76" s="5" t="s">
        <v>204</v>
      </c>
      <c r="B76" s="5" t="s">
        <v>205</v>
      </c>
      <c r="C76" s="5" t="s">
        <v>72</v>
      </c>
      <c r="D76" s="5" t="s">
        <v>61</v>
      </c>
      <c r="F76" s="12" t="n">
        <v>0.750177025794983</v>
      </c>
    </row>
    <row r="77" customFormat="false" ht="15" hidden="false" customHeight="false" outlineLevel="0" collapsed="false">
      <c r="A77" s="5" t="s">
        <v>206</v>
      </c>
      <c r="B77" s="5" t="s">
        <v>207</v>
      </c>
      <c r="C77" s="5" t="s">
        <v>72</v>
      </c>
      <c r="D77" s="5" t="s">
        <v>61</v>
      </c>
      <c r="F77" s="12" t="n">
        <v>0.750177025794983</v>
      </c>
    </row>
    <row r="78" customFormat="false" ht="15" hidden="false" customHeight="false" outlineLevel="0" collapsed="false">
      <c r="A78" s="5" t="s">
        <v>208</v>
      </c>
      <c r="B78" s="5" t="s">
        <v>209</v>
      </c>
      <c r="C78" s="5" t="s">
        <v>72</v>
      </c>
      <c r="D78" s="5" t="s">
        <v>61</v>
      </c>
      <c r="F78" s="12" t="n">
        <v>0.750177025794983</v>
      </c>
    </row>
    <row r="79" customFormat="false" ht="15" hidden="false" customHeight="false" outlineLevel="0" collapsed="false">
      <c r="A79" s="5" t="s">
        <v>210</v>
      </c>
      <c r="B79" s="5" t="s">
        <v>211</v>
      </c>
      <c r="C79" s="5" t="s">
        <v>72</v>
      </c>
      <c r="D79" s="5" t="s">
        <v>61</v>
      </c>
      <c r="F79" s="12" t="n">
        <v>0.750177025794983</v>
      </c>
    </row>
    <row r="80" customFormat="false" ht="15" hidden="false" customHeight="false" outlineLevel="0" collapsed="false">
      <c r="A80" s="5" t="s">
        <v>212</v>
      </c>
      <c r="B80" s="5" t="s">
        <v>213</v>
      </c>
      <c r="C80" s="5" t="s">
        <v>72</v>
      </c>
      <c r="D80" s="5" t="s">
        <v>61</v>
      </c>
      <c r="F80" s="12" t="n">
        <v>0.750177025794983</v>
      </c>
    </row>
    <row r="81" customFormat="false" ht="15" hidden="false" customHeight="false" outlineLevel="0" collapsed="false">
      <c r="A81" s="5" t="s">
        <v>214</v>
      </c>
      <c r="B81" s="5" t="s">
        <v>215</v>
      </c>
      <c r="C81" s="5" t="s">
        <v>72</v>
      </c>
      <c r="D81" s="5" t="s">
        <v>61</v>
      </c>
      <c r="F81" s="12" t="n">
        <v>0.750177025794983</v>
      </c>
    </row>
    <row r="82" customFormat="false" ht="15" hidden="false" customHeight="false" outlineLevel="0" collapsed="false">
      <c r="A82" s="5" t="s">
        <v>216</v>
      </c>
      <c r="B82" s="5" t="s">
        <v>217</v>
      </c>
      <c r="C82" s="5" t="s">
        <v>72</v>
      </c>
      <c r="D82" s="5" t="s">
        <v>61</v>
      </c>
      <c r="F82" s="12" t="n">
        <v>0.750177025794983</v>
      </c>
    </row>
    <row r="83" customFormat="false" ht="15" hidden="false" customHeight="false" outlineLevel="0" collapsed="false">
      <c r="A83" s="5" t="s">
        <v>218</v>
      </c>
      <c r="B83" s="5" t="s">
        <v>219</v>
      </c>
      <c r="C83" s="5" t="s">
        <v>72</v>
      </c>
      <c r="D83" s="5" t="s">
        <v>61</v>
      </c>
      <c r="F83" s="12" t="n">
        <v>0.379036813974381</v>
      </c>
    </row>
    <row r="84" customFormat="false" ht="15" hidden="false" customHeight="false" outlineLevel="0" collapsed="false">
      <c r="A84" s="5" t="s">
        <v>220</v>
      </c>
      <c r="B84" s="5" t="s">
        <v>221</v>
      </c>
      <c r="C84" s="5" t="s">
        <v>72</v>
      </c>
      <c r="D84" s="5" t="s">
        <v>61</v>
      </c>
      <c r="F84" s="12" t="n">
        <v>0.379036813974381</v>
      </c>
    </row>
    <row r="85" customFormat="false" ht="15" hidden="false" customHeight="false" outlineLevel="0" collapsed="false">
      <c r="A85" s="5" t="s">
        <v>222</v>
      </c>
      <c r="B85" s="5" t="s">
        <v>223</v>
      </c>
      <c r="C85" s="5" t="s">
        <v>72</v>
      </c>
      <c r="D85" s="5" t="s">
        <v>61</v>
      </c>
      <c r="F85" s="12" t="n">
        <v>0.379036813974381</v>
      </c>
    </row>
    <row r="86" customFormat="false" ht="15" hidden="false" customHeight="false" outlineLevel="0" collapsed="false">
      <c r="A86" s="5" t="s">
        <v>224</v>
      </c>
      <c r="B86" s="5" t="s">
        <v>225</v>
      </c>
      <c r="C86" s="5" t="s">
        <v>72</v>
      </c>
      <c r="D86" s="5" t="s">
        <v>61</v>
      </c>
      <c r="F86" s="12" t="n">
        <v>0.742858171463013</v>
      </c>
    </row>
    <row r="87" customFormat="false" ht="15" hidden="false" customHeight="false" outlineLevel="0" collapsed="false">
      <c r="A87" s="5" t="s">
        <v>226</v>
      </c>
      <c r="B87" s="5" t="s">
        <v>227</v>
      </c>
      <c r="C87" s="5" t="s">
        <v>72</v>
      </c>
      <c r="D87" s="5" t="s">
        <v>61</v>
      </c>
      <c r="F87" s="12" t="n">
        <v>0.742858171463013</v>
      </c>
    </row>
    <row r="88" customFormat="false" ht="15" hidden="false" customHeight="false" outlineLevel="0" collapsed="false">
      <c r="A88" s="5" t="s">
        <v>228</v>
      </c>
      <c r="B88" s="5" t="s">
        <v>229</v>
      </c>
      <c r="C88" s="5" t="s">
        <v>72</v>
      </c>
      <c r="D88" s="5" t="s">
        <v>61</v>
      </c>
      <c r="F88" s="12" t="n">
        <v>0.742858171463013</v>
      </c>
    </row>
    <row r="89" customFormat="false" ht="15" hidden="false" customHeight="false" outlineLevel="0" collapsed="false">
      <c r="A89" s="5" t="s">
        <v>230</v>
      </c>
      <c r="B89" s="5" t="s">
        <v>231</v>
      </c>
      <c r="C89" s="5" t="s">
        <v>72</v>
      </c>
      <c r="D89" s="5" t="s">
        <v>61</v>
      </c>
      <c r="F89" s="12" t="n">
        <v>0.742858171463013</v>
      </c>
    </row>
    <row r="90" customFormat="false" ht="15" hidden="false" customHeight="false" outlineLevel="0" collapsed="false">
      <c r="A90" s="5" t="s">
        <v>232</v>
      </c>
      <c r="B90" s="5" t="s">
        <v>233</v>
      </c>
      <c r="C90" s="5" t="s">
        <v>72</v>
      </c>
      <c r="D90" s="5" t="s">
        <v>61</v>
      </c>
      <c r="F90" s="12" t="n">
        <v>1.45200002193451</v>
      </c>
    </row>
    <row r="91" customFormat="false" ht="15" hidden="false" customHeight="false" outlineLevel="0" collapsed="false">
      <c r="A91" s="5" t="s">
        <v>234</v>
      </c>
      <c r="B91" s="5" t="s">
        <v>235</v>
      </c>
      <c r="C91" s="5" t="s">
        <v>60</v>
      </c>
      <c r="D91" s="5" t="s">
        <v>61</v>
      </c>
      <c r="F91" s="12" t="n">
        <v>1.45200002193451</v>
      </c>
    </row>
    <row r="92" customFormat="false" ht="15" hidden="false" customHeight="false" outlineLevel="0" collapsed="false">
      <c r="A92" s="5" t="s">
        <v>236</v>
      </c>
      <c r="B92" s="5" t="s">
        <v>237</v>
      </c>
      <c r="C92" s="5" t="s">
        <v>60</v>
      </c>
      <c r="D92" s="5" t="s">
        <v>61</v>
      </c>
      <c r="F92" s="12" t="n">
        <v>2.69143271446228</v>
      </c>
    </row>
    <row r="93" customFormat="false" ht="15" hidden="false" customHeight="false" outlineLevel="0" collapsed="false">
      <c r="A93" s="5" t="s">
        <v>238</v>
      </c>
      <c r="B93" s="5" t="s">
        <v>239</v>
      </c>
      <c r="C93" s="5" t="s">
        <v>60</v>
      </c>
      <c r="D93" s="5" t="s">
        <v>61</v>
      </c>
      <c r="F93" s="12" t="n">
        <v>1.45200002193451</v>
      </c>
    </row>
    <row r="94" customFormat="false" ht="15" hidden="false" customHeight="false" outlineLevel="0" collapsed="false">
      <c r="A94" s="5" t="s">
        <v>240</v>
      </c>
      <c r="B94" s="5" t="s">
        <v>241</v>
      </c>
      <c r="C94" s="5" t="s">
        <v>72</v>
      </c>
      <c r="D94" s="5" t="s">
        <v>61</v>
      </c>
      <c r="F94" s="12" t="n">
        <v>0.363999992609024</v>
      </c>
    </row>
    <row r="95" customFormat="false" ht="15" hidden="false" customHeight="false" outlineLevel="0" collapsed="false">
      <c r="A95" s="5" t="s">
        <v>242</v>
      </c>
      <c r="B95" s="5" t="s">
        <v>243</v>
      </c>
      <c r="C95" s="5" t="s">
        <v>72</v>
      </c>
      <c r="D95" s="5" t="s">
        <v>61</v>
      </c>
      <c r="F95" s="12" t="n">
        <v>0.389023095369339</v>
      </c>
    </row>
    <row r="96" customFormat="false" ht="15" hidden="false" customHeight="false" outlineLevel="0" collapsed="false">
      <c r="A96" s="5" t="s">
        <v>244</v>
      </c>
      <c r="B96" s="5" t="s">
        <v>245</v>
      </c>
      <c r="C96" s="5" t="s">
        <v>60</v>
      </c>
      <c r="D96" s="5" t="s">
        <v>61</v>
      </c>
      <c r="F96" s="12" t="n">
        <v>0.648000001907349</v>
      </c>
    </row>
    <row r="97" customFormat="false" ht="15" hidden="false" customHeight="false" outlineLevel="0" collapsed="false">
      <c r="A97" s="5" t="s">
        <v>246</v>
      </c>
      <c r="B97" s="5" t="s">
        <v>247</v>
      </c>
      <c r="C97" s="5" t="s">
        <v>72</v>
      </c>
      <c r="D97" s="5" t="s">
        <v>61</v>
      </c>
      <c r="F97" s="12" t="n">
        <v>0.420493960380554</v>
      </c>
    </row>
    <row r="98" customFormat="false" ht="15" hidden="false" customHeight="false" outlineLevel="0" collapsed="false">
      <c r="A98" s="5" t="s">
        <v>248</v>
      </c>
      <c r="B98" s="5" t="s">
        <v>249</v>
      </c>
      <c r="C98" s="5" t="s">
        <v>60</v>
      </c>
      <c r="D98" s="5" t="s">
        <v>61</v>
      </c>
      <c r="F98" s="12" t="n">
        <v>0.402726590633392</v>
      </c>
    </row>
    <row r="99" customFormat="false" ht="15" hidden="false" customHeight="false" outlineLevel="0" collapsed="false">
      <c r="A99" s="5" t="s">
        <v>250</v>
      </c>
      <c r="B99" s="5" t="s">
        <v>251</v>
      </c>
      <c r="C99" s="5" t="s">
        <v>252</v>
      </c>
      <c r="D99" s="5" t="s">
        <v>61</v>
      </c>
      <c r="F99" s="12" t="n">
        <v>0.493537485599518</v>
      </c>
    </row>
    <row r="100" customFormat="false" ht="15" hidden="false" customHeight="false" outlineLevel="0" collapsed="false">
      <c r="A100" s="5" t="s">
        <v>253</v>
      </c>
      <c r="B100" s="5" t="s">
        <v>254</v>
      </c>
      <c r="C100" s="5" t="s">
        <v>166</v>
      </c>
      <c r="D100" s="5" t="s">
        <v>61</v>
      </c>
      <c r="F100" s="12" t="n">
        <v>90.4160690307617</v>
      </c>
    </row>
    <row r="101" customFormat="false" ht="15" hidden="false" customHeight="false" outlineLevel="0" collapsed="false">
      <c r="A101" s="5" t="s">
        <v>255</v>
      </c>
      <c r="B101" s="5" t="s">
        <v>256</v>
      </c>
      <c r="C101" s="5" t="s">
        <v>166</v>
      </c>
      <c r="D101" s="5" t="s">
        <v>61</v>
      </c>
      <c r="F101" s="12" t="n">
        <v>114.500701904297</v>
      </c>
    </row>
    <row r="102" customFormat="false" ht="15" hidden="false" customHeight="false" outlineLevel="0" collapsed="false">
      <c r="A102" s="5" t="s">
        <v>257</v>
      </c>
      <c r="B102" s="5" t="s">
        <v>258</v>
      </c>
      <c r="C102" s="5" t="s">
        <v>166</v>
      </c>
      <c r="D102" s="5" t="s">
        <v>61</v>
      </c>
      <c r="F102" s="12" t="n">
        <v>131.083557128906</v>
      </c>
    </row>
    <row r="103" customFormat="false" ht="15" hidden="false" customHeight="false" outlineLevel="0" collapsed="false">
      <c r="A103" s="5" t="s">
        <v>259</v>
      </c>
      <c r="B103" s="5" t="s">
        <v>260</v>
      </c>
      <c r="C103" s="5" t="s">
        <v>166</v>
      </c>
      <c r="D103" s="5" t="s">
        <v>61</v>
      </c>
      <c r="F103" s="12" t="n">
        <v>162</v>
      </c>
    </row>
    <row r="104" customFormat="false" ht="15" hidden="false" customHeight="false" outlineLevel="0" collapsed="false">
      <c r="A104" s="5" t="s">
        <v>261</v>
      </c>
      <c r="B104" s="5" t="s">
        <v>262</v>
      </c>
      <c r="C104" s="5" t="s">
        <v>166</v>
      </c>
      <c r="D104" s="5" t="s">
        <v>61</v>
      </c>
      <c r="F104" s="12" t="n">
        <v>185</v>
      </c>
    </row>
    <row r="105" customFormat="false" ht="15" hidden="false" customHeight="false" outlineLevel="0" collapsed="false">
      <c r="A105" s="5" t="s">
        <v>263</v>
      </c>
      <c r="B105" s="5" t="s">
        <v>264</v>
      </c>
      <c r="C105" s="5" t="s">
        <v>166</v>
      </c>
      <c r="D105" s="5" t="s">
        <v>61</v>
      </c>
      <c r="F105" s="12" t="n">
        <v>263</v>
      </c>
    </row>
    <row r="106" customFormat="false" ht="15" hidden="false" customHeight="false" outlineLevel="0" collapsed="false">
      <c r="A106" s="5" t="s">
        <v>265</v>
      </c>
      <c r="B106" s="5" t="s">
        <v>266</v>
      </c>
      <c r="C106" s="5" t="s">
        <v>60</v>
      </c>
      <c r="D106" s="5" t="s">
        <v>61</v>
      </c>
      <c r="F106" s="12" t="n">
        <v>0.747224986553192</v>
      </c>
    </row>
    <row r="107" customFormat="false" ht="15" hidden="false" customHeight="false" outlineLevel="0" collapsed="false">
      <c r="A107" s="5" t="s">
        <v>267</v>
      </c>
      <c r="B107" s="5" t="s">
        <v>268</v>
      </c>
      <c r="C107" s="5" t="s">
        <v>72</v>
      </c>
      <c r="D107" s="5" t="s">
        <v>61</v>
      </c>
      <c r="F107" s="12" t="n">
        <v>0.487615048885345</v>
      </c>
    </row>
    <row r="108" customFormat="false" ht="15" hidden="false" customHeight="false" outlineLevel="0" collapsed="false">
      <c r="A108" s="5" t="s">
        <v>269</v>
      </c>
      <c r="B108" s="5" t="s">
        <v>270</v>
      </c>
      <c r="C108" s="5" t="s">
        <v>72</v>
      </c>
      <c r="D108" s="5" t="s">
        <v>61</v>
      </c>
      <c r="F108" s="12" t="n">
        <v>0.452080339193344</v>
      </c>
    </row>
    <row r="109" customFormat="false" ht="15" hidden="false" customHeight="false" outlineLevel="0" collapsed="false">
      <c r="A109" s="5" t="s">
        <v>271</v>
      </c>
      <c r="B109" s="5" t="s">
        <v>272</v>
      </c>
      <c r="C109" s="5" t="s">
        <v>72</v>
      </c>
      <c r="D109" s="5" t="s">
        <v>61</v>
      </c>
      <c r="F109" s="12" t="n">
        <v>0.388907551765442</v>
      </c>
    </row>
    <row r="110" customFormat="false" ht="15" hidden="false" customHeight="false" outlineLevel="0" collapsed="false">
      <c r="A110" s="5" t="s">
        <v>273</v>
      </c>
      <c r="B110" s="5" t="s">
        <v>274</v>
      </c>
      <c r="C110" s="5" t="s">
        <v>72</v>
      </c>
      <c r="D110" s="5" t="s">
        <v>61</v>
      </c>
      <c r="F110" s="12" t="n">
        <v>0.386933386325836</v>
      </c>
    </row>
    <row r="111" customFormat="false" ht="15" hidden="false" customHeight="false" outlineLevel="0" collapsed="false">
      <c r="A111" s="5" t="s">
        <v>275</v>
      </c>
      <c r="B111" s="5" t="s">
        <v>276</v>
      </c>
      <c r="C111" s="5" t="s">
        <v>72</v>
      </c>
      <c r="D111" s="5" t="s">
        <v>61</v>
      </c>
      <c r="F111" s="12" t="n">
        <v>0.367191910743713</v>
      </c>
    </row>
    <row r="112" customFormat="false" ht="15" hidden="false" customHeight="false" outlineLevel="0" collapsed="false">
      <c r="A112" s="5" t="s">
        <v>277</v>
      </c>
      <c r="B112" s="5" t="s">
        <v>278</v>
      </c>
      <c r="C112" s="5" t="s">
        <v>72</v>
      </c>
      <c r="D112" s="5" t="s">
        <v>61</v>
      </c>
      <c r="F112" s="12" t="n">
        <v>0.363243609666824</v>
      </c>
    </row>
    <row r="113" customFormat="false" ht="15" hidden="false" customHeight="false" outlineLevel="0" collapsed="false">
      <c r="A113" s="5" t="s">
        <v>279</v>
      </c>
      <c r="B113" s="5" t="s">
        <v>280</v>
      </c>
      <c r="C113" s="5" t="s">
        <v>166</v>
      </c>
      <c r="D113" s="5" t="s">
        <v>61</v>
      </c>
      <c r="F113" s="12" t="n">
        <v>17.5683555603027</v>
      </c>
    </row>
    <row r="114" customFormat="false" ht="15" hidden="false" customHeight="false" outlineLevel="0" collapsed="false">
      <c r="A114" s="5" t="s">
        <v>281</v>
      </c>
      <c r="B114" s="5" t="s">
        <v>282</v>
      </c>
      <c r="C114" s="5" t="s">
        <v>166</v>
      </c>
      <c r="D114" s="5" t="s">
        <v>61</v>
      </c>
      <c r="F114" s="12" t="n">
        <v>31.1947288513184</v>
      </c>
    </row>
    <row r="115" customFormat="false" ht="15" hidden="false" customHeight="false" outlineLevel="0" collapsed="false">
      <c r="A115" s="5" t="s">
        <v>283</v>
      </c>
      <c r="B115" s="5" t="s">
        <v>284</v>
      </c>
      <c r="C115" s="5" t="s">
        <v>166</v>
      </c>
      <c r="D115" s="5" t="s">
        <v>61</v>
      </c>
      <c r="F115" s="12" t="n">
        <v>31.1947288513184</v>
      </c>
    </row>
    <row r="116" customFormat="false" ht="15" hidden="false" customHeight="false" outlineLevel="0" collapsed="false">
      <c r="A116" s="5" t="s">
        <v>285</v>
      </c>
      <c r="B116" s="5" t="s">
        <v>286</v>
      </c>
      <c r="C116" s="5" t="s">
        <v>166</v>
      </c>
      <c r="D116" s="5" t="s">
        <v>61</v>
      </c>
      <c r="F116" s="12" t="n">
        <v>40.09814453125</v>
      </c>
    </row>
    <row r="117" customFormat="false" ht="15" hidden="false" customHeight="false" outlineLevel="0" collapsed="false">
      <c r="A117" s="5" t="s">
        <v>287</v>
      </c>
      <c r="B117" s="5" t="s">
        <v>288</v>
      </c>
      <c r="C117" s="5" t="s">
        <v>166</v>
      </c>
      <c r="D117" s="5" t="s">
        <v>61</v>
      </c>
      <c r="F117" s="12" t="n">
        <v>57.848518371582</v>
      </c>
    </row>
    <row r="118" customFormat="false" ht="15" hidden="false" customHeight="false" outlineLevel="0" collapsed="false">
      <c r="A118" s="5" t="s">
        <v>289</v>
      </c>
      <c r="B118" s="5" t="s">
        <v>290</v>
      </c>
      <c r="C118" s="5" t="s">
        <v>166</v>
      </c>
      <c r="D118" s="5" t="s">
        <v>61</v>
      </c>
      <c r="F118" s="12" t="n">
        <v>8.88367462158203</v>
      </c>
    </row>
    <row r="119" customFormat="false" ht="15" hidden="false" customHeight="false" outlineLevel="0" collapsed="false">
      <c r="A119" s="5" t="s">
        <v>291</v>
      </c>
      <c r="B119" s="5" t="s">
        <v>292</v>
      </c>
      <c r="C119" s="5" t="s">
        <v>166</v>
      </c>
      <c r="D119" s="5" t="s">
        <v>61</v>
      </c>
      <c r="F119" s="12" t="n">
        <v>11.2344932556152</v>
      </c>
    </row>
    <row r="120" customFormat="false" ht="15" hidden="false" customHeight="false" outlineLevel="0" collapsed="false">
      <c r="A120" s="5" t="s">
        <v>293</v>
      </c>
      <c r="B120" s="5" t="s">
        <v>294</v>
      </c>
      <c r="C120" s="5" t="s">
        <v>166</v>
      </c>
      <c r="D120" s="5" t="s">
        <v>61</v>
      </c>
      <c r="F120" s="12" t="n">
        <v>17.5683555603027</v>
      </c>
    </row>
    <row r="121" customFormat="false" ht="15" hidden="false" customHeight="false" outlineLevel="0" collapsed="false">
      <c r="A121" s="5" t="s">
        <v>295</v>
      </c>
      <c r="B121" s="5" t="s">
        <v>296</v>
      </c>
      <c r="C121" s="5" t="s">
        <v>297</v>
      </c>
      <c r="D121" s="5" t="s">
        <v>61</v>
      </c>
      <c r="F121" s="12" t="n">
        <v>1.40752077102661</v>
      </c>
    </row>
    <row r="122" customFormat="false" ht="15" hidden="false" customHeight="false" outlineLevel="0" collapsed="false">
      <c r="A122" s="5" t="s">
        <v>298</v>
      </c>
      <c r="B122" s="5" t="s">
        <v>299</v>
      </c>
      <c r="C122" s="5" t="s">
        <v>297</v>
      </c>
      <c r="D122" s="5" t="s">
        <v>61</v>
      </c>
      <c r="F122" s="12" t="n">
        <v>1.40752077102661</v>
      </c>
    </row>
    <row r="123" customFormat="false" ht="15" hidden="false" customHeight="false" outlineLevel="0" collapsed="false">
      <c r="A123" s="5" t="s">
        <v>300</v>
      </c>
      <c r="B123" s="5" t="s">
        <v>301</v>
      </c>
      <c r="C123" s="5" t="s">
        <v>297</v>
      </c>
      <c r="D123" s="5" t="s">
        <v>61</v>
      </c>
      <c r="F123" s="12" t="n">
        <v>1.40752077102661</v>
      </c>
    </row>
    <row r="124" customFormat="false" ht="15" hidden="false" customHeight="false" outlineLevel="0" collapsed="false">
      <c r="A124" s="5" t="s">
        <v>302</v>
      </c>
      <c r="B124" s="5" t="s">
        <v>303</v>
      </c>
      <c r="C124" s="5" t="s">
        <v>297</v>
      </c>
      <c r="D124" s="5" t="s">
        <v>61</v>
      </c>
      <c r="F124" s="12" t="n">
        <v>1.40752077102661</v>
      </c>
    </row>
    <row r="125" customFormat="false" ht="15" hidden="false" customHeight="false" outlineLevel="0" collapsed="false">
      <c r="A125" s="5" t="s">
        <v>304</v>
      </c>
      <c r="B125" s="5" t="s">
        <v>305</v>
      </c>
      <c r="C125" s="5" t="s">
        <v>297</v>
      </c>
      <c r="D125" s="5" t="s">
        <v>61</v>
      </c>
      <c r="F125" s="12" t="n">
        <v>1.40752077102661</v>
      </c>
    </row>
    <row r="126" customFormat="false" ht="15" hidden="false" customHeight="false" outlineLevel="0" collapsed="false">
      <c r="A126" s="5" t="s">
        <v>306</v>
      </c>
      <c r="B126" s="5" t="s">
        <v>307</v>
      </c>
      <c r="C126" s="5" t="s">
        <v>297</v>
      </c>
      <c r="D126" s="5" t="s">
        <v>61</v>
      </c>
      <c r="F126" s="12" t="n">
        <v>1.40752077102661</v>
      </c>
    </row>
    <row r="127" customFormat="false" ht="15" hidden="false" customHeight="false" outlineLevel="0" collapsed="false">
      <c r="A127" s="5" t="s">
        <v>308</v>
      </c>
      <c r="B127" s="5" t="s">
        <v>309</v>
      </c>
      <c r="C127" s="5" t="s">
        <v>297</v>
      </c>
      <c r="D127" s="5" t="s">
        <v>61</v>
      </c>
      <c r="F127" s="12" t="n">
        <v>1.40752077102661</v>
      </c>
    </row>
    <row r="128" customFormat="false" ht="15" hidden="false" customHeight="false" outlineLevel="0" collapsed="false">
      <c r="A128" s="5" t="s">
        <v>310</v>
      </c>
      <c r="B128" s="5" t="s">
        <v>311</v>
      </c>
      <c r="C128" s="5" t="s">
        <v>297</v>
      </c>
      <c r="D128" s="5" t="s">
        <v>61</v>
      </c>
      <c r="F128" s="12" t="n">
        <v>1.40752077102661</v>
      </c>
    </row>
    <row r="129" customFormat="false" ht="15" hidden="false" customHeight="false" outlineLevel="0" collapsed="false">
      <c r="A129" s="5" t="s">
        <v>312</v>
      </c>
      <c r="B129" s="5" t="s">
        <v>313</v>
      </c>
      <c r="C129" s="5" t="s">
        <v>72</v>
      </c>
      <c r="D129" s="5" t="s">
        <v>61</v>
      </c>
      <c r="F129" s="12" t="n">
        <v>0.600000023841858</v>
      </c>
    </row>
    <row r="130" customFormat="false" ht="15" hidden="false" customHeight="false" outlineLevel="0" collapsed="false">
      <c r="A130" s="5" t="s">
        <v>314</v>
      </c>
      <c r="B130" s="5" t="s">
        <v>315</v>
      </c>
      <c r="C130" s="5" t="s">
        <v>72</v>
      </c>
      <c r="D130" s="5" t="s">
        <v>61</v>
      </c>
      <c r="F130" s="12" t="n">
        <v>1.6441433429718</v>
      </c>
    </row>
    <row r="131" customFormat="false" ht="15" hidden="false" customHeight="false" outlineLevel="0" collapsed="false">
      <c r="A131" s="5" t="s">
        <v>316</v>
      </c>
      <c r="B131" s="5" t="s">
        <v>317</v>
      </c>
      <c r="C131" s="5" t="s">
        <v>72</v>
      </c>
      <c r="D131" s="5" t="s">
        <v>61</v>
      </c>
      <c r="F131" s="12" t="n">
        <v>1.6441433429718</v>
      </c>
    </row>
    <row r="132" customFormat="false" ht="15" hidden="false" customHeight="false" outlineLevel="0" collapsed="false">
      <c r="A132" s="5" t="s">
        <v>318</v>
      </c>
      <c r="B132" s="5" t="s">
        <v>319</v>
      </c>
      <c r="C132" s="5" t="s">
        <v>72</v>
      </c>
      <c r="D132" s="5" t="s">
        <v>61</v>
      </c>
      <c r="F132" s="12" t="n">
        <v>1.6441433429718</v>
      </c>
    </row>
    <row r="133" customFormat="false" ht="15" hidden="false" customHeight="false" outlineLevel="0" collapsed="false">
      <c r="A133" s="5" t="s">
        <v>320</v>
      </c>
      <c r="B133" s="5" t="s">
        <v>321</v>
      </c>
      <c r="C133" s="5" t="s">
        <v>72</v>
      </c>
      <c r="D133" s="5" t="s">
        <v>61</v>
      </c>
      <c r="F133" s="12" t="n">
        <v>1.6441433429718</v>
      </c>
    </row>
    <row r="134" customFormat="false" ht="15" hidden="false" customHeight="false" outlineLevel="0" collapsed="false">
      <c r="A134" s="5" t="s">
        <v>322</v>
      </c>
      <c r="B134" s="5" t="s">
        <v>323</v>
      </c>
      <c r="C134" s="5" t="s">
        <v>72</v>
      </c>
      <c r="D134" s="5" t="s">
        <v>61</v>
      </c>
      <c r="F134" s="12" t="n">
        <v>1.6441433429718</v>
      </c>
    </row>
    <row r="135" customFormat="false" ht="15" hidden="false" customHeight="false" outlineLevel="0" collapsed="false">
      <c r="A135" s="5" t="s">
        <v>324</v>
      </c>
      <c r="B135" s="5" t="s">
        <v>325</v>
      </c>
      <c r="C135" s="5" t="s">
        <v>72</v>
      </c>
      <c r="D135" s="5" t="s">
        <v>61</v>
      </c>
      <c r="F135" s="12" t="n">
        <v>1.35229277610779</v>
      </c>
    </row>
    <row r="136" customFormat="false" ht="15" hidden="false" customHeight="false" outlineLevel="0" collapsed="false">
      <c r="A136" s="5" t="s">
        <v>326</v>
      </c>
      <c r="B136" s="5" t="s">
        <v>327</v>
      </c>
      <c r="C136" s="5" t="s">
        <v>72</v>
      </c>
      <c r="D136" s="5" t="s">
        <v>61</v>
      </c>
      <c r="F136" s="12" t="n">
        <v>0.596000015735626</v>
      </c>
    </row>
    <row r="137" customFormat="false" ht="15" hidden="false" customHeight="false" outlineLevel="0" collapsed="false">
      <c r="A137" s="5" t="s">
        <v>328</v>
      </c>
      <c r="B137" s="5" t="s">
        <v>329</v>
      </c>
      <c r="C137" s="5" t="s">
        <v>72</v>
      </c>
      <c r="D137" s="5" t="s">
        <v>61</v>
      </c>
      <c r="F137" s="12" t="n">
        <v>0.821246385574341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330</v>
      </c>
    </row>
    <row r="2" customFormat="false" ht="15" hidden="false" customHeight="false" outlineLevel="0" collapsed="false">
      <c r="A2" s="2" t="s">
        <v>331</v>
      </c>
    </row>
    <row r="4" customFormat="false" ht="15" hidden="false" customHeight="false" outlineLevel="0" collapsed="false">
      <c r="A4" s="7" t="s">
        <v>332</v>
      </c>
      <c r="B4" s="7" t="s">
        <v>333</v>
      </c>
      <c r="C4" s="7" t="s">
        <v>334</v>
      </c>
      <c r="D4" s="7" t="s">
        <v>335</v>
      </c>
      <c r="E4" s="7" t="s">
        <v>336</v>
      </c>
    </row>
    <row r="5" customFormat="false" ht="15" hidden="false" customHeight="false" outlineLevel="0" collapsed="false">
      <c r="A5" s="5" t="s">
        <v>337</v>
      </c>
      <c r="B5" s="5" t="s">
        <v>338</v>
      </c>
      <c r="C5" s="12" t="n">
        <v>4.3539</v>
      </c>
      <c r="D5" s="5" t="n">
        <v>14</v>
      </c>
      <c r="E5" s="14" t="n">
        <v>0.019</v>
      </c>
    </row>
    <row r="6" customFormat="false" ht="15" hidden="false" customHeight="false" outlineLevel="0" collapsed="false">
      <c r="A6" s="5" t="s">
        <v>339</v>
      </c>
      <c r="B6" s="5" t="s">
        <v>340</v>
      </c>
      <c r="C6" s="12" t="n">
        <v>4.129</v>
      </c>
      <c r="D6" s="5" t="n">
        <v>3</v>
      </c>
      <c r="E6" s="14" t="n">
        <v>0</v>
      </c>
    </row>
    <row r="7" customFormat="false" ht="15" hidden="false" customHeight="false" outlineLevel="0" collapsed="false">
      <c r="A7" s="5" t="s">
        <v>341</v>
      </c>
      <c r="B7" s="5" t="s">
        <v>340</v>
      </c>
      <c r="C7" s="12" t="n">
        <v>4.1332</v>
      </c>
      <c r="D7" s="5" t="n">
        <v>10</v>
      </c>
      <c r="E7" s="14" t="n">
        <v>0.029</v>
      </c>
    </row>
    <row r="8" customFormat="false" ht="15" hidden="false" customHeight="false" outlineLevel="0" collapsed="false">
      <c r="A8" s="5" t="s">
        <v>342</v>
      </c>
      <c r="B8" s="5" t="s">
        <v>340</v>
      </c>
      <c r="C8" s="12" t="n">
        <v>2.4859</v>
      </c>
      <c r="D8" s="5" t="n">
        <v>14</v>
      </c>
      <c r="E8" s="14" t="n">
        <v>0.095</v>
      </c>
    </row>
    <row r="9" customFormat="false" ht="15" hidden="false" customHeight="false" outlineLevel="0" collapsed="false">
      <c r="A9" s="5" t="s">
        <v>343</v>
      </c>
      <c r="B9" s="5" t="s">
        <v>340</v>
      </c>
      <c r="C9" s="12" t="n">
        <v>1.716</v>
      </c>
      <c r="D9" s="5" t="n">
        <v>16</v>
      </c>
      <c r="E9" s="14" t="n">
        <v>0.149</v>
      </c>
    </row>
    <row r="10" customFormat="false" ht="15" hidden="false" customHeight="false" outlineLevel="0" collapsed="false">
      <c r="A10" s="5" t="s">
        <v>344</v>
      </c>
      <c r="B10" s="5" t="s">
        <v>340</v>
      </c>
      <c r="C10" s="12" t="n">
        <v>1.7156</v>
      </c>
      <c r="D10" s="5" t="n">
        <v>6</v>
      </c>
      <c r="E10" s="14" t="n">
        <v>0.451</v>
      </c>
    </row>
    <row r="11" customFormat="false" ht="15" hidden="false" customHeight="false" outlineLevel="0" collapsed="false">
      <c r="A11" s="5" t="s">
        <v>345</v>
      </c>
      <c r="B11" s="5" t="s">
        <v>340</v>
      </c>
      <c r="C11" s="12" t="n">
        <v>4.1336</v>
      </c>
      <c r="D11" s="5" t="n">
        <v>25</v>
      </c>
      <c r="E11" s="14" t="n">
        <v>0.161</v>
      </c>
    </row>
    <row r="12" customFormat="false" ht="15" hidden="false" customHeight="false" outlineLevel="0" collapsed="false">
      <c r="A12" s="5" t="s">
        <v>346</v>
      </c>
      <c r="B12" s="5" t="s">
        <v>347</v>
      </c>
      <c r="C12" s="12" t="n">
        <v>5.1042</v>
      </c>
      <c r="D12" s="5" t="n">
        <v>2</v>
      </c>
      <c r="E12" s="14" t="n">
        <v>0.272</v>
      </c>
    </row>
    <row r="13" customFormat="false" ht="15" hidden="false" customHeight="false" outlineLevel="0" collapsed="false">
      <c r="A13" s="5" t="s">
        <v>348</v>
      </c>
      <c r="B13" s="5" t="s">
        <v>349</v>
      </c>
      <c r="C13" s="12" t="n">
        <v>4.4599</v>
      </c>
      <c r="D13" s="5" t="n">
        <v>2</v>
      </c>
      <c r="E13" s="14" t="n">
        <v>0.053</v>
      </c>
    </row>
    <row r="14" customFormat="false" ht="15" hidden="false" customHeight="false" outlineLevel="0" collapsed="false">
      <c r="A14" s="5" t="s">
        <v>350</v>
      </c>
      <c r="B14" s="5" t="s">
        <v>349</v>
      </c>
      <c r="C14" s="12" t="n">
        <v>4.4609</v>
      </c>
      <c r="D14" s="5" t="n">
        <v>1</v>
      </c>
      <c r="E14" s="14" t="n">
        <v>0</v>
      </c>
    </row>
    <row r="15" customFormat="false" ht="15" hidden="false" customHeight="false" outlineLevel="0" collapsed="false">
      <c r="A15" s="5" t="s">
        <v>351</v>
      </c>
      <c r="B15" s="5" t="s">
        <v>352</v>
      </c>
      <c r="C15" s="12" t="n">
        <v>12.2442</v>
      </c>
      <c r="D15" s="5" t="n">
        <v>25</v>
      </c>
      <c r="E15" s="14" t="n">
        <v>0.009</v>
      </c>
    </row>
    <row r="16" customFormat="false" ht="15" hidden="false" customHeight="false" outlineLevel="0" collapsed="false">
      <c r="A16" s="5" t="s">
        <v>353</v>
      </c>
      <c r="B16" s="5" t="s">
        <v>352</v>
      </c>
      <c r="C16" s="12" t="n">
        <v>16.82</v>
      </c>
      <c r="D16" s="5" t="n">
        <v>32</v>
      </c>
      <c r="E16" s="14" t="n">
        <v>0.006</v>
      </c>
    </row>
    <row r="17" customFormat="false" ht="15" hidden="false" customHeight="false" outlineLevel="0" collapsed="false">
      <c r="A17" s="5" t="s">
        <v>354</v>
      </c>
      <c r="B17" s="5" t="s">
        <v>352</v>
      </c>
      <c r="C17" s="12" t="n">
        <v>16.8199</v>
      </c>
      <c r="D17" s="5" t="n">
        <v>3</v>
      </c>
      <c r="E17" s="14" t="n">
        <v>0.002</v>
      </c>
    </row>
    <row r="18" customFormat="false" ht="15" hidden="false" customHeight="false" outlineLevel="0" collapsed="false">
      <c r="A18" s="5" t="s">
        <v>355</v>
      </c>
      <c r="B18" s="5" t="s">
        <v>352</v>
      </c>
      <c r="C18" s="12" t="n">
        <v>16.82</v>
      </c>
      <c r="D18" s="5" t="n">
        <v>28</v>
      </c>
      <c r="E18" s="14" t="n">
        <v>0.004</v>
      </c>
    </row>
    <row r="19" customFormat="false" ht="15" hidden="false" customHeight="false" outlineLevel="0" collapsed="false">
      <c r="A19" s="5" t="s">
        <v>356</v>
      </c>
      <c r="B19" s="5" t="s">
        <v>352</v>
      </c>
      <c r="C19" s="12" t="n">
        <v>16.82</v>
      </c>
      <c r="D19" s="5" t="n">
        <v>18</v>
      </c>
      <c r="E19" s="14" t="n">
        <v>0.005</v>
      </c>
    </row>
    <row r="20" customFormat="false" ht="15" hidden="false" customHeight="false" outlineLevel="0" collapsed="false">
      <c r="A20" s="5" t="s">
        <v>357</v>
      </c>
      <c r="B20" s="5" t="s">
        <v>358</v>
      </c>
      <c r="C20" s="12" t="n">
        <v>13.1447</v>
      </c>
      <c r="D20" s="5" t="n">
        <v>2</v>
      </c>
      <c r="E20" s="14" t="n">
        <v>0.103</v>
      </c>
    </row>
    <row r="21" customFormat="false" ht="15" hidden="false" customHeight="false" outlineLevel="0" collapsed="false">
      <c r="A21" s="5" t="s">
        <v>359</v>
      </c>
      <c r="B21" s="5" t="s">
        <v>358</v>
      </c>
      <c r="C21" s="12" t="n">
        <v>13.1531</v>
      </c>
      <c r="D21" s="5" t="n">
        <v>16</v>
      </c>
      <c r="E21" s="14" t="n">
        <v>0.016</v>
      </c>
    </row>
    <row r="22" customFormat="false" ht="15" hidden="false" customHeight="false" outlineLevel="0" collapsed="false">
      <c r="A22" s="5" t="s">
        <v>360</v>
      </c>
      <c r="B22" s="5" t="s">
        <v>358</v>
      </c>
      <c r="C22" s="12" t="n">
        <v>12.3201</v>
      </c>
      <c r="D22" s="5" t="n">
        <v>37</v>
      </c>
      <c r="E22" s="14" t="n">
        <v>0.014</v>
      </c>
    </row>
    <row r="23" customFormat="false" ht="15" hidden="false" customHeight="false" outlineLevel="0" collapsed="false">
      <c r="A23" s="5" t="s">
        <v>361</v>
      </c>
      <c r="B23" s="5" t="s">
        <v>358</v>
      </c>
      <c r="C23" s="12" t="n">
        <v>18.7972</v>
      </c>
      <c r="D23" s="5" t="n">
        <v>27</v>
      </c>
      <c r="E23" s="14" t="n">
        <v>0.007</v>
      </c>
    </row>
    <row r="24" customFormat="false" ht="15" hidden="false" customHeight="false" outlineLevel="0" collapsed="false">
      <c r="A24" s="5" t="s">
        <v>362</v>
      </c>
      <c r="B24" s="5" t="s">
        <v>358</v>
      </c>
      <c r="C24" s="12" t="n">
        <v>18.797</v>
      </c>
      <c r="D24" s="5" t="n">
        <v>60</v>
      </c>
      <c r="E24" s="14" t="n">
        <v>0.006</v>
      </c>
    </row>
    <row r="25" customFormat="false" ht="15" hidden="false" customHeight="false" outlineLevel="0" collapsed="false">
      <c r="A25" s="5" t="s">
        <v>363</v>
      </c>
      <c r="B25" s="5" t="s">
        <v>358</v>
      </c>
      <c r="C25" s="12" t="n">
        <v>18.7974</v>
      </c>
      <c r="D25" s="5" t="n">
        <v>23</v>
      </c>
      <c r="E25" s="14" t="n">
        <v>0.01</v>
      </c>
    </row>
    <row r="26" customFormat="false" ht="15" hidden="false" customHeight="false" outlineLevel="0" collapsed="false">
      <c r="A26" s="5" t="s">
        <v>364</v>
      </c>
      <c r="B26" s="5" t="s">
        <v>358</v>
      </c>
      <c r="C26" s="12" t="n">
        <v>8.4956</v>
      </c>
      <c r="D26" s="5" t="n">
        <v>37</v>
      </c>
      <c r="E26" s="14" t="n">
        <v>0.267</v>
      </c>
    </row>
    <row r="27" customFormat="false" ht="15" hidden="false" customHeight="false" outlineLevel="0" collapsed="false">
      <c r="A27" s="5" t="s">
        <v>365</v>
      </c>
      <c r="B27" s="5" t="s">
        <v>358</v>
      </c>
      <c r="C27" s="12" t="n">
        <v>10.9057</v>
      </c>
      <c r="D27" s="5" t="n">
        <v>38</v>
      </c>
      <c r="E27" s="14" t="n">
        <v>0.069</v>
      </c>
    </row>
    <row r="28" customFormat="false" ht="15" hidden="false" customHeight="false" outlineLevel="0" collapsed="false">
      <c r="A28" s="5" t="s">
        <v>366</v>
      </c>
      <c r="B28" s="5" t="s">
        <v>358</v>
      </c>
      <c r="C28" s="12" t="n">
        <v>37.161</v>
      </c>
      <c r="D28" s="5" t="n">
        <v>8</v>
      </c>
      <c r="E28" s="14" t="n">
        <v>0.002</v>
      </c>
    </row>
    <row r="29" customFormat="false" ht="15" hidden="false" customHeight="false" outlineLevel="0" collapsed="false">
      <c r="A29" s="5" t="s">
        <v>367</v>
      </c>
      <c r="B29" s="5" t="s">
        <v>358</v>
      </c>
      <c r="C29" s="12" t="n">
        <v>37.1611</v>
      </c>
      <c r="D29" s="5" t="n">
        <v>22</v>
      </c>
      <c r="E29" s="14" t="n">
        <v>0.006</v>
      </c>
    </row>
    <row r="30" customFormat="false" ht="15" hidden="false" customHeight="false" outlineLevel="0" collapsed="false">
      <c r="A30" s="5" t="s">
        <v>368</v>
      </c>
      <c r="B30" s="5" t="s">
        <v>369</v>
      </c>
      <c r="C30" s="12" t="n">
        <v>0</v>
      </c>
      <c r="D30" s="5" t="n">
        <v>46</v>
      </c>
      <c r="E30" s="14" t="n">
        <v>0</v>
      </c>
    </row>
    <row r="31" customFormat="false" ht="15" hidden="false" customHeight="false" outlineLevel="0" collapsed="false">
      <c r="A31" s="5" t="s">
        <v>370</v>
      </c>
      <c r="B31" s="5" t="s">
        <v>371</v>
      </c>
      <c r="C31" s="12" t="n">
        <v>0</v>
      </c>
      <c r="D31" s="5" t="n">
        <v>71</v>
      </c>
      <c r="E31" s="14" t="n">
        <v>0</v>
      </c>
    </row>
    <row r="32" customFormat="false" ht="15" hidden="false" customHeight="false" outlineLevel="0" collapsed="false">
      <c r="A32" s="5" t="s">
        <v>372</v>
      </c>
      <c r="B32" s="5" t="s">
        <v>371</v>
      </c>
      <c r="C32" s="12" t="n">
        <v>0</v>
      </c>
      <c r="D32" s="5" t="n">
        <v>28</v>
      </c>
      <c r="E32" s="14" t="n">
        <v>0</v>
      </c>
    </row>
    <row r="33" customFormat="false" ht="15" hidden="false" customHeight="false" outlineLevel="0" collapsed="false">
      <c r="A33" s="5" t="s">
        <v>373</v>
      </c>
      <c r="B33" s="5" t="s">
        <v>374</v>
      </c>
      <c r="C33" s="12" t="n">
        <v>20.293</v>
      </c>
      <c r="D33" s="5" t="n">
        <v>15</v>
      </c>
      <c r="E33" s="14" t="n">
        <v>0.008</v>
      </c>
    </row>
    <row r="34" customFormat="false" ht="15" hidden="false" customHeight="false" outlineLevel="0" collapsed="false">
      <c r="A34" s="5" t="s">
        <v>375</v>
      </c>
      <c r="B34" s="5" t="s">
        <v>374</v>
      </c>
      <c r="C34" s="12" t="n">
        <v>15.0115</v>
      </c>
      <c r="D34" s="5" t="n">
        <v>32</v>
      </c>
      <c r="E34" s="14" t="n">
        <v>0.007</v>
      </c>
    </row>
    <row r="35" customFormat="false" ht="15" hidden="false" customHeight="false" outlineLevel="0" collapsed="false">
      <c r="A35" s="5" t="s">
        <v>376</v>
      </c>
      <c r="B35" s="5" t="s">
        <v>374</v>
      </c>
      <c r="C35" s="12" t="n">
        <v>15.0109</v>
      </c>
      <c r="D35" s="5" t="n">
        <v>21</v>
      </c>
      <c r="E35" s="14" t="n">
        <v>0.01</v>
      </c>
    </row>
    <row r="36" customFormat="false" ht="15" hidden="false" customHeight="false" outlineLevel="0" collapsed="false">
      <c r="A36" s="5" t="s">
        <v>377</v>
      </c>
      <c r="B36" s="5" t="s">
        <v>378</v>
      </c>
      <c r="C36" s="12" t="n">
        <v>5.3171</v>
      </c>
      <c r="D36" s="5" t="n">
        <v>21</v>
      </c>
      <c r="E36" s="14" t="n">
        <v>0.019</v>
      </c>
    </row>
    <row r="37" customFormat="false" ht="15" hidden="false" customHeight="false" outlineLevel="0" collapsed="false">
      <c r="A37" s="5" t="s">
        <v>379</v>
      </c>
      <c r="B37" s="5" t="s">
        <v>378</v>
      </c>
      <c r="C37" s="12" t="n">
        <v>5.317</v>
      </c>
      <c r="D37" s="5" t="n">
        <v>14</v>
      </c>
      <c r="E37" s="14" t="n">
        <v>0.021</v>
      </c>
    </row>
    <row r="38" customFormat="false" ht="15" hidden="false" customHeight="false" outlineLevel="0" collapsed="false">
      <c r="A38" s="5" t="s">
        <v>380</v>
      </c>
      <c r="B38" s="5" t="s">
        <v>381</v>
      </c>
      <c r="C38" s="12" t="n">
        <v>1.771</v>
      </c>
      <c r="D38" s="5" t="n">
        <v>11</v>
      </c>
      <c r="E38" s="14" t="n">
        <v>0.003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6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7" min="15" style="0" width="15"/>
    <col collapsed="false" customWidth="true" hidden="false" outlineLevel="0" max="18" min="18" style="0" width="12"/>
    <col collapsed="false" customWidth="true" hidden="false" outlineLevel="0" max="19" min="19" style="0" width="15"/>
    <col collapsed="false" customWidth="true" hidden="false" outlineLevel="0" max="21" min="20" style="0" width="12"/>
    <col collapsed="false" customWidth="true" hidden="false" outlineLevel="0" max="22" min="22" style="0" width="16"/>
    <col collapsed="false" customWidth="true" hidden="false" outlineLevel="0" max="23" min="23" style="0" width="10"/>
  </cols>
  <sheetData>
    <row r="1" customFormat="false" ht="17.35" hidden="false" customHeight="false" outlineLevel="0" collapsed="false">
      <c r="A1" s="1" t="s">
        <v>382</v>
      </c>
    </row>
    <row r="2" customFormat="false" ht="15" hidden="false" customHeight="false" outlineLevel="0" collapsed="false">
      <c r="A2" s="2" t="s">
        <v>383</v>
      </c>
    </row>
    <row r="4" customFormat="false" ht="23.85" hidden="false" customHeight="false" outlineLevel="0" collapsed="false">
      <c r="A4" s="7" t="s">
        <v>384</v>
      </c>
      <c r="B4" s="7" t="s">
        <v>53</v>
      </c>
      <c r="C4" s="7" t="s">
        <v>385</v>
      </c>
      <c r="D4" s="7" t="s">
        <v>386</v>
      </c>
      <c r="E4" s="7" t="s">
        <v>387</v>
      </c>
      <c r="F4" s="7" t="s">
        <v>388</v>
      </c>
      <c r="G4" s="7" t="s">
        <v>389</v>
      </c>
      <c r="H4" s="7" t="s">
        <v>390</v>
      </c>
      <c r="I4" s="7" t="s">
        <v>391</v>
      </c>
      <c r="J4" s="7" t="s">
        <v>392</v>
      </c>
      <c r="K4" s="7" t="s">
        <v>393</v>
      </c>
      <c r="L4" s="7" t="s">
        <v>394</v>
      </c>
      <c r="M4" s="7" t="s">
        <v>395</v>
      </c>
      <c r="N4" s="7" t="s">
        <v>396</v>
      </c>
      <c r="O4" s="7" t="s">
        <v>397</v>
      </c>
      <c r="P4" s="7" t="s">
        <v>398</v>
      </c>
      <c r="Q4" s="7" t="s">
        <v>399</v>
      </c>
      <c r="R4" s="7" t="s">
        <v>400</v>
      </c>
      <c r="S4" s="7" t="s">
        <v>401</v>
      </c>
      <c r="T4" s="7" t="s">
        <v>402</v>
      </c>
      <c r="U4" s="7" t="s">
        <v>403</v>
      </c>
      <c r="V4" s="7" t="s">
        <v>404</v>
      </c>
      <c r="W4" s="7" t="s">
        <v>405</v>
      </c>
    </row>
    <row r="5" customFormat="false" ht="15" hidden="false" customHeight="false" outlineLevel="0" collapsed="false">
      <c r="A5" s="5" t="s">
        <v>406</v>
      </c>
      <c r="B5" s="5" t="s">
        <v>407</v>
      </c>
      <c r="C5" s="5" t="s">
        <v>408</v>
      </c>
      <c r="D5" s="5" t="s">
        <v>409</v>
      </c>
      <c r="E5" s="5" t="n">
        <v>1</v>
      </c>
      <c r="F5" s="5" t="s">
        <v>410</v>
      </c>
      <c r="G5" s="5" t="n">
        <v>16</v>
      </c>
      <c r="H5" s="5" t="s">
        <v>411</v>
      </c>
      <c r="I5" s="5" t="s">
        <v>412</v>
      </c>
      <c r="J5" s="5"/>
      <c r="K5" s="5"/>
      <c r="L5" s="5" t="s">
        <v>412</v>
      </c>
      <c r="M5" s="5"/>
      <c r="N5" s="5" t="s">
        <v>413</v>
      </c>
      <c r="O5" s="15" t="n">
        <f aca="false">SUM(BOM!$J$5:$J$12)</f>
        <v>296.203120418762</v>
      </c>
      <c r="P5" s="15" t="n">
        <f aca="false">SUM(Operations!$G$5:$G$7)</f>
        <v>2.8740882</v>
      </c>
      <c r="Q5" s="15" t="n">
        <f aca="false">SUM(Overheads!$D$5:$D$12)-R5</f>
        <v>11.635999828577</v>
      </c>
      <c r="R5" s="16" t="n">
        <v>0.0329999998211861</v>
      </c>
      <c r="S5" s="17" t="n">
        <f aca="false">O5+P5+Q5+R5</f>
        <v>310.74620844716</v>
      </c>
      <c r="T5" s="11" t="n">
        <f aca="false">S5/1000</f>
        <v>0.31074620844716</v>
      </c>
      <c r="U5" s="18" t="n">
        <f aca="false">T5*(1+Drivers!$B$7)</f>
        <v>0.357358139714234</v>
      </c>
      <c r="V5" s="12" t="n">
        <v>0.310747124481798</v>
      </c>
      <c r="W5" s="11" t="n">
        <f aca="false">T5-V5</f>
        <v>-9.1603463769907E-007</v>
      </c>
    </row>
    <row r="6" customFormat="false" ht="15" hidden="false" customHeight="false" outlineLevel="0" collapsed="false">
      <c r="A6" s="5" t="s">
        <v>414</v>
      </c>
      <c r="B6" s="5" t="s">
        <v>415</v>
      </c>
      <c r="C6" s="5" t="s">
        <v>408</v>
      </c>
      <c r="D6" s="5" t="s">
        <v>409</v>
      </c>
      <c r="E6" s="5" t="n">
        <v>1</v>
      </c>
      <c r="F6" s="5" t="s">
        <v>410</v>
      </c>
      <c r="G6" s="5" t="n">
        <v>25</v>
      </c>
      <c r="H6" s="5" t="s">
        <v>411</v>
      </c>
      <c r="I6" s="5" t="s">
        <v>412</v>
      </c>
      <c r="J6" s="5"/>
      <c r="K6" s="5"/>
      <c r="L6" s="5" t="s">
        <v>412</v>
      </c>
      <c r="M6" s="5"/>
      <c r="N6" s="5" t="s">
        <v>413</v>
      </c>
      <c r="O6" s="15" t="n">
        <f aca="false">SUM(BOM!$J$13:$J$20)</f>
        <v>461.577415919462</v>
      </c>
      <c r="P6" s="15" t="n">
        <f aca="false">SUM(Operations!$G$8:$G$10)</f>
        <v>2.991149</v>
      </c>
      <c r="Q6" s="15" t="n">
        <f aca="false">SUM(Overheads!$D$13:$D$20)-R6</f>
        <v>18.0360002815723</v>
      </c>
      <c r="R6" s="16" t="n">
        <v>0.0329999998211861</v>
      </c>
      <c r="S6" s="17" t="n">
        <f aca="false">O6+P6+Q6+R6</f>
        <v>482.637565200856</v>
      </c>
      <c r="T6" s="11" t="n">
        <f aca="false">S6/1000</f>
        <v>0.482637565200856</v>
      </c>
      <c r="U6" s="18" t="n">
        <f aca="false">T6*(1+Drivers!$B$7)</f>
        <v>0.555033199980984</v>
      </c>
      <c r="V6" s="12" t="n">
        <v>0.482636423352111</v>
      </c>
      <c r="W6" s="11" t="n">
        <f aca="false">T6-V6</f>
        <v>1.14184874483447E-006</v>
      </c>
    </row>
    <row r="7" customFormat="false" ht="15" hidden="false" customHeight="false" outlineLevel="0" collapsed="false">
      <c r="A7" s="5" t="s">
        <v>416</v>
      </c>
      <c r="B7" s="5" t="s">
        <v>417</v>
      </c>
      <c r="C7" s="5" t="s">
        <v>408</v>
      </c>
      <c r="D7" s="5" t="s">
        <v>409</v>
      </c>
      <c r="E7" s="5" t="n">
        <v>1</v>
      </c>
      <c r="F7" s="5" t="s">
        <v>410</v>
      </c>
      <c r="G7" s="5" t="n">
        <v>35</v>
      </c>
      <c r="H7" s="5" t="s">
        <v>411</v>
      </c>
      <c r="I7" s="5" t="s">
        <v>412</v>
      </c>
      <c r="J7" s="5"/>
      <c r="K7" s="5"/>
      <c r="L7" s="5" t="s">
        <v>412</v>
      </c>
      <c r="M7" s="5"/>
      <c r="N7" s="5" t="s">
        <v>413</v>
      </c>
      <c r="O7" s="15" t="n">
        <f aca="false">SUM(BOM!$J$21:$J$28)</f>
        <v>634.94497218906</v>
      </c>
      <c r="P7" s="15" t="n">
        <f aca="false">SUM(Operations!$G$11:$G$13)</f>
        <v>2.9521881</v>
      </c>
      <c r="Q7" s="15" t="n">
        <f aca="false">SUM(Overheads!$D$21:$D$28)-R7</f>
        <v>24.7659999579191</v>
      </c>
      <c r="R7" s="16" t="n">
        <v>0.0329999998211861</v>
      </c>
      <c r="S7" s="17" t="n">
        <f aca="false">O7+P7+Q7+R7</f>
        <v>662.6961602468</v>
      </c>
      <c r="T7" s="11" t="n">
        <f aca="false">S7/1000</f>
        <v>0.6626961602468</v>
      </c>
      <c r="U7" s="18" t="n">
        <f aca="false">T7*(1+Drivers!$B$7)</f>
        <v>0.76210058428382</v>
      </c>
      <c r="V7" s="12" t="n">
        <v>0.662695982488259</v>
      </c>
      <c r="W7" s="11" t="n">
        <f aca="false">T7-V7</f>
        <v>1.77758540775841E-007</v>
      </c>
    </row>
    <row r="8" customFormat="false" ht="15" hidden="false" customHeight="false" outlineLevel="0" collapsed="false">
      <c r="A8" s="5" t="s">
        <v>418</v>
      </c>
      <c r="B8" s="5" t="s">
        <v>419</v>
      </c>
      <c r="C8" s="5" t="s">
        <v>408</v>
      </c>
      <c r="D8" s="5" t="s">
        <v>409</v>
      </c>
      <c r="E8" s="5" t="n">
        <v>1</v>
      </c>
      <c r="F8" s="5" t="s">
        <v>410</v>
      </c>
      <c r="G8" s="5" t="n">
        <v>50</v>
      </c>
      <c r="H8" s="5" t="s">
        <v>411</v>
      </c>
      <c r="I8" s="5" t="s">
        <v>412</v>
      </c>
      <c r="J8" s="5"/>
      <c r="K8" s="5"/>
      <c r="L8" s="5" t="s">
        <v>412</v>
      </c>
      <c r="M8" s="5"/>
      <c r="N8" s="5" t="s">
        <v>413</v>
      </c>
      <c r="O8" s="15" t="n">
        <f aca="false">SUM(BOM!$J$29:$J$36)</f>
        <v>854.428066132858</v>
      </c>
      <c r="P8" s="15" t="n">
        <f aca="false">SUM(Operations!$G$14:$G$16)</f>
        <v>3.4212215</v>
      </c>
      <c r="Q8" s="15" t="n">
        <f aca="false">SUM(Overheads!$D$29:$D$36)-R8</f>
        <v>33.3439999073744</v>
      </c>
      <c r="R8" s="16" t="n">
        <v>0.0329999998211861</v>
      </c>
      <c r="S8" s="17" t="n">
        <f aca="false">O8+P8+Q8+R8</f>
        <v>891.226287540053</v>
      </c>
      <c r="T8" s="11" t="n">
        <f aca="false">S8/1000</f>
        <v>0.891226287540053</v>
      </c>
      <c r="U8" s="18" t="n">
        <f aca="false">T8*(1+Drivers!$B$7)</f>
        <v>1.02491023067106</v>
      </c>
      <c r="V8" s="12" t="n">
        <v>0.891226080440678</v>
      </c>
      <c r="W8" s="11" t="n">
        <f aca="false">T8-V8</f>
        <v>2.07099375093556E-007</v>
      </c>
    </row>
    <row r="9" customFormat="false" ht="15" hidden="false" customHeight="false" outlineLevel="0" collapsed="false">
      <c r="A9" s="5" t="s">
        <v>420</v>
      </c>
      <c r="B9" s="5" t="s">
        <v>105</v>
      </c>
      <c r="C9" s="5" t="s">
        <v>421</v>
      </c>
      <c r="D9" s="5"/>
      <c r="E9" s="5" t="n">
        <v>1</v>
      </c>
      <c r="F9" s="5" t="s">
        <v>410</v>
      </c>
      <c r="G9" s="5" t="n">
        <v>70</v>
      </c>
      <c r="H9" s="5" t="s">
        <v>411</v>
      </c>
      <c r="I9" s="5"/>
      <c r="J9" s="5"/>
      <c r="K9" s="5"/>
      <c r="L9" s="5"/>
      <c r="M9" s="5" t="s">
        <v>422</v>
      </c>
      <c r="N9" s="5"/>
      <c r="O9" s="15" t="n">
        <f aca="false">SUM(BOM!$J$37:$J$41)</f>
        <v>1187.70995518587</v>
      </c>
      <c r="P9" s="15" t="n">
        <f aca="false">SUM(Operations!$G$17:$G$19)</f>
        <v>2.6848668</v>
      </c>
      <c r="Q9" s="15" t="n">
        <f aca="false">SUM(Overheads!$D$37:$D$44)-R9</f>
        <v>49.137000605464</v>
      </c>
      <c r="R9" s="16" t="n">
        <v>10</v>
      </c>
      <c r="S9" s="17" t="n">
        <f aca="false">O9+P9+Q9+R9</f>
        <v>1249.53182259133</v>
      </c>
      <c r="T9" s="11" t="n">
        <f aca="false">S9/1000</f>
        <v>1.24953182259133</v>
      </c>
      <c r="U9" s="18" t="n">
        <f aca="false">T9*(1+Drivers!$B$7)</f>
        <v>1.43696159598003</v>
      </c>
      <c r="V9" s="12" t="n">
        <v>1.24953197530075</v>
      </c>
      <c r="W9" s="11" t="n">
        <f aca="false">T9-V9</f>
        <v>-1.52709419332098E-007</v>
      </c>
    </row>
    <row r="10" customFormat="false" ht="15" hidden="false" customHeight="false" outlineLevel="0" collapsed="false">
      <c r="A10" s="5" t="s">
        <v>423</v>
      </c>
      <c r="B10" s="5" t="s">
        <v>424</v>
      </c>
      <c r="C10" s="5" t="s">
        <v>408</v>
      </c>
      <c r="D10" s="5" t="s">
        <v>409</v>
      </c>
      <c r="E10" s="5" t="n">
        <v>1</v>
      </c>
      <c r="F10" s="5" t="s">
        <v>410</v>
      </c>
      <c r="G10" s="5" t="n">
        <v>95</v>
      </c>
      <c r="H10" s="5" t="s">
        <v>411</v>
      </c>
      <c r="I10" s="5" t="s">
        <v>412</v>
      </c>
      <c r="J10" s="5"/>
      <c r="K10" s="5"/>
      <c r="L10" s="5" t="s">
        <v>412</v>
      </c>
      <c r="M10" s="5"/>
      <c r="N10" s="5" t="s">
        <v>413</v>
      </c>
      <c r="O10" s="15" t="n">
        <f aca="false">SUM(BOM!$J$42:$J$49)</f>
        <v>1696.45311942204</v>
      </c>
      <c r="P10" s="15" t="n">
        <f aca="false">SUM(Operations!$G$20:$G$22)</f>
        <v>16.9247286</v>
      </c>
      <c r="Q10" s="15" t="n">
        <f aca="false">SUM(Overheads!$D$45:$D$52)-R10</f>
        <v>69.797999329865</v>
      </c>
      <c r="R10" s="16" t="n">
        <v>0.0329999998211861</v>
      </c>
      <c r="S10" s="17" t="n">
        <f aca="false">O10+P10+Q10+R10</f>
        <v>1783.20884735173</v>
      </c>
      <c r="T10" s="11" t="n">
        <f aca="false">S10/1000</f>
        <v>1.78320884735173</v>
      </c>
      <c r="U10" s="18" t="n">
        <f aca="false">T10*(1+Drivers!$B$7)</f>
        <v>2.05069017445448</v>
      </c>
      <c r="V10" s="12" t="n">
        <v>1.78320814689967</v>
      </c>
      <c r="W10" s="11" t="n">
        <f aca="false">T10-V10</f>
        <v>7.0045205502467E-007</v>
      </c>
    </row>
    <row r="11" customFormat="false" ht="15" hidden="false" customHeight="false" outlineLevel="0" collapsed="false">
      <c r="A11" s="5" t="s">
        <v>425</v>
      </c>
      <c r="B11" s="5" t="s">
        <v>426</v>
      </c>
      <c r="C11" s="5" t="s">
        <v>408</v>
      </c>
      <c r="D11" s="5" t="s">
        <v>409</v>
      </c>
      <c r="E11" s="5" t="n">
        <v>1</v>
      </c>
      <c r="F11" s="5" t="s">
        <v>410</v>
      </c>
      <c r="G11" s="5" t="n">
        <v>10</v>
      </c>
      <c r="H11" s="5" t="s">
        <v>411</v>
      </c>
      <c r="I11" s="5" t="s">
        <v>412</v>
      </c>
      <c r="J11" s="5"/>
      <c r="K11" s="5"/>
      <c r="L11" s="5" t="s">
        <v>412</v>
      </c>
      <c r="M11" s="5"/>
      <c r="N11" s="5" t="s">
        <v>413</v>
      </c>
      <c r="O11" s="15" t="n">
        <f aca="false">SUM(BOM!$J$50:$J$57)</f>
        <v>194.706615072782</v>
      </c>
      <c r="P11" s="15" t="n">
        <f aca="false">SUM(Operations!$G$23:$G$25)</f>
        <v>1.8814826</v>
      </c>
      <c r="Q11" s="15" t="n">
        <f aca="false">SUM(Overheads!$D$53:$D$60)-R11</f>
        <v>7.40200012922287</v>
      </c>
      <c r="R11" s="16" t="n">
        <v>0.0329999998211861</v>
      </c>
      <c r="S11" s="17" t="n">
        <f aca="false">O11+P11+Q11+R11</f>
        <v>204.023097801826</v>
      </c>
      <c r="T11" s="11" t="n">
        <f aca="false">S11/1000</f>
        <v>0.204023097801826</v>
      </c>
      <c r="U11" s="18" t="n">
        <f aca="false">T11*(1+Drivers!$B$7)</f>
        <v>0.2346265624721</v>
      </c>
      <c r="V11" s="12" t="n">
        <v>0.204023617313444</v>
      </c>
      <c r="W11" s="11" t="n">
        <f aca="false">T11-V11</f>
        <v>-5.19511617891322E-007</v>
      </c>
    </row>
    <row r="12" customFormat="false" ht="15" hidden="false" customHeight="false" outlineLevel="0" collapsed="false">
      <c r="A12" s="5" t="s">
        <v>427</v>
      </c>
      <c r="B12" s="5" t="s">
        <v>428</v>
      </c>
      <c r="C12" s="5" t="s">
        <v>429</v>
      </c>
      <c r="D12" s="5" t="s">
        <v>430</v>
      </c>
      <c r="E12" s="5" t="n">
        <v>10</v>
      </c>
      <c r="F12" s="5" t="s">
        <v>431</v>
      </c>
      <c r="G12" s="5" t="n">
        <v>1.5</v>
      </c>
      <c r="H12" s="5" t="s">
        <v>411</v>
      </c>
      <c r="I12" s="5" t="s">
        <v>432</v>
      </c>
      <c r="J12" s="5" t="s">
        <v>433</v>
      </c>
      <c r="K12" s="5" t="s">
        <v>434</v>
      </c>
      <c r="L12" s="5" t="s">
        <v>435</v>
      </c>
      <c r="M12" s="5"/>
      <c r="N12" s="5" t="s">
        <v>436</v>
      </c>
      <c r="O12" s="15" t="n">
        <f aca="false">SUM(BOM!$J$58:$J$75)</f>
        <v>1289.91901838916</v>
      </c>
      <c r="P12" s="15" t="n">
        <f aca="false">SUM(Operations!$G$26:$G$33)</f>
        <v>130.808330001059</v>
      </c>
      <c r="Q12" s="15" t="n">
        <f aca="false">SUM(Overheads!$D$61:$D$68)-R12</f>
        <v>61.3239994347096</v>
      </c>
      <c r="R12" s="16" t="n">
        <v>10</v>
      </c>
      <c r="S12" s="17" t="n">
        <f aca="false">O12+P12+Q12+R12</f>
        <v>1492.05134782493</v>
      </c>
      <c r="T12" s="11" t="n">
        <f aca="false">S12/1000</f>
        <v>1.49205134782493</v>
      </c>
      <c r="U12" s="18" t="n">
        <f aca="false">T12*(1+Drivers!$B$7)</f>
        <v>1.71585904999867</v>
      </c>
      <c r="V12" s="12" t="n">
        <v>1.49204622397997</v>
      </c>
      <c r="W12" s="11" t="n">
        <f aca="false">T12-V12</f>
        <v>5.1238449603197E-006</v>
      </c>
    </row>
    <row r="13" customFormat="false" ht="15" hidden="false" customHeight="false" outlineLevel="0" collapsed="false">
      <c r="A13" s="5" t="s">
        <v>437</v>
      </c>
      <c r="B13" s="5" t="s">
        <v>438</v>
      </c>
      <c r="C13" s="5" t="s">
        <v>429</v>
      </c>
      <c r="D13" s="5" t="s">
        <v>430</v>
      </c>
      <c r="E13" s="5" t="n">
        <v>10</v>
      </c>
      <c r="F13" s="5" t="s">
        <v>431</v>
      </c>
      <c r="G13" s="5" t="n">
        <v>1.5</v>
      </c>
      <c r="H13" s="5" t="s">
        <v>411</v>
      </c>
      <c r="I13" s="5" t="s">
        <v>432</v>
      </c>
      <c r="J13" s="5" t="s">
        <v>433</v>
      </c>
      <c r="K13" s="5" t="s">
        <v>434</v>
      </c>
      <c r="L13" s="5" t="s">
        <v>435</v>
      </c>
      <c r="M13" s="5"/>
      <c r="N13" s="5" t="s">
        <v>436</v>
      </c>
      <c r="O13" s="15" t="n">
        <f aca="false">SUM(BOM!$J$76:$J$94)</f>
        <v>1843.75536020768</v>
      </c>
      <c r="P13" s="15" t="n">
        <f aca="false">SUM(Operations!$G$34:$G$42)</f>
        <v>218.853239154664</v>
      </c>
      <c r="Q13" s="15" t="n">
        <f aca="false">SUM(Overheads!$D$69:$D$76)-R13</f>
        <v>72.2579999566079</v>
      </c>
      <c r="R13" s="16" t="n">
        <v>10</v>
      </c>
      <c r="S13" s="17" t="n">
        <f aca="false">O13+P13+Q13+R13</f>
        <v>2144.86659931896</v>
      </c>
      <c r="T13" s="11" t="n">
        <f aca="false">S13/1000</f>
        <v>2.14486659931896</v>
      </c>
      <c r="U13" s="18" t="n">
        <f aca="false">T13*(1+Drivers!$B$7)</f>
        <v>2.4665965892168</v>
      </c>
      <c r="V13" s="12" t="n">
        <v>2.14486296467396</v>
      </c>
      <c r="W13" s="11" t="n">
        <f aca="false">T13-V13</f>
        <v>3.63464499608668E-006</v>
      </c>
    </row>
    <row r="14" customFormat="false" ht="15" hidden="false" customHeight="false" outlineLevel="0" collapsed="false">
      <c r="A14" s="5" t="s">
        <v>439</v>
      </c>
      <c r="B14" s="5" t="s">
        <v>440</v>
      </c>
      <c r="C14" s="5" t="s">
        <v>429</v>
      </c>
      <c r="D14" s="5" t="s">
        <v>430</v>
      </c>
      <c r="E14" s="5" t="n">
        <v>10</v>
      </c>
      <c r="F14" s="5" t="s">
        <v>431</v>
      </c>
      <c r="G14" s="5" t="n">
        <v>2.5</v>
      </c>
      <c r="H14" s="5" t="s">
        <v>411</v>
      </c>
      <c r="I14" s="5" t="s">
        <v>432</v>
      </c>
      <c r="J14" s="5" t="s">
        <v>433</v>
      </c>
      <c r="K14" s="5" t="s">
        <v>434</v>
      </c>
      <c r="L14" s="5" t="s">
        <v>435</v>
      </c>
      <c r="M14" s="5"/>
      <c r="N14" s="5" t="s">
        <v>436</v>
      </c>
      <c r="O14" s="15" t="n">
        <f aca="false">SUM(BOM!$J$95:$J$113)</f>
        <v>1853.74291975829</v>
      </c>
      <c r="P14" s="15" t="n">
        <f aca="false">SUM(Operations!$G$43:$G$50)</f>
        <v>121.398380276447</v>
      </c>
      <c r="Q14" s="15" t="n">
        <f aca="false">SUM(Overheads!$D$77:$D$84)-R14</f>
        <v>75.4239999055862</v>
      </c>
      <c r="R14" s="16" t="n">
        <v>10</v>
      </c>
      <c r="S14" s="17" t="n">
        <f aca="false">O14+P14+Q14+R14</f>
        <v>2060.56529994032</v>
      </c>
      <c r="T14" s="11" t="n">
        <f aca="false">S14/1000</f>
        <v>2.06056529994032</v>
      </c>
      <c r="U14" s="18" t="n">
        <f aca="false">T14*(1+Drivers!$B$7)</f>
        <v>2.36965009493137</v>
      </c>
      <c r="V14" s="12" t="n">
        <v>2.06056993249982</v>
      </c>
      <c r="W14" s="11" t="n">
        <f aca="false">T14-V14</f>
        <v>-4.63255950178265E-006</v>
      </c>
    </row>
    <row r="15" customFormat="false" ht="15" hidden="false" customHeight="false" outlineLevel="0" collapsed="false">
      <c r="A15" s="5" t="s">
        <v>441</v>
      </c>
      <c r="B15" s="5" t="s">
        <v>109</v>
      </c>
      <c r="C15" s="5" t="s">
        <v>421</v>
      </c>
      <c r="D15" s="5"/>
      <c r="E15" s="5" t="n">
        <v>1</v>
      </c>
      <c r="F15" s="5" t="s">
        <v>410</v>
      </c>
      <c r="G15" s="5" t="n">
        <v>120</v>
      </c>
      <c r="H15" s="5" t="s">
        <v>411</v>
      </c>
      <c r="I15" s="5"/>
      <c r="J15" s="5"/>
      <c r="K15" s="5"/>
      <c r="L15" s="5"/>
      <c r="M15" s="5" t="s">
        <v>422</v>
      </c>
      <c r="N15" s="5"/>
      <c r="O15" s="15" t="n">
        <f aca="false">SUM(BOM!$J$114:$J$118)</f>
        <v>2075.08242099879</v>
      </c>
      <c r="P15" s="15" t="n">
        <f aca="false">SUM(Operations!$G$51:$G$53)</f>
        <v>13.6564617</v>
      </c>
      <c r="Q15" s="15" t="n">
        <f aca="false">SUM(Overheads!$D$85:$D$92)-R15</f>
        <v>88.5629993975162</v>
      </c>
      <c r="R15" s="16" t="n">
        <v>10</v>
      </c>
      <c r="S15" s="17" t="n">
        <f aca="false">O15+P15+Q15+R15</f>
        <v>2187.30188209631</v>
      </c>
      <c r="T15" s="11" t="n">
        <f aca="false">S15/1000</f>
        <v>2.18730188209631</v>
      </c>
      <c r="U15" s="18" t="n">
        <f aca="false">T15*(1+Drivers!$B$7)</f>
        <v>2.51539716441075</v>
      </c>
      <c r="V15" s="12" t="n">
        <v>2.18730245694361</v>
      </c>
      <c r="W15" s="11" t="n">
        <f aca="false">T15-V15</f>
        <v>-5.74847304424253E-007</v>
      </c>
    </row>
    <row r="16" customFormat="false" ht="15" hidden="false" customHeight="false" outlineLevel="0" collapsed="false">
      <c r="A16" s="5" t="s">
        <v>442</v>
      </c>
      <c r="B16" s="5" t="s">
        <v>443</v>
      </c>
      <c r="C16" s="5" t="s">
        <v>444</v>
      </c>
      <c r="D16" s="5" t="s">
        <v>445</v>
      </c>
      <c r="E16" s="5" t="n">
        <v>12</v>
      </c>
      <c r="F16" s="5" t="s">
        <v>410</v>
      </c>
      <c r="G16" s="5" t="n">
        <v>2.5</v>
      </c>
      <c r="H16" s="5" t="s">
        <v>411</v>
      </c>
      <c r="I16" s="5" t="s">
        <v>432</v>
      </c>
      <c r="J16" s="5" t="s">
        <v>446</v>
      </c>
      <c r="K16" s="5" t="s">
        <v>434</v>
      </c>
      <c r="L16" s="5" t="s">
        <v>447</v>
      </c>
      <c r="M16" s="5" t="s">
        <v>422</v>
      </c>
      <c r="N16" s="5" t="s">
        <v>448</v>
      </c>
      <c r="O16" s="15" t="n">
        <f aca="false">SUM(BOM!$J$119:$J$133)</f>
        <v>980.077974481185</v>
      </c>
      <c r="P16" s="15" t="n">
        <f aca="false">SUM(Operations!$G$54:$G$62)</f>
        <v>86.1814368993836</v>
      </c>
      <c r="Q16" s="15" t="n">
        <f aca="false">SUM(Overheads!$D$93:$D$100)-R16</f>
        <v>49.0579996705055</v>
      </c>
      <c r="R16" s="16" t="n">
        <v>10</v>
      </c>
      <c r="S16" s="17" t="n">
        <f aca="false">O16+P16+Q16+R16</f>
        <v>1125.31741105107</v>
      </c>
      <c r="T16" s="11" t="n">
        <f aca="false">S16/1000</f>
        <v>1.12531741105107</v>
      </c>
      <c r="U16" s="18" t="n">
        <f aca="false">T16*(1+Drivers!$B$7)</f>
        <v>1.29411502270874</v>
      </c>
      <c r="V16" s="12" t="n">
        <v>1.12531725671732</v>
      </c>
      <c r="W16" s="11" t="n">
        <f aca="false">T16-V16</f>
        <v>1.54333754442959E-007</v>
      </c>
    </row>
    <row r="17" customFormat="false" ht="15" hidden="false" customHeight="false" outlineLevel="0" collapsed="false">
      <c r="A17" s="5" t="s">
        <v>449</v>
      </c>
      <c r="B17" s="5" t="s">
        <v>450</v>
      </c>
      <c r="C17" s="5" t="s">
        <v>444</v>
      </c>
      <c r="D17" s="5" t="s">
        <v>445</v>
      </c>
      <c r="E17" s="5" t="n">
        <v>12</v>
      </c>
      <c r="F17" s="5" t="s">
        <v>410</v>
      </c>
      <c r="G17" s="5" t="n">
        <v>2.5</v>
      </c>
      <c r="H17" s="5" t="s">
        <v>411</v>
      </c>
      <c r="I17" s="5" t="s">
        <v>432</v>
      </c>
      <c r="J17" s="5" t="s">
        <v>446</v>
      </c>
      <c r="K17" s="5" t="s">
        <v>434</v>
      </c>
      <c r="L17" s="5" t="s">
        <v>447</v>
      </c>
      <c r="M17" s="5" t="s">
        <v>422</v>
      </c>
      <c r="N17" s="5" t="s">
        <v>448</v>
      </c>
      <c r="O17" s="15" t="n">
        <f aca="false">SUM(BOM!$J$134:$J$149)</f>
        <v>1375.29615113294</v>
      </c>
      <c r="P17" s="15" t="n">
        <f aca="false">SUM(Operations!$G$63:$G$72)</f>
        <v>142.050761991546</v>
      </c>
      <c r="Q17" s="15" t="n">
        <f aca="false">SUM(Overheads!$D$101:$D$108)-R17</f>
        <v>57.3330000340938</v>
      </c>
      <c r="R17" s="16" t="n">
        <v>10</v>
      </c>
      <c r="S17" s="17" t="n">
        <f aca="false">O17+P17+Q17+R17</f>
        <v>1584.67991315858</v>
      </c>
      <c r="T17" s="11" t="n">
        <f aca="false">S17/1000</f>
        <v>1.58467991315858</v>
      </c>
      <c r="U17" s="18" t="n">
        <f aca="false">T17*(1+Drivers!$B$7)</f>
        <v>1.82238190013237</v>
      </c>
      <c r="V17" s="12" t="n">
        <v>1.58468127274481</v>
      </c>
      <c r="W17" s="11" t="n">
        <f aca="false">T17-V17</f>
        <v>-1.35958622582422E-006</v>
      </c>
    </row>
    <row r="18" customFormat="false" ht="15" hidden="false" customHeight="false" outlineLevel="0" collapsed="false">
      <c r="A18" s="5" t="s">
        <v>451</v>
      </c>
      <c r="B18" s="5" t="s">
        <v>452</v>
      </c>
      <c r="C18" s="5" t="s">
        <v>453</v>
      </c>
      <c r="D18" s="5" t="s">
        <v>445</v>
      </c>
      <c r="E18" s="5" t="n">
        <v>1</v>
      </c>
      <c r="F18" s="5" t="s">
        <v>410</v>
      </c>
      <c r="G18" s="5" t="n">
        <v>240</v>
      </c>
      <c r="H18" s="5" t="s">
        <v>411</v>
      </c>
      <c r="I18" s="5" t="s">
        <v>432</v>
      </c>
      <c r="J18" s="5"/>
      <c r="K18" s="5" t="s">
        <v>454</v>
      </c>
      <c r="L18" s="5" t="s">
        <v>412</v>
      </c>
      <c r="M18" s="5" t="s">
        <v>422</v>
      </c>
      <c r="N18" s="5" t="s">
        <v>448</v>
      </c>
      <c r="O18" s="15" t="n">
        <f aca="false">SUM(BOM!$J$150:$J$159)</f>
        <v>4611.96512179875</v>
      </c>
      <c r="P18" s="15" t="n">
        <f aca="false">SUM(Operations!$G$73:$G$78)</f>
        <v>98.1589777</v>
      </c>
      <c r="Q18" s="15" t="n">
        <f aca="false">SUM(Overheads!$D$109:$D$116)-R18</f>
        <v>201.282997965813</v>
      </c>
      <c r="R18" s="16" t="n">
        <v>1</v>
      </c>
      <c r="S18" s="17" t="n">
        <f aca="false">O18+P18+Q18+R18</f>
        <v>4912.40709746456</v>
      </c>
      <c r="T18" s="11" t="n">
        <f aca="false">S18/1000</f>
        <v>4.91240709746456</v>
      </c>
      <c r="U18" s="18" t="n">
        <f aca="false">T18*(1+Drivers!$B$7)</f>
        <v>5.64926816208425</v>
      </c>
      <c r="V18" s="12" t="n">
        <v>4.91240719300001</v>
      </c>
      <c r="W18" s="11" t="n">
        <f aca="false">T18-V18</f>
        <v>-9.55354462206515E-008</v>
      </c>
    </row>
    <row r="19" customFormat="false" ht="15" hidden="false" customHeight="false" outlineLevel="0" collapsed="false">
      <c r="A19" s="5" t="s">
        <v>455</v>
      </c>
      <c r="B19" s="5" t="s">
        <v>456</v>
      </c>
      <c r="C19" s="5" t="s">
        <v>453</v>
      </c>
      <c r="D19" s="5" t="s">
        <v>445</v>
      </c>
      <c r="E19" s="5" t="n">
        <v>1</v>
      </c>
      <c r="F19" s="5" t="s">
        <v>410</v>
      </c>
      <c r="G19" s="5" t="n">
        <v>300</v>
      </c>
      <c r="H19" s="5" t="s">
        <v>411</v>
      </c>
      <c r="I19" s="5" t="s">
        <v>432</v>
      </c>
      <c r="J19" s="5"/>
      <c r="K19" s="5" t="s">
        <v>454</v>
      </c>
      <c r="L19" s="5" t="s">
        <v>412</v>
      </c>
      <c r="M19" s="5" t="s">
        <v>422</v>
      </c>
      <c r="N19" s="5" t="s">
        <v>448</v>
      </c>
      <c r="O19" s="15" t="n">
        <f aca="false">SUM(BOM!$J$160:$J$169)</f>
        <v>5717.59341085046</v>
      </c>
      <c r="P19" s="15" t="n">
        <f aca="false">SUM(Operations!$G$79:$G$84)</f>
        <v>130.8877209</v>
      </c>
      <c r="Q19" s="15" t="n">
        <f aca="false">SUM(Overheads!$D$117:$D$124)-R19</f>
        <v>253.431002944708</v>
      </c>
      <c r="R19" s="16" t="n">
        <v>1</v>
      </c>
      <c r="S19" s="17" t="n">
        <f aca="false">O19+P19+Q19+R19</f>
        <v>6102.91213469517</v>
      </c>
      <c r="T19" s="11" t="n">
        <f aca="false">S19/1000</f>
        <v>6.10291213469517</v>
      </c>
      <c r="U19" s="18" t="n">
        <f aca="false">T19*(1+Drivers!$B$7)</f>
        <v>7.01834895489944</v>
      </c>
      <c r="V19" s="12" t="n">
        <v>6.10291050317002</v>
      </c>
      <c r="W19" s="11" t="n">
        <f aca="false">T19-V19</f>
        <v>1.63152514609521E-006</v>
      </c>
    </row>
    <row r="20" customFormat="false" ht="15" hidden="false" customHeight="false" outlineLevel="0" collapsed="false">
      <c r="A20" s="5" t="s">
        <v>457</v>
      </c>
      <c r="B20" s="5" t="s">
        <v>458</v>
      </c>
      <c r="C20" s="5" t="s">
        <v>453</v>
      </c>
      <c r="D20" s="5" t="s">
        <v>445</v>
      </c>
      <c r="E20" s="5" t="n">
        <v>1</v>
      </c>
      <c r="F20" s="5" t="s">
        <v>410</v>
      </c>
      <c r="G20" s="5" t="n">
        <v>400</v>
      </c>
      <c r="H20" s="5" t="s">
        <v>411</v>
      </c>
      <c r="I20" s="5" t="s">
        <v>432</v>
      </c>
      <c r="J20" s="5"/>
      <c r="K20" s="5" t="s">
        <v>454</v>
      </c>
      <c r="L20" s="5" t="s">
        <v>412</v>
      </c>
      <c r="M20" s="5" t="s">
        <v>422</v>
      </c>
      <c r="N20" s="5" t="s">
        <v>448</v>
      </c>
      <c r="O20" s="15" t="n">
        <f aca="false">SUM(BOM!$J$170:$J$179)</f>
        <v>7349.86249539104</v>
      </c>
      <c r="P20" s="15" t="n">
        <f aca="false">SUM(Operations!$G$85:$G$90)</f>
        <v>150.6779623</v>
      </c>
      <c r="Q20" s="15" t="n">
        <f aca="false">SUM(Overheads!$D$125:$D$132)-R20</f>
        <v>319.686994194985</v>
      </c>
      <c r="R20" s="16" t="n">
        <v>1</v>
      </c>
      <c r="S20" s="17" t="n">
        <f aca="false">O20+P20+Q20+R20</f>
        <v>7821.22745188603</v>
      </c>
      <c r="T20" s="11" t="n">
        <f aca="false">S20/1000</f>
        <v>7.82122745188603</v>
      </c>
      <c r="U20" s="18" t="n">
        <f aca="false">T20*(1+Drivers!$B$7)</f>
        <v>8.99441156966893</v>
      </c>
      <c r="V20" s="12" t="n">
        <v>7.82122760815427</v>
      </c>
      <c r="W20" s="11" t="n">
        <f aca="false">T20-V20</f>
        <v>-1.56268242790247E-007</v>
      </c>
    </row>
    <row r="21" customFormat="false" ht="15" hidden="false" customHeight="false" outlineLevel="0" collapsed="false">
      <c r="A21" s="5" t="s">
        <v>459</v>
      </c>
      <c r="B21" s="5" t="s">
        <v>460</v>
      </c>
      <c r="C21" s="5" t="s">
        <v>453</v>
      </c>
      <c r="D21" s="5" t="s">
        <v>445</v>
      </c>
      <c r="E21" s="5" t="n">
        <v>1</v>
      </c>
      <c r="F21" s="5" t="s">
        <v>410</v>
      </c>
      <c r="G21" s="5" t="n">
        <v>630</v>
      </c>
      <c r="H21" s="5" t="s">
        <v>411</v>
      </c>
      <c r="I21" s="5" t="s">
        <v>432</v>
      </c>
      <c r="J21" s="5"/>
      <c r="K21" s="5" t="s">
        <v>454</v>
      </c>
      <c r="L21" s="5" t="s">
        <v>412</v>
      </c>
      <c r="M21" s="5" t="s">
        <v>422</v>
      </c>
      <c r="N21" s="5" t="s">
        <v>448</v>
      </c>
      <c r="O21" s="15" t="n">
        <f aca="false">SUM(BOM!$J$180:$J$189)</f>
        <v>12016.3555863486</v>
      </c>
      <c r="P21" s="15" t="n">
        <f aca="false">SUM(Operations!$G$91:$G$96)</f>
        <v>177.2645797</v>
      </c>
      <c r="Q21" s="15" t="n">
        <f aca="false">SUM(Overheads!$D$133:$D$140)-R21</f>
        <v>510.023006081581</v>
      </c>
      <c r="R21" s="16" t="n">
        <v>1</v>
      </c>
      <c r="S21" s="17" t="n">
        <f aca="false">O21+P21+Q21+R21</f>
        <v>12704.6431721302</v>
      </c>
      <c r="T21" s="11" t="n">
        <f aca="false">S21/1000</f>
        <v>12.7046431721302</v>
      </c>
      <c r="U21" s="18" t="n">
        <f aca="false">T21*(1+Drivers!$B$7)</f>
        <v>14.6103396479497</v>
      </c>
      <c r="V21" s="12" t="n">
        <v>12.7046417910582</v>
      </c>
      <c r="W21" s="11" t="n">
        <f aca="false">T21-V21</f>
        <v>1.38107201230753E-006</v>
      </c>
    </row>
    <row r="22" customFormat="false" ht="15" hidden="false" customHeight="false" outlineLevel="0" collapsed="false">
      <c r="A22" s="5" t="s">
        <v>461</v>
      </c>
      <c r="B22" s="5" t="s">
        <v>462</v>
      </c>
      <c r="C22" s="5" t="s">
        <v>463</v>
      </c>
      <c r="D22" s="5" t="s">
        <v>464</v>
      </c>
      <c r="E22" s="5" t="n">
        <v>1</v>
      </c>
      <c r="F22" s="5" t="s">
        <v>410</v>
      </c>
      <c r="G22" s="5" t="n">
        <v>400</v>
      </c>
      <c r="H22" s="5" t="s">
        <v>411</v>
      </c>
      <c r="I22" s="5" t="s">
        <v>432</v>
      </c>
      <c r="J22" s="5" t="s">
        <v>465</v>
      </c>
      <c r="K22" s="5" t="s">
        <v>454</v>
      </c>
      <c r="L22" s="5" t="s">
        <v>412</v>
      </c>
      <c r="M22" s="5"/>
      <c r="N22" s="5" t="s">
        <v>466</v>
      </c>
      <c r="O22" s="15" t="n">
        <f aca="false">SUM(BOM!$J$190:$J$202)</f>
        <v>8879.0960179682</v>
      </c>
      <c r="P22" s="15" t="n">
        <f aca="false">SUM(Operations!$G$97:$G$104)</f>
        <v>359.8560111</v>
      </c>
      <c r="Q22" s="15" t="n">
        <f aca="false">SUM(Overheads!$D$141:$D$148)-R22</f>
        <v>396.13499557972</v>
      </c>
      <c r="R22" s="16" t="n">
        <v>5</v>
      </c>
      <c r="S22" s="17" t="n">
        <f aca="false">O22+P22+Q22+R22</f>
        <v>9640.08702464792</v>
      </c>
      <c r="T22" s="11" t="n">
        <f aca="false">S22/1000</f>
        <v>9.64008702464792</v>
      </c>
      <c r="U22" s="18" t="n">
        <f aca="false">T22*(1+Drivers!$B$7)</f>
        <v>11.0861000783451</v>
      </c>
      <c r="V22" s="12" t="n">
        <v>9.64009013211616</v>
      </c>
      <c r="W22" s="11" t="n">
        <f aca="false">T22-V22</f>
        <v>-3.10746823828367E-006</v>
      </c>
    </row>
    <row r="23" customFormat="false" ht="15" hidden="false" customHeight="false" outlineLevel="0" collapsed="false">
      <c r="A23" s="5" t="s">
        <v>467</v>
      </c>
      <c r="B23" s="5" t="s">
        <v>468</v>
      </c>
      <c r="C23" s="5" t="s">
        <v>463</v>
      </c>
      <c r="D23" s="5" t="s">
        <v>464</v>
      </c>
      <c r="E23" s="5" t="n">
        <v>1</v>
      </c>
      <c r="F23" s="5" t="s">
        <v>410</v>
      </c>
      <c r="G23" s="5" t="n">
        <v>630</v>
      </c>
      <c r="H23" s="5" t="s">
        <v>411</v>
      </c>
      <c r="I23" s="5" t="s">
        <v>432</v>
      </c>
      <c r="J23" s="5" t="s">
        <v>465</v>
      </c>
      <c r="K23" s="5" t="s">
        <v>454</v>
      </c>
      <c r="L23" s="5" t="s">
        <v>412</v>
      </c>
      <c r="M23" s="5"/>
      <c r="N23" s="5" t="s">
        <v>466</v>
      </c>
      <c r="O23" s="15" t="n">
        <f aca="false">SUM(BOM!$J$203:$J$215)</f>
        <v>13705.1149980476</v>
      </c>
      <c r="P23" s="15" t="n">
        <f aca="false">SUM(Operations!$G$105:$G$112)</f>
        <v>450.202101</v>
      </c>
      <c r="Q23" s="15" t="n">
        <f aca="false">SUM(Overheads!$D$149:$D$156)-R23</f>
        <v>605.196997165679</v>
      </c>
      <c r="R23" s="16" t="n">
        <v>5</v>
      </c>
      <c r="S23" s="17" t="n">
        <f aca="false">O23+P23+Q23+R23</f>
        <v>14765.5140962133</v>
      </c>
      <c r="T23" s="11" t="n">
        <f aca="false">S23/1000</f>
        <v>14.7655140962133</v>
      </c>
      <c r="U23" s="18" t="n">
        <f aca="false">T23*(1+Drivers!$B$7)</f>
        <v>16.9803412106453</v>
      </c>
      <c r="V23" s="12" t="n">
        <v>14.7655151938412</v>
      </c>
      <c r="W23" s="11" t="n">
        <f aca="false">T23-V23</f>
        <v>-1.09762792988022E-006</v>
      </c>
    </row>
    <row r="24" customFormat="false" ht="15" hidden="false" customHeight="false" outlineLevel="0" collapsed="false">
      <c r="A24" s="5" t="s">
        <v>469</v>
      </c>
      <c r="B24" s="5" t="s">
        <v>470</v>
      </c>
      <c r="C24" s="5" t="s">
        <v>429</v>
      </c>
      <c r="D24" s="5" t="s">
        <v>430</v>
      </c>
      <c r="E24" s="5" t="n">
        <v>1</v>
      </c>
      <c r="F24" s="5" t="s">
        <v>431</v>
      </c>
      <c r="G24" s="5" t="n">
        <v>1.5</v>
      </c>
      <c r="H24" s="5" t="s">
        <v>411</v>
      </c>
      <c r="I24" s="5" t="s">
        <v>432</v>
      </c>
      <c r="J24" s="5" t="s">
        <v>446</v>
      </c>
      <c r="K24" s="5" t="s">
        <v>434</v>
      </c>
      <c r="L24" s="5" t="s">
        <v>435</v>
      </c>
      <c r="M24" s="5"/>
      <c r="N24" s="5" t="s">
        <v>436</v>
      </c>
      <c r="O24" s="15" t="n">
        <f aca="false">SUM(BOM!$J$216:$J$231)</f>
        <v>201.389922756903</v>
      </c>
      <c r="P24" s="15" t="n">
        <f aca="false">SUM(Operations!$G$113:$G$119)</f>
        <v>30.2427514</v>
      </c>
      <c r="Q24" s="15" t="n">
        <f aca="false">SUM(Overheads!$D$157:$D$164)-R24</f>
        <v>12.6390001326799</v>
      </c>
      <c r="R24" s="16" t="n">
        <v>10</v>
      </c>
      <c r="S24" s="17" t="n">
        <f aca="false">O24+P24+Q24+R24</f>
        <v>254.271674289583</v>
      </c>
      <c r="T24" s="11" t="n">
        <f aca="false">S24/1000</f>
        <v>0.254271674289583</v>
      </c>
      <c r="U24" s="18" t="n">
        <f aca="false">T24*(1+Drivers!$B$7)</f>
        <v>0.292412425433021</v>
      </c>
      <c r="V24" s="12" t="n">
        <v>0.254271923537092</v>
      </c>
      <c r="W24" s="11" t="n">
        <f aca="false">T24-V24</f>
        <v>-2.49247508965489E-007</v>
      </c>
    </row>
    <row r="25" customFormat="false" ht="15" hidden="false" customHeight="false" outlineLevel="0" collapsed="false">
      <c r="A25" s="5" t="s">
        <v>471</v>
      </c>
      <c r="B25" s="5" t="s">
        <v>472</v>
      </c>
      <c r="C25" s="5" t="s">
        <v>429</v>
      </c>
      <c r="D25" s="5" t="s">
        <v>430</v>
      </c>
      <c r="E25" s="5" t="n">
        <v>1</v>
      </c>
      <c r="F25" s="5" t="s">
        <v>431</v>
      </c>
      <c r="G25" s="5" t="n">
        <v>1.5</v>
      </c>
      <c r="H25" s="5" t="s">
        <v>411</v>
      </c>
      <c r="I25" s="5" t="s">
        <v>432</v>
      </c>
      <c r="J25" s="5" t="s">
        <v>446</v>
      </c>
      <c r="K25" s="5" t="s">
        <v>434</v>
      </c>
      <c r="L25" s="5" t="s">
        <v>435</v>
      </c>
      <c r="M25" s="5"/>
      <c r="N25" s="5" t="s">
        <v>436</v>
      </c>
      <c r="O25" s="15" t="n">
        <f aca="false">SUM(BOM!$J$232:$J$248)</f>
        <v>271.386845696494</v>
      </c>
      <c r="P25" s="15" t="n">
        <f aca="false">SUM(Operations!$G$120:$G$127)</f>
        <v>38.8746054</v>
      </c>
      <c r="Q25" s="15" t="n">
        <f aca="false">SUM(Overheads!$D$165:$D$172)-R25</f>
        <v>13.8110000491142</v>
      </c>
      <c r="R25" s="16" t="n">
        <v>10</v>
      </c>
      <c r="S25" s="17" t="n">
        <f aca="false">O25+P25+Q25+R25</f>
        <v>334.072451145608</v>
      </c>
      <c r="T25" s="11" t="n">
        <f aca="false">S25/1000</f>
        <v>0.334072451145608</v>
      </c>
      <c r="U25" s="18" t="n">
        <f aca="false">T25*(1+Drivers!$B$7)</f>
        <v>0.384183318817449</v>
      </c>
      <c r="V25" s="12" t="n">
        <v>0.334072846393117</v>
      </c>
      <c r="W25" s="11" t="n">
        <f aca="false">T25-V25</f>
        <v>-3.9524750883313E-007</v>
      </c>
    </row>
    <row r="26" customFormat="false" ht="15" hidden="false" customHeight="false" outlineLevel="0" collapsed="false">
      <c r="A26" s="5" t="s">
        <v>473</v>
      </c>
      <c r="B26" s="5" t="s">
        <v>474</v>
      </c>
      <c r="C26" s="5" t="s">
        <v>408</v>
      </c>
      <c r="D26" s="5" t="s">
        <v>409</v>
      </c>
      <c r="E26" s="5" t="n">
        <v>1</v>
      </c>
      <c r="F26" s="5" t="s">
        <v>410</v>
      </c>
      <c r="G26" s="5" t="n">
        <v>120</v>
      </c>
      <c r="H26" s="5" t="s">
        <v>411</v>
      </c>
      <c r="I26" s="5" t="s">
        <v>412</v>
      </c>
      <c r="J26" s="5"/>
      <c r="K26" s="5"/>
      <c r="L26" s="5" t="s">
        <v>412</v>
      </c>
      <c r="M26" s="5"/>
      <c r="N26" s="5" t="s">
        <v>413</v>
      </c>
      <c r="O26" s="15" t="n">
        <f aca="false">SUM(BOM!$J$249:$J$256)</f>
        <v>2142.78989295544</v>
      </c>
      <c r="P26" s="15" t="n">
        <f aca="false">SUM(Operations!$G$128:$G$130)</f>
        <v>16.1918486</v>
      </c>
      <c r="Q26" s="15" t="n">
        <f aca="false">SUM(Overheads!$D$173:$D$180)-R26</f>
        <v>86.7269995659589</v>
      </c>
      <c r="R26" s="16" t="n">
        <v>0.0329999998211861</v>
      </c>
      <c r="S26" s="17" t="n">
        <f aca="false">O26+P26+Q26+R26</f>
        <v>2245.74174112122</v>
      </c>
      <c r="T26" s="11" t="n">
        <f aca="false">S26/1000</f>
        <v>2.24574174112122</v>
      </c>
      <c r="U26" s="18" t="n">
        <f aca="false">T26*(1+Drivers!$B$7)</f>
        <v>2.58260300228941</v>
      </c>
      <c r="V26" s="12" t="n">
        <v>2.24574192906853</v>
      </c>
      <c r="W26" s="11" t="n">
        <f aca="false">T26-V26</f>
        <v>-1.87947305274605E-007</v>
      </c>
    </row>
    <row r="27" customFormat="false" ht="15" hidden="false" customHeight="false" outlineLevel="0" collapsed="false">
      <c r="A27" s="5" t="s">
        <v>475</v>
      </c>
      <c r="B27" s="5" t="s">
        <v>476</v>
      </c>
      <c r="C27" s="5" t="s">
        <v>463</v>
      </c>
      <c r="D27" s="5" t="s">
        <v>464</v>
      </c>
      <c r="E27" s="5" t="n">
        <v>1</v>
      </c>
      <c r="F27" s="5" t="s">
        <v>410</v>
      </c>
      <c r="G27" s="5" t="n">
        <v>400</v>
      </c>
      <c r="H27" s="5" t="s">
        <v>411</v>
      </c>
      <c r="I27" s="5" t="s">
        <v>432</v>
      </c>
      <c r="J27" s="5" t="s">
        <v>465</v>
      </c>
      <c r="K27" s="5" t="s">
        <v>454</v>
      </c>
      <c r="L27" s="5" t="s">
        <v>412</v>
      </c>
      <c r="M27" s="5"/>
      <c r="N27" s="5" t="s">
        <v>477</v>
      </c>
      <c r="O27" s="15" t="n">
        <f aca="false">SUM(BOM!$J$257:$J$268)</f>
        <v>8332.69808285068</v>
      </c>
      <c r="P27" s="15" t="n">
        <f aca="false">SUM(Operations!$G$131:$G$138)</f>
        <v>346.9025426</v>
      </c>
      <c r="Q27" s="15" t="n">
        <f aca="false">SUM(Overheads!$D$181:$D$188)-R27</f>
        <v>383.093990683556</v>
      </c>
      <c r="R27" s="16" t="n">
        <v>5</v>
      </c>
      <c r="S27" s="17" t="n">
        <f aca="false">O27+P27+Q27+R27</f>
        <v>9067.69461613423</v>
      </c>
      <c r="T27" s="11" t="n">
        <f aca="false">S27/1000</f>
        <v>9.06769461613423</v>
      </c>
      <c r="U27" s="18" t="n">
        <f aca="false">T27*(1+Drivers!$B$7)</f>
        <v>10.4278488085544</v>
      </c>
      <c r="V27" s="12" t="n">
        <v>9.06769619210247</v>
      </c>
      <c r="W27" s="11" t="n">
        <f aca="false">T27-V27</f>
        <v>-1.57596823946449E-006</v>
      </c>
    </row>
    <row r="28" customFormat="false" ht="15" hidden="false" customHeight="false" outlineLevel="0" collapsed="false">
      <c r="A28" s="5" t="s">
        <v>478</v>
      </c>
      <c r="B28" s="5" t="s">
        <v>479</v>
      </c>
      <c r="C28" s="5" t="s">
        <v>463</v>
      </c>
      <c r="D28" s="5" t="s">
        <v>464</v>
      </c>
      <c r="E28" s="5" t="n">
        <v>1</v>
      </c>
      <c r="F28" s="5" t="s">
        <v>410</v>
      </c>
      <c r="G28" s="5" t="n">
        <v>630</v>
      </c>
      <c r="H28" s="5" t="s">
        <v>411</v>
      </c>
      <c r="I28" s="5" t="s">
        <v>432</v>
      </c>
      <c r="J28" s="5" t="s">
        <v>465</v>
      </c>
      <c r="K28" s="5" t="s">
        <v>454</v>
      </c>
      <c r="L28" s="5" t="s">
        <v>412</v>
      </c>
      <c r="M28" s="5"/>
      <c r="N28" s="5" t="s">
        <v>477</v>
      </c>
      <c r="O28" s="15" t="n">
        <f aca="false">SUM(BOM!$J$269:$J$281)</f>
        <v>13019.1611573075</v>
      </c>
      <c r="P28" s="15" t="n">
        <f aca="false">SUM(Operations!$G$139:$G$146)</f>
        <v>360.5688563</v>
      </c>
      <c r="Q28" s="15" t="n">
        <f aca="false">SUM(Overheads!$D$189:$D$196)-R28</f>
        <v>566.933998227119</v>
      </c>
      <c r="R28" s="16" t="n">
        <v>5</v>
      </c>
      <c r="S28" s="17" t="n">
        <f aca="false">O28+P28+Q28+R28</f>
        <v>13951.6640118346</v>
      </c>
      <c r="T28" s="11" t="n">
        <f aca="false">S28/1000</f>
        <v>13.9516640118346</v>
      </c>
      <c r="U28" s="18" t="n">
        <f aca="false">T28*(1+Drivers!$B$7)</f>
        <v>16.0444136136098</v>
      </c>
      <c r="V28" s="12" t="n">
        <v>13.9516653541626</v>
      </c>
      <c r="W28" s="11" t="n">
        <f aca="false">T28-V28</f>
        <v>-1.34232796433764E-006</v>
      </c>
    </row>
    <row r="29" customFormat="false" ht="15" hidden="false" customHeight="false" outlineLevel="0" collapsed="false">
      <c r="A29" s="5" t="s">
        <v>480</v>
      </c>
      <c r="B29" s="5" t="s">
        <v>481</v>
      </c>
      <c r="C29" s="5" t="s">
        <v>463</v>
      </c>
      <c r="D29" s="5" t="s">
        <v>464</v>
      </c>
      <c r="E29" s="5" t="n">
        <v>1</v>
      </c>
      <c r="F29" s="5" t="s">
        <v>410</v>
      </c>
      <c r="G29" s="5" t="n">
        <v>630</v>
      </c>
      <c r="H29" s="5" t="s">
        <v>411</v>
      </c>
      <c r="I29" s="5" t="s">
        <v>432</v>
      </c>
      <c r="J29" s="5" t="s">
        <v>465</v>
      </c>
      <c r="K29" s="5" t="s">
        <v>454</v>
      </c>
      <c r="L29" s="5" t="s">
        <v>412</v>
      </c>
      <c r="M29" s="5"/>
      <c r="N29" s="5" t="s">
        <v>482</v>
      </c>
      <c r="O29" s="15" t="n">
        <f aca="false">SUM(BOM!$J$282:$J$294)</f>
        <v>12791.0052168466</v>
      </c>
      <c r="P29" s="15" t="n">
        <f aca="false">SUM(Operations!$G$147:$G$154)</f>
        <v>296.320143</v>
      </c>
      <c r="Q29" s="15" t="n">
        <f aca="false">SUM(Overheads!$D$197:$D$204)-R29</f>
        <v>551.357999920845</v>
      </c>
      <c r="R29" s="16" t="n">
        <v>5</v>
      </c>
      <c r="S29" s="17" t="n">
        <f aca="false">O29+P29+Q29+R29</f>
        <v>13643.6833597674</v>
      </c>
      <c r="T29" s="11" t="n">
        <f aca="false">S29/1000</f>
        <v>13.6436833597674</v>
      </c>
      <c r="U29" s="18" t="n">
        <f aca="false">T29*(1+Drivers!$B$7)</f>
        <v>15.6902358637326</v>
      </c>
      <c r="V29" s="12" t="n">
        <v>13.6436834153954</v>
      </c>
      <c r="W29" s="11" t="n">
        <f aca="false">T29-V29</f>
        <v>-5.56279502461621E-008</v>
      </c>
    </row>
    <row r="30" customFormat="false" ht="15" hidden="false" customHeight="false" outlineLevel="0" collapsed="false">
      <c r="A30" s="5" t="s">
        <v>483</v>
      </c>
      <c r="B30" s="5" t="s">
        <v>484</v>
      </c>
      <c r="C30" s="5" t="s">
        <v>408</v>
      </c>
      <c r="D30" s="5" t="s">
        <v>409</v>
      </c>
      <c r="E30" s="5" t="n">
        <v>1</v>
      </c>
      <c r="F30" s="5" t="s">
        <v>410</v>
      </c>
      <c r="G30" s="5" t="n">
        <v>2.5</v>
      </c>
      <c r="H30" s="5" t="s">
        <v>411</v>
      </c>
      <c r="I30" s="5" t="s">
        <v>412</v>
      </c>
      <c r="J30" s="5"/>
      <c r="K30" s="5"/>
      <c r="L30" s="5" t="s">
        <v>412</v>
      </c>
      <c r="M30" s="5"/>
      <c r="N30" s="5" t="s">
        <v>413</v>
      </c>
      <c r="O30" s="15" t="n">
        <f aca="false">SUM(BOM!$J$295:$J$302)</f>
        <v>48.1935906976364</v>
      </c>
      <c r="P30" s="15" t="n">
        <f aca="false">SUM(Operations!$G$155:$G$159)</f>
        <v>1.0243575</v>
      </c>
      <c r="Q30" s="15" t="n">
        <f aca="false">SUM(Overheads!$D$205:$D$212)-R30</f>
        <v>1.51700001209974</v>
      </c>
      <c r="R30" s="16" t="n">
        <v>0.0329999998211861</v>
      </c>
      <c r="S30" s="17" t="n">
        <f aca="false">O30+P30+Q30+R30</f>
        <v>50.7679482095573</v>
      </c>
      <c r="T30" s="11" t="n">
        <f aca="false">S30/1000</f>
        <v>0.0507679482095573</v>
      </c>
      <c r="U30" s="18" t="n">
        <f aca="false">T30*(1+Drivers!$B$7)</f>
        <v>0.0583831404409909</v>
      </c>
      <c r="V30" s="12" t="n">
        <v>0.0507675909313493</v>
      </c>
      <c r="W30" s="11" t="n">
        <f aca="false">T30-V30</f>
        <v>3.57278207997747E-007</v>
      </c>
    </row>
    <row r="31" customFormat="false" ht="15" hidden="false" customHeight="false" outlineLevel="0" collapsed="false">
      <c r="A31" s="5" t="s">
        <v>485</v>
      </c>
      <c r="B31" s="5" t="s">
        <v>486</v>
      </c>
      <c r="C31" s="5" t="s">
        <v>429</v>
      </c>
      <c r="D31" s="5" t="s">
        <v>430</v>
      </c>
      <c r="E31" s="5" t="n">
        <v>20</v>
      </c>
      <c r="F31" s="5" t="s">
        <v>431</v>
      </c>
      <c r="G31" s="5" t="n">
        <v>1.5</v>
      </c>
      <c r="H31" s="5" t="s">
        <v>411</v>
      </c>
      <c r="I31" s="5" t="s">
        <v>432</v>
      </c>
      <c r="J31" s="5" t="s">
        <v>433</v>
      </c>
      <c r="K31" s="5" t="s">
        <v>434</v>
      </c>
      <c r="L31" s="5" t="s">
        <v>435</v>
      </c>
      <c r="M31" s="5"/>
      <c r="N31" s="5" t="s">
        <v>436</v>
      </c>
      <c r="O31" s="15" t="n">
        <f aca="false">SUM(BOM!$J$303:$J$320)</f>
        <v>3345.66728436236</v>
      </c>
      <c r="P31" s="15" t="n">
        <f aca="false">SUM(Operations!$G$160:$G$168)</f>
        <v>324.791539890673</v>
      </c>
      <c r="Q31" s="15" t="n">
        <f aca="false">SUM(Overheads!$D$213:$D$220)-R31</f>
        <v>110.631999075413</v>
      </c>
      <c r="R31" s="16" t="n">
        <v>10</v>
      </c>
      <c r="S31" s="17" t="n">
        <f aca="false">O31+P31+Q31+R31</f>
        <v>3791.09082332845</v>
      </c>
      <c r="T31" s="11" t="n">
        <f aca="false">S31/1000</f>
        <v>3.79109082332845</v>
      </c>
      <c r="U31" s="18" t="n">
        <f aca="false">T31*(1+Drivers!$B$7)</f>
        <v>4.35975444682771</v>
      </c>
      <c r="V31" s="12" t="n">
        <v>3.79108310084386</v>
      </c>
      <c r="W31" s="11" t="n">
        <f aca="false">T31-V31</f>
        <v>7.72248458558167E-006</v>
      </c>
    </row>
    <row r="32" customFormat="false" ht="15" hidden="false" customHeight="false" outlineLevel="0" collapsed="false">
      <c r="A32" s="5" t="s">
        <v>487</v>
      </c>
      <c r="B32" s="5" t="s">
        <v>488</v>
      </c>
      <c r="C32" s="5" t="s">
        <v>429</v>
      </c>
      <c r="D32" s="5" t="s">
        <v>430</v>
      </c>
      <c r="E32" s="5" t="n">
        <v>20</v>
      </c>
      <c r="F32" s="5" t="s">
        <v>431</v>
      </c>
      <c r="G32" s="5" t="n">
        <v>1.5</v>
      </c>
      <c r="H32" s="5" t="s">
        <v>411</v>
      </c>
      <c r="I32" s="5" t="s">
        <v>432</v>
      </c>
      <c r="J32" s="5" t="s">
        <v>433</v>
      </c>
      <c r="K32" s="5" t="s">
        <v>434</v>
      </c>
      <c r="L32" s="5" t="s">
        <v>435</v>
      </c>
      <c r="M32" s="5"/>
      <c r="N32" s="5" t="s">
        <v>436</v>
      </c>
      <c r="O32" s="15" t="n">
        <f aca="false">SUM(BOM!$J$321:$J$339)</f>
        <v>2337.15913865558</v>
      </c>
      <c r="P32" s="15" t="n">
        <f aca="false">SUM(Operations!$G$169:$G$176)</f>
        <v>150.648604197882</v>
      </c>
      <c r="Q32" s="15" t="n">
        <f aca="false">SUM(Overheads!$D$221:$D$228)-R32</f>
        <v>92.8179996013642</v>
      </c>
      <c r="R32" s="16" t="n">
        <v>10</v>
      </c>
      <c r="S32" s="17" t="n">
        <f aca="false">O32+P32+Q32+R32</f>
        <v>2590.62574245483</v>
      </c>
      <c r="T32" s="11" t="n">
        <f aca="false">S32/1000</f>
        <v>2.59062574245483</v>
      </c>
      <c r="U32" s="18" t="n">
        <f aca="false">T32*(1+Drivers!$B$7)</f>
        <v>2.97921960382305</v>
      </c>
      <c r="V32" s="12" t="n">
        <v>2.59061475237019</v>
      </c>
      <c r="W32" s="11" t="n">
        <f aca="false">T32-V32</f>
        <v>1.09900846361199E-005</v>
      </c>
    </row>
    <row r="33" customFormat="false" ht="15" hidden="false" customHeight="false" outlineLevel="0" collapsed="false">
      <c r="A33" s="5" t="s">
        <v>489</v>
      </c>
      <c r="B33" s="5" t="s">
        <v>490</v>
      </c>
      <c r="C33" s="5" t="s">
        <v>429</v>
      </c>
      <c r="D33" s="5" t="s">
        <v>430</v>
      </c>
      <c r="E33" s="5" t="n">
        <v>20</v>
      </c>
      <c r="F33" s="5" t="s">
        <v>431</v>
      </c>
      <c r="G33" s="5" t="n">
        <v>2.5</v>
      </c>
      <c r="H33" s="5" t="s">
        <v>411</v>
      </c>
      <c r="I33" s="5" t="s">
        <v>432</v>
      </c>
      <c r="J33" s="5" t="s">
        <v>433</v>
      </c>
      <c r="K33" s="5" t="s">
        <v>434</v>
      </c>
      <c r="L33" s="5" t="s">
        <v>435</v>
      </c>
      <c r="M33" s="5"/>
      <c r="N33" s="5" t="s">
        <v>436</v>
      </c>
      <c r="O33" s="15" t="n">
        <f aca="false">SUM(BOM!$J$340:$J$357)</f>
        <v>3290.53832757503</v>
      </c>
      <c r="P33" s="15" t="n">
        <f aca="false">SUM(Operations!$G$177:$G$184)</f>
        <v>173.969486247107</v>
      </c>
      <c r="Q33" s="15" t="n">
        <f aca="false">SUM(Overheads!$D$229:$D$236)-R33</f>
        <v>125.485000550747</v>
      </c>
      <c r="R33" s="16" t="n">
        <v>10</v>
      </c>
      <c r="S33" s="17" t="n">
        <f aca="false">O33+P33+Q33+R33</f>
        <v>3599.99281437288</v>
      </c>
      <c r="T33" s="11" t="n">
        <f aca="false">S33/1000</f>
        <v>3.59999281437288</v>
      </c>
      <c r="U33" s="18" t="n">
        <f aca="false">T33*(1+Drivers!$B$7)</f>
        <v>4.13999173652881</v>
      </c>
      <c r="V33" s="12" t="n">
        <v>3.60000035638866</v>
      </c>
      <c r="W33" s="11" t="n">
        <f aca="false">T33-V33</f>
        <v>-7.5420157812367E-006</v>
      </c>
    </row>
    <row r="34" customFormat="false" ht="15" hidden="false" customHeight="false" outlineLevel="0" collapsed="false">
      <c r="A34" s="5" t="s">
        <v>491</v>
      </c>
      <c r="B34" s="5" t="s">
        <v>492</v>
      </c>
      <c r="C34" s="5" t="s">
        <v>444</v>
      </c>
      <c r="D34" s="5" t="s">
        <v>445</v>
      </c>
      <c r="E34" s="5" t="n">
        <v>24</v>
      </c>
      <c r="F34" s="5" t="s">
        <v>410</v>
      </c>
      <c r="G34" s="5" t="n">
        <v>1.5</v>
      </c>
      <c r="H34" s="5" t="s">
        <v>411</v>
      </c>
      <c r="I34" s="5" t="s">
        <v>432</v>
      </c>
      <c r="J34" s="5" t="s">
        <v>446</v>
      </c>
      <c r="K34" s="5" t="s">
        <v>434</v>
      </c>
      <c r="L34" s="5" t="s">
        <v>447</v>
      </c>
      <c r="M34" s="5" t="s">
        <v>422</v>
      </c>
      <c r="N34" s="5" t="s">
        <v>448</v>
      </c>
      <c r="O34" s="15" t="n">
        <f aca="false">SUM(BOM!$J$358:$J$372)</f>
        <v>1253.66162429118</v>
      </c>
      <c r="P34" s="15" t="n">
        <f aca="false">SUM(Operations!$G$185:$G$193)</f>
        <v>100.910064556683</v>
      </c>
      <c r="Q34" s="15" t="n">
        <f aca="false">SUM(Overheads!$D$237:$D$244)-R34</f>
        <v>59.7769989669323</v>
      </c>
      <c r="R34" s="16" t="n">
        <v>10</v>
      </c>
      <c r="S34" s="17" t="n">
        <f aca="false">O34+P34+Q34+R34</f>
        <v>1424.3486878148</v>
      </c>
      <c r="T34" s="11" t="n">
        <f aca="false">S34/1000</f>
        <v>1.4243486878148</v>
      </c>
      <c r="U34" s="18" t="n">
        <f aca="false">T34*(1+Drivers!$B$7)</f>
        <v>1.63800099098702</v>
      </c>
      <c r="V34" s="12" t="n">
        <v>1.42434690813392</v>
      </c>
      <c r="W34" s="11" t="n">
        <f aca="false">T34-V34</f>
        <v>1.77968087666791E-006</v>
      </c>
    </row>
    <row r="35" customFormat="false" ht="15" hidden="false" customHeight="false" outlineLevel="0" collapsed="false">
      <c r="A35" s="5" t="s">
        <v>493</v>
      </c>
      <c r="B35" s="5" t="s">
        <v>494</v>
      </c>
      <c r="C35" s="5" t="s">
        <v>444</v>
      </c>
      <c r="D35" s="5" t="s">
        <v>445</v>
      </c>
      <c r="E35" s="5" t="n">
        <v>24</v>
      </c>
      <c r="F35" s="5" t="s">
        <v>410</v>
      </c>
      <c r="G35" s="5" t="n">
        <v>2.5</v>
      </c>
      <c r="H35" s="5" t="s">
        <v>411</v>
      </c>
      <c r="I35" s="5" t="s">
        <v>432</v>
      </c>
      <c r="J35" s="5" t="s">
        <v>446</v>
      </c>
      <c r="K35" s="5" t="s">
        <v>434</v>
      </c>
      <c r="L35" s="5" t="s">
        <v>447</v>
      </c>
      <c r="M35" s="5" t="s">
        <v>422</v>
      </c>
      <c r="N35" s="5" t="s">
        <v>448</v>
      </c>
      <c r="O35" s="15" t="n">
        <f aca="false">SUM(BOM!$J$373:$J$387)</f>
        <v>1767.76135830416</v>
      </c>
      <c r="P35" s="15" t="n">
        <f aca="false">SUM(Operations!$G$194:$G$202)</f>
        <v>106.318126398151</v>
      </c>
      <c r="Q35" s="15" t="n">
        <f aca="false">SUM(Overheads!$D$245:$D$252)-R35</f>
        <v>79.5360003411771</v>
      </c>
      <c r="R35" s="16" t="n">
        <v>10</v>
      </c>
      <c r="S35" s="17" t="n">
        <f aca="false">O35+P35+Q35+R35</f>
        <v>1963.61548504348</v>
      </c>
      <c r="T35" s="11" t="n">
        <f aca="false">S35/1000</f>
        <v>1.96361548504348</v>
      </c>
      <c r="U35" s="18" t="n">
        <f aca="false">T35*(1+Drivers!$B$7)</f>
        <v>2.25815780780001</v>
      </c>
      <c r="V35" s="12" t="n">
        <v>1.9636172036918</v>
      </c>
      <c r="W35" s="11" t="n">
        <f aca="false">T35-V35</f>
        <v>-1.71864831721713E-006</v>
      </c>
    </row>
    <row r="36" customFormat="false" ht="15" hidden="false" customHeight="false" outlineLevel="0" collapsed="false">
      <c r="A36" s="5" t="s">
        <v>495</v>
      </c>
      <c r="B36" s="5" t="s">
        <v>496</v>
      </c>
      <c r="C36" s="5" t="s">
        <v>444</v>
      </c>
      <c r="D36" s="5" t="s">
        <v>445</v>
      </c>
      <c r="E36" s="5" t="n">
        <v>24</v>
      </c>
      <c r="F36" s="5" t="s">
        <v>410</v>
      </c>
      <c r="G36" s="5" t="n">
        <v>2.5</v>
      </c>
      <c r="H36" s="5" t="s">
        <v>411</v>
      </c>
      <c r="I36" s="5" t="s">
        <v>432</v>
      </c>
      <c r="J36" s="5" t="s">
        <v>446</v>
      </c>
      <c r="K36" s="5" t="s">
        <v>434</v>
      </c>
      <c r="L36" s="5" t="s">
        <v>447</v>
      </c>
      <c r="M36" s="5" t="s">
        <v>422</v>
      </c>
      <c r="N36" s="5" t="s">
        <v>448</v>
      </c>
      <c r="O36" s="15" t="n">
        <f aca="false">SUM(BOM!$J$388:$J$403)</f>
        <v>2530.31440460294</v>
      </c>
      <c r="P36" s="15" t="n">
        <f aca="false">SUM(Operations!$G$203:$G$212)</f>
        <v>221.780329374639</v>
      </c>
      <c r="Q36" s="15" t="n">
        <f aca="false">SUM(Overheads!$D$253:$D$260)-R36</f>
        <v>95.109000325203</v>
      </c>
      <c r="R36" s="16" t="n">
        <v>10</v>
      </c>
      <c r="S36" s="17" t="n">
        <f aca="false">O36+P36+Q36+R36</f>
        <v>2857.20373430278</v>
      </c>
      <c r="T36" s="11" t="n">
        <f aca="false">S36/1000</f>
        <v>2.85720373430278</v>
      </c>
      <c r="U36" s="18" t="n">
        <f aca="false">T36*(1+Drivers!$B$7)</f>
        <v>3.28578429444819</v>
      </c>
      <c r="V36" s="12" t="n">
        <v>2.85720676701105</v>
      </c>
      <c r="W36" s="11" t="n">
        <f aca="false">T36-V36</f>
        <v>-3.03270827162194E-006</v>
      </c>
    </row>
    <row r="37" customFormat="false" ht="15" hidden="false" customHeight="false" outlineLevel="0" collapsed="false">
      <c r="A37" s="5" t="s">
        <v>497</v>
      </c>
      <c r="B37" s="5" t="s">
        <v>498</v>
      </c>
      <c r="C37" s="5" t="s">
        <v>444</v>
      </c>
      <c r="D37" s="5" t="s">
        <v>445</v>
      </c>
      <c r="E37" s="5" t="n">
        <v>24</v>
      </c>
      <c r="F37" s="5" t="s">
        <v>410</v>
      </c>
      <c r="G37" s="5" t="n">
        <v>1.5</v>
      </c>
      <c r="H37" s="5" t="s">
        <v>411</v>
      </c>
      <c r="I37" s="5" t="s">
        <v>432</v>
      </c>
      <c r="J37" s="5" t="s">
        <v>446</v>
      </c>
      <c r="K37" s="5" t="s">
        <v>434</v>
      </c>
      <c r="L37" s="5" t="s">
        <v>447</v>
      </c>
      <c r="M37" s="5" t="s">
        <v>422</v>
      </c>
      <c r="N37" s="5" t="s">
        <v>448</v>
      </c>
      <c r="O37" s="15" t="n">
        <f aca="false">SUM(BOM!$J$404:$J$419)</f>
        <v>1928.82491964744</v>
      </c>
      <c r="P37" s="15" t="n">
        <f aca="false">SUM(Operations!$G$213:$G$222)</f>
        <v>240.435729557615</v>
      </c>
      <c r="Q37" s="15" t="n">
        <f aca="false">SUM(Overheads!$D$261:$D$268)-R37</f>
        <v>72.7019990980625</v>
      </c>
      <c r="R37" s="16" t="n">
        <v>10</v>
      </c>
      <c r="S37" s="17" t="n">
        <f aca="false">O37+P37+Q37+R37</f>
        <v>2251.96264830311</v>
      </c>
      <c r="T37" s="11" t="n">
        <f aca="false">S37/1000</f>
        <v>2.25196264830311</v>
      </c>
      <c r="U37" s="18" t="n">
        <f aca="false">T37*(1+Drivers!$B$7)</f>
        <v>2.58975704554858</v>
      </c>
      <c r="V37" s="12" t="n">
        <v>2.25195971978227</v>
      </c>
      <c r="W37" s="11" t="n">
        <f aca="false">T37-V37</f>
        <v>2.92852084271544E-006</v>
      </c>
    </row>
    <row r="38" customFormat="false" ht="15" hidden="false" customHeight="false" outlineLevel="0" collapsed="false">
      <c r="A38" s="5" t="s">
        <v>499</v>
      </c>
      <c r="B38" s="5" t="s">
        <v>500</v>
      </c>
      <c r="C38" s="5" t="s">
        <v>444</v>
      </c>
      <c r="D38" s="5" t="s">
        <v>445</v>
      </c>
      <c r="E38" s="5" t="n">
        <v>2</v>
      </c>
      <c r="F38" s="5" t="s">
        <v>410</v>
      </c>
      <c r="G38" s="5" t="n">
        <v>2.5</v>
      </c>
      <c r="H38" s="5" t="s">
        <v>411</v>
      </c>
      <c r="I38" s="5" t="s">
        <v>432</v>
      </c>
      <c r="J38" s="5" t="s">
        <v>446</v>
      </c>
      <c r="K38" s="5" t="s">
        <v>434</v>
      </c>
      <c r="L38" s="5" t="s">
        <v>447</v>
      </c>
      <c r="M38" s="5" t="s">
        <v>422</v>
      </c>
      <c r="N38" s="5" t="s">
        <v>448</v>
      </c>
      <c r="O38" s="15" t="n">
        <f aca="false">SUM(BOM!$J$420:$J$434)</f>
        <v>285.935409504501</v>
      </c>
      <c r="P38" s="15" t="n">
        <f aca="false">SUM(Operations!$G$223:$G$231)</f>
        <v>32.5770839583077</v>
      </c>
      <c r="Q38" s="15" t="n">
        <f aca="false">SUM(Overheads!$D$269:$D$276)-R38</f>
        <v>14.5660003200173</v>
      </c>
      <c r="R38" s="16" t="n">
        <v>10</v>
      </c>
      <c r="S38" s="17" t="n">
        <f aca="false">O38+P38+Q38+R38</f>
        <v>343.078493782826</v>
      </c>
      <c r="T38" s="11" t="n">
        <f aca="false">S38/1000</f>
        <v>0.343078493782826</v>
      </c>
      <c r="U38" s="18" t="n">
        <f aca="false">T38*(1+Drivers!$B$7)</f>
        <v>0.39454026785025</v>
      </c>
      <c r="V38" s="12" t="n">
        <v>0.343077380042823</v>
      </c>
      <c r="W38" s="11" t="n">
        <f aca="false">T38-V38</f>
        <v>1.11374000283382E-006</v>
      </c>
    </row>
    <row r="39" customFormat="false" ht="15" hidden="false" customHeight="false" outlineLevel="0" collapsed="false">
      <c r="A39" s="5" t="s">
        <v>501</v>
      </c>
      <c r="B39" s="5" t="s">
        <v>502</v>
      </c>
      <c r="C39" s="5" t="s">
        <v>444</v>
      </c>
      <c r="D39" s="5" t="s">
        <v>445</v>
      </c>
      <c r="E39" s="5" t="n">
        <v>2</v>
      </c>
      <c r="F39" s="5" t="s">
        <v>410</v>
      </c>
      <c r="G39" s="5" t="n">
        <v>2.5</v>
      </c>
      <c r="H39" s="5" t="s">
        <v>411</v>
      </c>
      <c r="I39" s="5" t="s">
        <v>432</v>
      </c>
      <c r="J39" s="5" t="s">
        <v>446</v>
      </c>
      <c r="K39" s="5" t="s">
        <v>434</v>
      </c>
      <c r="L39" s="5" t="s">
        <v>447</v>
      </c>
      <c r="M39" s="5" t="s">
        <v>422</v>
      </c>
      <c r="N39" s="5" t="s">
        <v>448</v>
      </c>
      <c r="O39" s="15" t="n">
        <f aca="false">SUM(BOM!$J$435:$J$450)</f>
        <v>354.809934830062</v>
      </c>
      <c r="P39" s="15" t="n">
        <f aca="false">SUM(Operations!$G$232:$G$241)</f>
        <v>37.1702520871478</v>
      </c>
      <c r="Q39" s="15" t="n">
        <f aca="false">SUM(Overheads!$D$277:$D$284)-R39</f>
        <v>16.5499999001622</v>
      </c>
      <c r="R39" s="16" t="n">
        <v>10</v>
      </c>
      <c r="S39" s="17" t="n">
        <f aca="false">O39+P39+Q39+R39</f>
        <v>418.530186817372</v>
      </c>
      <c r="T39" s="11" t="n">
        <f aca="false">S39/1000</f>
        <v>0.418530186817372</v>
      </c>
      <c r="U39" s="18" t="n">
        <f aca="false">T39*(1+Drivers!$B$7)</f>
        <v>0.481309714839977</v>
      </c>
      <c r="V39" s="12" t="n">
        <v>0.418530064907368</v>
      </c>
      <c r="W39" s="11" t="n">
        <f aca="false">T39-V39</f>
        <v>1.21910003647585E-007</v>
      </c>
    </row>
    <row r="40" customFormat="false" ht="15" hidden="false" customHeight="false" outlineLevel="0" collapsed="false">
      <c r="A40" s="5" t="s">
        <v>503</v>
      </c>
      <c r="B40" s="5" t="s">
        <v>504</v>
      </c>
      <c r="C40" s="5" t="s">
        <v>429</v>
      </c>
      <c r="D40" s="5" t="s">
        <v>430</v>
      </c>
      <c r="E40" s="5" t="n">
        <v>2</v>
      </c>
      <c r="F40" s="5" t="s">
        <v>431</v>
      </c>
      <c r="G40" s="5" t="n">
        <v>1.5</v>
      </c>
      <c r="H40" s="5" t="s">
        <v>411</v>
      </c>
      <c r="I40" s="5" t="s">
        <v>432</v>
      </c>
      <c r="J40" s="5" t="s">
        <v>433</v>
      </c>
      <c r="K40" s="5" t="s">
        <v>434</v>
      </c>
      <c r="L40" s="5" t="s">
        <v>435</v>
      </c>
      <c r="M40" s="5"/>
      <c r="N40" s="5" t="s">
        <v>436</v>
      </c>
      <c r="O40" s="15" t="n">
        <f aca="false">SUM(BOM!$J$451:$J$470)</f>
        <v>406.659936376567</v>
      </c>
      <c r="P40" s="15" t="n">
        <f aca="false">SUM(Operations!$G$242:$G$249)</f>
        <v>34.6408988001059</v>
      </c>
      <c r="Q40" s="15" t="n">
        <f aca="false">SUM(Overheads!$D$285:$D$292)-R40</f>
        <v>20.0690004825592</v>
      </c>
      <c r="R40" s="16" t="n">
        <v>10</v>
      </c>
      <c r="S40" s="17" t="n">
        <f aca="false">O40+P40+Q40+R40</f>
        <v>471.369835659232</v>
      </c>
      <c r="T40" s="11" t="n">
        <f aca="false">S40/1000</f>
        <v>0.471369835659232</v>
      </c>
      <c r="U40" s="18" t="n">
        <f aca="false">T40*(1+Drivers!$B$7)</f>
        <v>0.542075311008117</v>
      </c>
      <c r="V40" s="12" t="n">
        <v>0.471367858121922</v>
      </c>
      <c r="W40" s="11" t="n">
        <f aca="false">T40-V40</f>
        <v>1.97753730984962E-006</v>
      </c>
    </row>
    <row r="41" customFormat="false" ht="15" hidden="false" customHeight="false" outlineLevel="0" collapsed="false">
      <c r="A41" s="5" t="s">
        <v>505</v>
      </c>
      <c r="B41" s="5" t="s">
        <v>506</v>
      </c>
      <c r="C41" s="5" t="s">
        <v>463</v>
      </c>
      <c r="D41" s="5" t="s">
        <v>464</v>
      </c>
      <c r="E41" s="5" t="n">
        <v>3</v>
      </c>
      <c r="F41" s="5" t="s">
        <v>410</v>
      </c>
      <c r="G41" s="5" t="n">
        <v>50</v>
      </c>
      <c r="H41" s="5" t="s">
        <v>411</v>
      </c>
      <c r="I41" s="5" t="s">
        <v>432</v>
      </c>
      <c r="J41" s="5" t="s">
        <v>465</v>
      </c>
      <c r="K41" s="5" t="s">
        <v>434</v>
      </c>
      <c r="L41" s="5" t="s">
        <v>412</v>
      </c>
      <c r="M41" s="5"/>
      <c r="N41" s="5" t="s">
        <v>482</v>
      </c>
      <c r="O41" s="15" t="n">
        <f aca="false">SUM(BOM!$J$471:$J$483)</f>
        <v>4127.7883042188</v>
      </c>
      <c r="P41" s="15" t="n">
        <f aca="false">SUM(Operations!$G$250:$G$257)</f>
        <v>181.3881168</v>
      </c>
      <c r="Q41" s="15" t="n">
        <f aca="false">SUM(Overheads!$D$293:$D$300)-R41</f>
        <v>170.366000056267</v>
      </c>
      <c r="R41" s="16" t="n">
        <v>5</v>
      </c>
      <c r="S41" s="17" t="n">
        <f aca="false">O41+P41+Q41+R41</f>
        <v>4484.54242107506</v>
      </c>
      <c r="T41" s="11" t="n">
        <f aca="false">S41/1000</f>
        <v>4.48454242107506</v>
      </c>
      <c r="U41" s="18" t="n">
        <f aca="false">T41*(1+Drivers!$B$7)</f>
        <v>5.15722378423632</v>
      </c>
      <c r="V41" s="12" t="n">
        <v>4.48454134036443</v>
      </c>
      <c r="W41" s="11" t="n">
        <f aca="false">T41-V41</f>
        <v>1.08071063209536E-006</v>
      </c>
    </row>
    <row r="42" customFormat="false" ht="15" hidden="false" customHeight="false" outlineLevel="0" collapsed="false">
      <c r="A42" s="5" t="s">
        <v>507</v>
      </c>
      <c r="B42" s="5" t="s">
        <v>508</v>
      </c>
      <c r="C42" s="5" t="s">
        <v>453</v>
      </c>
      <c r="D42" s="5" t="s">
        <v>445</v>
      </c>
      <c r="E42" s="5" t="n">
        <v>3</v>
      </c>
      <c r="F42" s="5" t="s">
        <v>410</v>
      </c>
      <c r="G42" s="5" t="n">
        <v>50</v>
      </c>
      <c r="H42" s="5" t="s">
        <v>411</v>
      </c>
      <c r="I42" s="5" t="s">
        <v>432</v>
      </c>
      <c r="J42" s="5"/>
      <c r="K42" s="5" t="s">
        <v>434</v>
      </c>
      <c r="L42" s="5" t="s">
        <v>412</v>
      </c>
      <c r="M42" s="5" t="s">
        <v>509</v>
      </c>
      <c r="N42" s="5" t="s">
        <v>448</v>
      </c>
      <c r="O42" s="15" t="n">
        <f aca="false">SUM(BOM!$J$484:$J$497)</f>
        <v>2918.33537042945</v>
      </c>
      <c r="P42" s="15" t="n">
        <f aca="false">SUM(Operations!$G$258:$G$264)</f>
        <v>68.9056415</v>
      </c>
      <c r="Q42" s="15" t="n">
        <f aca="false">SUM(Overheads!$D$301:$D$308)-R42</f>
        <v>125.417000055313</v>
      </c>
      <c r="R42" s="16" t="n">
        <v>1.5</v>
      </c>
      <c r="S42" s="17" t="n">
        <f aca="false">O42+P42+Q42+R42</f>
        <v>3114.15801198477</v>
      </c>
      <c r="T42" s="11" t="n">
        <f aca="false">S42/1000</f>
        <v>3.11415801198477</v>
      </c>
      <c r="U42" s="18" t="n">
        <f aca="false">T42*(1+Drivers!$B$7)</f>
        <v>3.58128171378248</v>
      </c>
      <c r="V42" s="12" t="n">
        <v>3.11415941368664</v>
      </c>
      <c r="W42" s="11" t="n">
        <f aca="false">T42-V42</f>
        <v>-1.40170187323818E-006</v>
      </c>
    </row>
    <row r="43" customFormat="false" ht="15" hidden="false" customHeight="false" outlineLevel="0" collapsed="false">
      <c r="A43" s="5" t="s">
        <v>510</v>
      </c>
      <c r="B43" s="5" t="s">
        <v>511</v>
      </c>
      <c r="C43" s="5" t="s">
        <v>453</v>
      </c>
      <c r="D43" s="5" t="s">
        <v>445</v>
      </c>
      <c r="E43" s="5" t="n">
        <v>3</v>
      </c>
      <c r="F43" s="5" t="s">
        <v>410</v>
      </c>
      <c r="G43" s="5" t="n">
        <v>2.5</v>
      </c>
      <c r="H43" s="5" t="s">
        <v>411</v>
      </c>
      <c r="I43" s="5" t="s">
        <v>432</v>
      </c>
      <c r="J43" s="5"/>
      <c r="K43" s="5" t="s">
        <v>434</v>
      </c>
      <c r="L43" s="5" t="s">
        <v>412</v>
      </c>
      <c r="M43" s="5" t="s">
        <v>422</v>
      </c>
      <c r="N43" s="5" t="s">
        <v>448</v>
      </c>
      <c r="O43" s="15" t="n">
        <f aca="false">SUM(BOM!$J$498:$J$509)</f>
        <v>293.565303610364</v>
      </c>
      <c r="P43" s="15" t="n">
        <f aca="false">SUM(Operations!$G$265:$G$272)</f>
        <v>31.0705764</v>
      </c>
      <c r="Q43" s="15" t="n">
        <f aca="false">SUM(Overheads!$D$309:$D$316)-R43</f>
        <v>16.0989997982979</v>
      </c>
      <c r="R43" s="16" t="n">
        <v>2</v>
      </c>
      <c r="S43" s="17" t="n">
        <f aca="false">O43+P43+Q43+R43</f>
        <v>342.734879808662</v>
      </c>
      <c r="T43" s="11" t="n">
        <f aca="false">S43/1000</f>
        <v>0.342734879808662</v>
      </c>
      <c r="U43" s="18" t="n">
        <f aca="false">T43*(1+Drivers!$B$7)</f>
        <v>0.394145111779962</v>
      </c>
      <c r="V43" s="12" t="n">
        <v>0.342735304074038</v>
      </c>
      <c r="W43" s="11" t="n">
        <f aca="false">T43-V43</f>
        <v>-4.24265375720267E-007</v>
      </c>
    </row>
    <row r="44" customFormat="false" ht="15" hidden="false" customHeight="false" outlineLevel="0" collapsed="false">
      <c r="A44" s="5" t="s">
        <v>512</v>
      </c>
      <c r="B44" s="5" t="s">
        <v>513</v>
      </c>
      <c r="C44" s="5" t="s">
        <v>453</v>
      </c>
      <c r="D44" s="5" t="s">
        <v>445</v>
      </c>
      <c r="E44" s="5" t="n">
        <v>3</v>
      </c>
      <c r="F44" s="5" t="s">
        <v>410</v>
      </c>
      <c r="G44" s="5" t="n">
        <v>4</v>
      </c>
      <c r="H44" s="5" t="s">
        <v>411</v>
      </c>
      <c r="I44" s="5" t="s">
        <v>432</v>
      </c>
      <c r="J44" s="5"/>
      <c r="K44" s="5" t="s">
        <v>434</v>
      </c>
      <c r="L44" s="5" t="s">
        <v>412</v>
      </c>
      <c r="M44" s="5" t="s">
        <v>422</v>
      </c>
      <c r="N44" s="5" t="s">
        <v>448</v>
      </c>
      <c r="O44" s="15" t="n">
        <f aca="false">SUM(BOM!$J$510:$J$522)</f>
        <v>388.991130638932</v>
      </c>
      <c r="P44" s="15" t="n">
        <f aca="false">SUM(Operations!$G$273:$G$280)</f>
        <v>30.0324516</v>
      </c>
      <c r="Q44" s="15" t="n">
        <f aca="false">SUM(Overheads!$D$317:$D$324)-R44</f>
        <v>19.259999871254</v>
      </c>
      <c r="R44" s="16" t="n">
        <v>2</v>
      </c>
      <c r="S44" s="17" t="n">
        <f aca="false">O44+P44+Q44+R44</f>
        <v>440.283582110186</v>
      </c>
      <c r="T44" s="11" t="n">
        <f aca="false">S44/1000</f>
        <v>0.440283582110186</v>
      </c>
      <c r="U44" s="18" t="n">
        <f aca="false">T44*(1+Drivers!$B$7)</f>
        <v>0.506326119426714</v>
      </c>
      <c r="V44" s="12" t="n">
        <v>0.440287131071182</v>
      </c>
      <c r="W44" s="11" t="n">
        <f aca="false">T44-V44</f>
        <v>-3.5489609961914E-006</v>
      </c>
    </row>
    <row r="45" customFormat="false" ht="15" hidden="false" customHeight="false" outlineLevel="0" collapsed="false">
      <c r="A45" s="5" t="s">
        <v>514</v>
      </c>
      <c r="B45" s="5" t="s">
        <v>515</v>
      </c>
      <c r="C45" s="5" t="s">
        <v>444</v>
      </c>
      <c r="D45" s="5" t="s">
        <v>445</v>
      </c>
      <c r="E45" s="5" t="n">
        <v>3</v>
      </c>
      <c r="F45" s="5" t="s">
        <v>410</v>
      </c>
      <c r="G45" s="5" t="n">
        <v>1.5</v>
      </c>
      <c r="H45" s="5" t="s">
        <v>411</v>
      </c>
      <c r="I45" s="5" t="s">
        <v>432</v>
      </c>
      <c r="J45" s="5" t="s">
        <v>446</v>
      </c>
      <c r="K45" s="5" t="s">
        <v>434</v>
      </c>
      <c r="L45" s="5" t="s">
        <v>447</v>
      </c>
      <c r="M45" s="5" t="s">
        <v>422</v>
      </c>
      <c r="N45" s="5" t="s">
        <v>448</v>
      </c>
      <c r="O45" s="15" t="n">
        <f aca="false">SUM(BOM!$J$523:$J$538)</f>
        <v>422.004638825922</v>
      </c>
      <c r="P45" s="15" t="n">
        <f aca="false">SUM(Operations!$G$281:$G$290)</f>
        <v>51.0194134649006</v>
      </c>
      <c r="Q45" s="15" t="n">
        <f aca="false">SUM(Overheads!$D$325:$D$332)-R45</f>
        <v>18.701999925077</v>
      </c>
      <c r="R45" s="16" t="n">
        <v>10</v>
      </c>
      <c r="S45" s="17" t="n">
        <f aca="false">O45+P45+Q45+R45</f>
        <v>501.7260522159</v>
      </c>
      <c r="T45" s="11" t="n">
        <f aca="false">S45/1000</f>
        <v>0.5017260522159</v>
      </c>
      <c r="U45" s="18" t="n">
        <f aca="false">T45*(1+Drivers!$B$7)</f>
        <v>0.576984960048285</v>
      </c>
      <c r="V45" s="12" t="n">
        <v>0.501726339222896</v>
      </c>
      <c r="W45" s="11" t="n">
        <f aca="false">T45-V45</f>
        <v>-2.87006996280148E-007</v>
      </c>
    </row>
    <row r="46" customFormat="false" ht="15" hidden="false" customHeight="false" outlineLevel="0" collapsed="false">
      <c r="A46" s="5" t="s">
        <v>516</v>
      </c>
      <c r="B46" s="5" t="s">
        <v>517</v>
      </c>
      <c r="C46" s="5" t="s">
        <v>463</v>
      </c>
      <c r="D46" s="5" t="s">
        <v>464</v>
      </c>
      <c r="E46" s="5" t="n">
        <v>3</v>
      </c>
      <c r="F46" s="5" t="s">
        <v>410</v>
      </c>
      <c r="G46" s="5" t="n">
        <v>120</v>
      </c>
      <c r="H46" s="5" t="s">
        <v>411</v>
      </c>
      <c r="I46" s="5" t="s">
        <v>432</v>
      </c>
      <c r="J46" s="5" t="s">
        <v>465</v>
      </c>
      <c r="K46" s="5" t="s">
        <v>434</v>
      </c>
      <c r="L46" s="5" t="s">
        <v>412</v>
      </c>
      <c r="M46" s="5"/>
      <c r="N46" s="5" t="s">
        <v>477</v>
      </c>
      <c r="O46" s="15" t="n">
        <f aca="false">SUM(BOM!$J$539:$J$551)</f>
        <v>9257.49610201718</v>
      </c>
      <c r="P46" s="15" t="n">
        <f aca="false">SUM(Operations!$G$291:$G$298)</f>
        <v>354.3878915</v>
      </c>
      <c r="Q46" s="15" t="n">
        <f aca="false">SUM(Overheads!$D$333:$D$340)-R46</f>
        <v>390.756994962692</v>
      </c>
      <c r="R46" s="16" t="n">
        <v>5</v>
      </c>
      <c r="S46" s="17" t="n">
        <f aca="false">O46+P46+Q46+R46</f>
        <v>10007.6409884799</v>
      </c>
      <c r="T46" s="11" t="n">
        <f aca="false">S46/1000</f>
        <v>10.0076409884799</v>
      </c>
      <c r="U46" s="18" t="n">
        <f aca="false">T46*(1+Drivers!$B$7)</f>
        <v>11.5087871367519</v>
      </c>
      <c r="V46" s="12" t="n">
        <v>10.0076442066218</v>
      </c>
      <c r="W46" s="11" t="n">
        <f aca="false">T46-V46</f>
        <v>-3.21814192716374E-006</v>
      </c>
    </row>
    <row r="47" customFormat="false" ht="15" hidden="false" customHeight="false" outlineLevel="0" collapsed="false">
      <c r="A47" s="5" t="s">
        <v>518</v>
      </c>
      <c r="B47" s="5" t="s">
        <v>519</v>
      </c>
      <c r="C47" s="5" t="s">
        <v>463</v>
      </c>
      <c r="D47" s="5" t="s">
        <v>464</v>
      </c>
      <c r="E47" s="5" t="n">
        <v>3</v>
      </c>
      <c r="F47" s="5" t="s">
        <v>410</v>
      </c>
      <c r="G47" s="5" t="n">
        <v>120</v>
      </c>
      <c r="H47" s="5" t="s">
        <v>411</v>
      </c>
      <c r="I47" s="5" t="s">
        <v>432</v>
      </c>
      <c r="J47" s="5" t="s">
        <v>465</v>
      </c>
      <c r="K47" s="5" t="s">
        <v>434</v>
      </c>
      <c r="L47" s="5" t="s">
        <v>412</v>
      </c>
      <c r="M47" s="5"/>
      <c r="N47" s="5" t="s">
        <v>466</v>
      </c>
      <c r="O47" s="15" t="n">
        <f aca="false">SUM(BOM!$J$552:$J$564)</f>
        <v>11308.8359930111</v>
      </c>
      <c r="P47" s="15" t="n">
        <f aca="false">SUM(Operations!$G$299:$G$306)</f>
        <v>531.2525523</v>
      </c>
      <c r="Q47" s="15" t="n">
        <f aca="false">SUM(Overheads!$D$341:$D$348)-R47</f>
        <v>467.652992725372</v>
      </c>
      <c r="R47" s="16" t="n">
        <v>5</v>
      </c>
      <c r="S47" s="17" t="n">
        <f aca="false">O47+P47+Q47+R47</f>
        <v>12312.7415380365</v>
      </c>
      <c r="T47" s="11" t="n">
        <f aca="false">S47/1000</f>
        <v>12.3127415380365</v>
      </c>
      <c r="U47" s="18" t="n">
        <f aca="false">T47*(1+Drivers!$B$7)</f>
        <v>14.1596527687419</v>
      </c>
      <c r="V47" s="12" t="n">
        <v>12.3127440953784</v>
      </c>
      <c r="W47" s="11" t="n">
        <f aca="false">T47-V47</f>
        <v>-2.55734192400325E-006</v>
      </c>
    </row>
    <row r="48" customFormat="false" ht="15" hidden="false" customHeight="false" outlineLevel="0" collapsed="false">
      <c r="A48" s="5" t="s">
        <v>520</v>
      </c>
      <c r="B48" s="5" t="s">
        <v>521</v>
      </c>
      <c r="C48" s="5" t="s">
        <v>463</v>
      </c>
      <c r="D48" s="5" t="s">
        <v>464</v>
      </c>
      <c r="E48" s="5" t="n">
        <v>3</v>
      </c>
      <c r="F48" s="5" t="s">
        <v>410</v>
      </c>
      <c r="G48" s="5" t="n">
        <v>150</v>
      </c>
      <c r="H48" s="5" t="s">
        <v>411</v>
      </c>
      <c r="I48" s="5" t="s">
        <v>432</v>
      </c>
      <c r="J48" s="5" t="s">
        <v>465</v>
      </c>
      <c r="K48" s="5" t="s">
        <v>434</v>
      </c>
      <c r="L48" s="5" t="s">
        <v>412</v>
      </c>
      <c r="M48" s="5"/>
      <c r="N48" s="5" t="s">
        <v>477</v>
      </c>
      <c r="O48" s="15" t="n">
        <f aca="false">SUM(BOM!$J$565:$J$577)</f>
        <v>11021.8179732789</v>
      </c>
      <c r="P48" s="15" t="n">
        <f aca="false">SUM(Operations!$G$307:$G$314)</f>
        <v>376.907042</v>
      </c>
      <c r="Q48" s="15" t="n">
        <f aca="false">SUM(Overheads!$D$349:$D$356)-R48</f>
        <v>460.110003232955</v>
      </c>
      <c r="R48" s="16" t="n">
        <v>5</v>
      </c>
      <c r="S48" s="17" t="n">
        <f aca="false">O48+P48+Q48+R48</f>
        <v>11863.8350185119</v>
      </c>
      <c r="T48" s="11" t="n">
        <f aca="false">S48/1000</f>
        <v>11.8638350185119</v>
      </c>
      <c r="U48" s="18" t="n">
        <f aca="false">T48*(1+Drivers!$B$7)</f>
        <v>13.6434102712886</v>
      </c>
      <c r="V48" s="12" t="n">
        <v>11.8638361030594</v>
      </c>
      <c r="W48" s="11" t="n">
        <f aca="false">T48-V48</f>
        <v>-1.0845475326704E-006</v>
      </c>
    </row>
    <row r="49" customFormat="false" ht="15" hidden="false" customHeight="false" outlineLevel="0" collapsed="false">
      <c r="A49" s="5" t="s">
        <v>522</v>
      </c>
      <c r="B49" s="5" t="s">
        <v>523</v>
      </c>
      <c r="C49" s="5" t="s">
        <v>463</v>
      </c>
      <c r="D49" s="5" t="s">
        <v>464</v>
      </c>
      <c r="E49" s="5" t="n">
        <v>3</v>
      </c>
      <c r="F49" s="5" t="s">
        <v>410</v>
      </c>
      <c r="G49" s="5" t="n">
        <v>150</v>
      </c>
      <c r="H49" s="5" t="s">
        <v>411</v>
      </c>
      <c r="I49" s="5" t="s">
        <v>432</v>
      </c>
      <c r="J49" s="5" t="s">
        <v>465</v>
      </c>
      <c r="K49" s="5" t="s">
        <v>434</v>
      </c>
      <c r="L49" s="5" t="s">
        <v>412</v>
      </c>
      <c r="M49" s="5"/>
      <c r="N49" s="5" t="s">
        <v>466</v>
      </c>
      <c r="O49" s="15" t="n">
        <f aca="false">SUM(BOM!$J$578:$J$590)</f>
        <v>13036.6077708836</v>
      </c>
      <c r="P49" s="15" t="n">
        <f aca="false">SUM(Operations!$G$315:$G$322)</f>
        <v>585.5575709</v>
      </c>
      <c r="Q49" s="15" t="n">
        <f aca="false">SUM(Overheads!$D$357:$D$364)-R49</f>
        <v>545.271005153656</v>
      </c>
      <c r="R49" s="16" t="n">
        <v>5</v>
      </c>
      <c r="S49" s="17" t="n">
        <f aca="false">O49+P49+Q49+R49</f>
        <v>14172.4363469372</v>
      </c>
      <c r="T49" s="11" t="n">
        <f aca="false">S49/1000</f>
        <v>14.1724363469372</v>
      </c>
      <c r="U49" s="18" t="n">
        <f aca="false">T49*(1+Drivers!$B$7)</f>
        <v>16.2983017989778</v>
      </c>
      <c r="V49" s="12" t="n">
        <v>14.1724389112411</v>
      </c>
      <c r="W49" s="11" t="n">
        <f aca="false">T49-V49</f>
        <v>-2.56430388390072E-006</v>
      </c>
    </row>
    <row r="50" customFormat="false" ht="15" hidden="false" customHeight="false" outlineLevel="0" collapsed="false">
      <c r="A50" s="5" t="s">
        <v>524</v>
      </c>
      <c r="B50" s="5" t="s">
        <v>525</v>
      </c>
      <c r="C50" s="5" t="s">
        <v>463</v>
      </c>
      <c r="D50" s="5" t="s">
        <v>464</v>
      </c>
      <c r="E50" s="5" t="n">
        <v>3</v>
      </c>
      <c r="F50" s="5" t="s">
        <v>410</v>
      </c>
      <c r="G50" s="5" t="n">
        <v>185</v>
      </c>
      <c r="H50" s="5" t="s">
        <v>411</v>
      </c>
      <c r="I50" s="5" t="s">
        <v>432</v>
      </c>
      <c r="J50" s="5" t="s">
        <v>465</v>
      </c>
      <c r="K50" s="5" t="s">
        <v>434</v>
      </c>
      <c r="L50" s="5" t="s">
        <v>412</v>
      </c>
      <c r="M50" s="5"/>
      <c r="N50" s="5" t="s">
        <v>477</v>
      </c>
      <c r="O50" s="15" t="n">
        <f aca="false">SUM(BOM!$J$591:$J$604)</f>
        <v>13411.6090969626</v>
      </c>
      <c r="P50" s="15" t="n">
        <f aca="false">SUM(Operations!$G$323:$G$330)</f>
        <v>426.2220245</v>
      </c>
      <c r="Q50" s="15" t="n">
        <f aca="false">SUM(Overheads!$D$365:$D$372)-R50</f>
        <v>555.862005949021</v>
      </c>
      <c r="R50" s="16" t="n">
        <v>5</v>
      </c>
      <c r="S50" s="17" t="n">
        <f aca="false">O50+P50+Q50+R50</f>
        <v>14398.6931274117</v>
      </c>
      <c r="T50" s="11" t="n">
        <f aca="false">S50/1000</f>
        <v>14.3986931274117</v>
      </c>
      <c r="U50" s="18" t="n">
        <f aca="false">T50*(1+Drivers!$B$7)</f>
        <v>16.5584970965234</v>
      </c>
      <c r="V50" s="12" t="n">
        <v>14.3986932655328</v>
      </c>
      <c r="W50" s="11" t="n">
        <f aca="false">T50-V50</f>
        <v>-1.38121132309266E-007</v>
      </c>
    </row>
    <row r="51" customFormat="false" ht="15" hidden="false" customHeight="false" outlineLevel="0" collapsed="false">
      <c r="A51" s="5" t="s">
        <v>526</v>
      </c>
      <c r="B51" s="5" t="s">
        <v>527</v>
      </c>
      <c r="C51" s="5" t="s">
        <v>463</v>
      </c>
      <c r="D51" s="5" t="s">
        <v>464</v>
      </c>
      <c r="E51" s="5" t="n">
        <v>3</v>
      </c>
      <c r="F51" s="5" t="s">
        <v>410</v>
      </c>
      <c r="G51" s="5" t="n">
        <v>185</v>
      </c>
      <c r="H51" s="5" t="s">
        <v>411</v>
      </c>
      <c r="I51" s="5" t="s">
        <v>432</v>
      </c>
      <c r="J51" s="5" t="s">
        <v>465</v>
      </c>
      <c r="K51" s="5" t="s">
        <v>434</v>
      </c>
      <c r="L51" s="5" t="s">
        <v>412</v>
      </c>
      <c r="M51" s="5"/>
      <c r="N51" s="5" t="s">
        <v>466</v>
      </c>
      <c r="O51" s="15" t="n">
        <f aca="false">SUM(BOM!$J$605:$J$617)</f>
        <v>15544.7352711166</v>
      </c>
      <c r="P51" s="15" t="n">
        <f aca="false">SUM(Operations!$G$331:$G$338)</f>
        <v>627.8732054</v>
      </c>
      <c r="Q51" s="15" t="n">
        <f aca="false">SUM(Overheads!$D$373:$D$380)-R51</f>
        <v>639.041000843048</v>
      </c>
      <c r="R51" s="16" t="n">
        <v>5</v>
      </c>
      <c r="S51" s="17" t="n">
        <f aca="false">O51+P51+Q51+R51</f>
        <v>16816.6494773596</v>
      </c>
      <c r="T51" s="11" t="n">
        <f aca="false">S51/1000</f>
        <v>16.8166494773596</v>
      </c>
      <c r="U51" s="18" t="n">
        <f aca="false">T51*(1+Drivers!$B$7)</f>
        <v>19.3391468989636</v>
      </c>
      <c r="V51" s="12" t="n">
        <v>16.8166504345808</v>
      </c>
      <c r="W51" s="11" t="n">
        <f aca="false">T51-V51</f>
        <v>-9.57221182318335E-007</v>
      </c>
    </row>
    <row r="52" customFormat="false" ht="15" hidden="false" customHeight="false" outlineLevel="0" collapsed="false">
      <c r="A52" s="5" t="s">
        <v>528</v>
      </c>
      <c r="B52" s="5" t="s">
        <v>529</v>
      </c>
      <c r="C52" s="5" t="s">
        <v>463</v>
      </c>
      <c r="D52" s="5" t="s">
        <v>464</v>
      </c>
      <c r="E52" s="5" t="n">
        <v>3</v>
      </c>
      <c r="F52" s="5" t="s">
        <v>410</v>
      </c>
      <c r="G52" s="5" t="n">
        <v>240</v>
      </c>
      <c r="H52" s="5" t="s">
        <v>411</v>
      </c>
      <c r="I52" s="5" t="s">
        <v>432</v>
      </c>
      <c r="J52" s="5" t="s">
        <v>465</v>
      </c>
      <c r="K52" s="5" t="s">
        <v>434</v>
      </c>
      <c r="L52" s="5" t="s">
        <v>412</v>
      </c>
      <c r="M52" s="5"/>
      <c r="N52" s="5" t="s">
        <v>477</v>
      </c>
      <c r="O52" s="15" t="n">
        <f aca="false">SUM(BOM!$J$618:$J$631)</f>
        <v>16691.9603569918</v>
      </c>
      <c r="P52" s="15" t="n">
        <f aca="false">SUM(Operations!$G$339:$G$346)</f>
        <v>498.5300789</v>
      </c>
      <c r="Q52" s="15" t="n">
        <f aca="false">SUM(Overheads!$D$381:$D$388)-R52</f>
        <v>700.120004415512</v>
      </c>
      <c r="R52" s="16" t="n">
        <v>5</v>
      </c>
      <c r="S52" s="17" t="n">
        <f aca="false">O52+P52+Q52+R52</f>
        <v>17895.6104403073</v>
      </c>
      <c r="T52" s="11" t="n">
        <f aca="false">S52/1000</f>
        <v>17.8956104403073</v>
      </c>
      <c r="U52" s="18" t="n">
        <f aca="false">T52*(1+Drivers!$B$7)</f>
        <v>20.5799520063533</v>
      </c>
      <c r="V52" s="12" t="n">
        <v>17.8956105811136</v>
      </c>
      <c r="W52" s="11" t="n">
        <f aca="false">T52-V52</f>
        <v>-1.4080634258562E-007</v>
      </c>
    </row>
    <row r="53" customFormat="false" ht="15" hidden="false" customHeight="false" outlineLevel="0" collapsed="false">
      <c r="A53" s="5" t="s">
        <v>530</v>
      </c>
      <c r="B53" s="5" t="s">
        <v>531</v>
      </c>
      <c r="C53" s="5" t="s">
        <v>463</v>
      </c>
      <c r="D53" s="5" t="s">
        <v>464</v>
      </c>
      <c r="E53" s="5" t="n">
        <v>3</v>
      </c>
      <c r="F53" s="5" t="s">
        <v>410</v>
      </c>
      <c r="G53" s="5" t="n">
        <v>240</v>
      </c>
      <c r="H53" s="5" t="s">
        <v>411</v>
      </c>
      <c r="I53" s="5" t="s">
        <v>432</v>
      </c>
      <c r="J53" s="5" t="s">
        <v>465</v>
      </c>
      <c r="K53" s="5" t="s">
        <v>434</v>
      </c>
      <c r="L53" s="5" t="s">
        <v>412</v>
      </c>
      <c r="M53" s="5"/>
      <c r="N53" s="5" t="s">
        <v>466</v>
      </c>
      <c r="O53" s="15" t="n">
        <f aca="false">SUM(BOM!$J$632:$J$644)</f>
        <v>18933.4365189148</v>
      </c>
      <c r="P53" s="15" t="n">
        <f aca="false">SUM(Operations!$G$347:$G$354)</f>
        <v>683.2607728</v>
      </c>
      <c r="Q53" s="15" t="n">
        <f aca="false">SUM(Overheads!$D$389:$D$396)-R53</f>
        <v>781.436000347138</v>
      </c>
      <c r="R53" s="16" t="n">
        <v>5</v>
      </c>
      <c r="S53" s="17" t="n">
        <f aca="false">O53+P53+Q53+R53</f>
        <v>20403.1332920619</v>
      </c>
      <c r="T53" s="11" t="n">
        <f aca="false">S53/1000</f>
        <v>20.4031332920619</v>
      </c>
      <c r="U53" s="18" t="n">
        <f aca="false">T53*(1+Drivers!$B$7)</f>
        <v>23.4636032858712</v>
      </c>
      <c r="V53" s="12" t="n">
        <v>20.4031307389683</v>
      </c>
      <c r="W53" s="11" t="n">
        <f aca="false">T53-V53</f>
        <v>2.55309364050049E-006</v>
      </c>
    </row>
    <row r="54" customFormat="false" ht="15" hidden="false" customHeight="false" outlineLevel="0" collapsed="false">
      <c r="A54" s="5" t="s">
        <v>532</v>
      </c>
      <c r="B54" s="5" t="s">
        <v>533</v>
      </c>
      <c r="C54" s="5" t="s">
        <v>463</v>
      </c>
      <c r="D54" s="5" t="s">
        <v>464</v>
      </c>
      <c r="E54" s="5" t="n">
        <v>3</v>
      </c>
      <c r="F54" s="5" t="s">
        <v>410</v>
      </c>
      <c r="G54" s="5" t="n">
        <v>300</v>
      </c>
      <c r="H54" s="5" t="s">
        <v>411</v>
      </c>
      <c r="I54" s="5" t="s">
        <v>432</v>
      </c>
      <c r="J54" s="5" t="s">
        <v>465</v>
      </c>
      <c r="K54" s="5" t="s">
        <v>434</v>
      </c>
      <c r="L54" s="5" t="s">
        <v>412</v>
      </c>
      <c r="M54" s="5"/>
      <c r="N54" s="5" t="s">
        <v>477</v>
      </c>
      <c r="O54" s="15" t="n">
        <f aca="false">SUM(BOM!$J$645:$J$657)</f>
        <v>20297.8710396571</v>
      </c>
      <c r="P54" s="15" t="n">
        <f aca="false">SUM(Operations!$G$355:$G$362)</f>
        <v>595.3489209</v>
      </c>
      <c r="Q54" s="15" t="n">
        <f aca="false">SUM(Overheads!$D$397:$D$404)-R54</f>
        <v>860.637006282806</v>
      </c>
      <c r="R54" s="16" t="n">
        <v>5</v>
      </c>
      <c r="S54" s="17" t="n">
        <f aca="false">O54+P54+Q54+R54</f>
        <v>21758.8569668399</v>
      </c>
      <c r="T54" s="11" t="n">
        <f aca="false">S54/1000</f>
        <v>21.7588569668399</v>
      </c>
      <c r="U54" s="18" t="n">
        <f aca="false">T54*(1+Drivers!$B$7)</f>
        <v>25.0226855118659</v>
      </c>
      <c r="V54" s="12" t="n">
        <v>21.7588573140645</v>
      </c>
      <c r="W54" s="11" t="n">
        <f aca="false">T54-V54</f>
        <v>-3.47224553109982E-007</v>
      </c>
    </row>
    <row r="55" customFormat="false" ht="15" hidden="false" customHeight="false" outlineLevel="0" collapsed="false">
      <c r="A55" s="5" t="s">
        <v>534</v>
      </c>
      <c r="B55" s="5" t="s">
        <v>535</v>
      </c>
      <c r="C55" s="5" t="s">
        <v>463</v>
      </c>
      <c r="D55" s="5" t="s">
        <v>464</v>
      </c>
      <c r="E55" s="5" t="n">
        <v>3</v>
      </c>
      <c r="F55" s="5" t="s">
        <v>410</v>
      </c>
      <c r="G55" s="5" t="n">
        <v>300</v>
      </c>
      <c r="H55" s="5" t="s">
        <v>411</v>
      </c>
      <c r="I55" s="5" t="s">
        <v>432</v>
      </c>
      <c r="J55" s="5" t="s">
        <v>465</v>
      </c>
      <c r="K55" s="5" t="s">
        <v>434</v>
      </c>
      <c r="L55" s="5" t="s">
        <v>412</v>
      </c>
      <c r="M55" s="5"/>
      <c r="N55" s="5" t="s">
        <v>466</v>
      </c>
      <c r="O55" s="15" t="n">
        <f aca="false">SUM(BOM!$J$658:$J$670)</f>
        <v>22502.9514252562</v>
      </c>
      <c r="P55" s="15" t="n">
        <f aca="false">SUM(Operations!$G$363:$G$370)</f>
        <v>856.0012349</v>
      </c>
      <c r="Q55" s="15" t="n">
        <f aca="false">SUM(Overheads!$D$405:$D$412)-R55</f>
        <v>960.999015331268</v>
      </c>
      <c r="R55" s="16" t="n">
        <v>5</v>
      </c>
      <c r="S55" s="17" t="n">
        <f aca="false">O55+P55+Q55+R55</f>
        <v>24324.9516754874</v>
      </c>
      <c r="T55" s="11" t="n">
        <f aca="false">S55/1000</f>
        <v>24.3249516754874</v>
      </c>
      <c r="U55" s="18" t="n">
        <f aca="false">T55*(1+Drivers!$B$7)</f>
        <v>27.9736944268105</v>
      </c>
      <c r="V55" s="12" t="n">
        <v>24.324953708712</v>
      </c>
      <c r="W55" s="11" t="n">
        <f aca="false">T55-V55</f>
        <v>-2.03322456826527E-006</v>
      </c>
    </row>
    <row r="56" customFormat="false" ht="15" hidden="false" customHeight="false" outlineLevel="0" collapsed="false">
      <c r="A56" s="5" t="s">
        <v>536</v>
      </c>
      <c r="B56" s="5" t="s">
        <v>537</v>
      </c>
      <c r="C56" s="5" t="s">
        <v>444</v>
      </c>
      <c r="D56" s="5" t="s">
        <v>445</v>
      </c>
      <c r="E56" s="5" t="n">
        <v>3</v>
      </c>
      <c r="F56" s="5" t="s">
        <v>410</v>
      </c>
      <c r="G56" s="5" t="n">
        <v>4</v>
      </c>
      <c r="H56" s="5" t="s">
        <v>411</v>
      </c>
      <c r="I56" s="5" t="s">
        <v>432</v>
      </c>
      <c r="J56" s="5" t="s">
        <v>446</v>
      </c>
      <c r="K56" s="5" t="s">
        <v>434</v>
      </c>
      <c r="L56" s="5" t="s">
        <v>447</v>
      </c>
      <c r="M56" s="5" t="s">
        <v>422</v>
      </c>
      <c r="N56" s="5" t="s">
        <v>448</v>
      </c>
      <c r="O56" s="15" t="n">
        <f aca="false">SUM(BOM!$J$671:$J$684)</f>
        <v>491.248434123049</v>
      </c>
      <c r="P56" s="15" t="n">
        <f aca="false">SUM(Operations!$G$371:$G$379)</f>
        <v>36.8087574007813</v>
      </c>
      <c r="Q56" s="15" t="n">
        <f aca="false">SUM(Overheads!$D$413:$D$420)-R56</f>
        <v>22.6669996529818</v>
      </c>
      <c r="R56" s="16" t="n">
        <v>10</v>
      </c>
      <c r="S56" s="17" t="n">
        <f aca="false">O56+P56+Q56+R56</f>
        <v>560.724191176812</v>
      </c>
      <c r="T56" s="11" t="n">
        <f aca="false">S56/1000</f>
        <v>0.560724191176812</v>
      </c>
      <c r="U56" s="18" t="n">
        <f aca="false">T56*(1+Drivers!$B$7)</f>
        <v>0.644832819853334</v>
      </c>
      <c r="V56" s="12" t="n">
        <v>0.560726624321489</v>
      </c>
      <c r="W56" s="11" t="n">
        <f aca="false">T56-V56</f>
        <v>-2.43314467684996E-006</v>
      </c>
    </row>
    <row r="57" customFormat="false" ht="15" hidden="false" customHeight="false" outlineLevel="0" collapsed="false">
      <c r="A57" s="5" t="s">
        <v>538</v>
      </c>
      <c r="B57" s="5" t="s">
        <v>539</v>
      </c>
      <c r="C57" s="5" t="s">
        <v>463</v>
      </c>
      <c r="D57" s="5" t="s">
        <v>464</v>
      </c>
      <c r="E57" s="5" t="n">
        <v>3</v>
      </c>
      <c r="F57" s="5" t="s">
        <v>410</v>
      </c>
      <c r="G57" s="5" t="n">
        <v>50</v>
      </c>
      <c r="H57" s="5" t="s">
        <v>411</v>
      </c>
      <c r="I57" s="5" t="s">
        <v>432</v>
      </c>
      <c r="J57" s="5" t="s">
        <v>465</v>
      </c>
      <c r="K57" s="5" t="s">
        <v>434</v>
      </c>
      <c r="L57" s="5" t="s">
        <v>412</v>
      </c>
      <c r="M57" s="5"/>
      <c r="N57" s="5" t="s">
        <v>466</v>
      </c>
      <c r="O57" s="15" t="n">
        <f aca="false">SUM(BOM!$J$685:$J$697)</f>
        <v>6443.87016497648</v>
      </c>
      <c r="P57" s="15" t="n">
        <f aca="false">SUM(Operations!$G$380:$G$387)</f>
        <v>347.5850563</v>
      </c>
      <c r="Q57" s="15" t="n">
        <f aca="false">SUM(Overheads!$D$421:$D$428)-R57</f>
        <v>251.105998754502</v>
      </c>
      <c r="R57" s="16" t="n">
        <v>5</v>
      </c>
      <c r="S57" s="17" t="n">
        <f aca="false">O57+P57+Q57+R57</f>
        <v>7047.56122003098</v>
      </c>
      <c r="T57" s="11" t="n">
        <f aca="false">S57/1000</f>
        <v>7.04756122003098</v>
      </c>
      <c r="U57" s="18" t="n">
        <f aca="false">T57*(1+Drivers!$B$7)</f>
        <v>8.10469540303563</v>
      </c>
      <c r="V57" s="12" t="n">
        <v>7.04755919982035</v>
      </c>
      <c r="W57" s="11" t="n">
        <f aca="false">T57-V57</f>
        <v>2.0202106290057E-006</v>
      </c>
    </row>
    <row r="58" customFormat="false" ht="15" hidden="false" customHeight="false" outlineLevel="0" collapsed="false">
      <c r="A58" s="5" t="s">
        <v>540</v>
      </c>
      <c r="B58" s="5" t="s">
        <v>541</v>
      </c>
      <c r="C58" s="5" t="s">
        <v>463</v>
      </c>
      <c r="D58" s="5" t="s">
        <v>464</v>
      </c>
      <c r="E58" s="5" t="n">
        <v>3</v>
      </c>
      <c r="F58" s="5" t="s">
        <v>410</v>
      </c>
      <c r="G58" s="5" t="n">
        <v>70</v>
      </c>
      <c r="H58" s="5" t="s">
        <v>411</v>
      </c>
      <c r="I58" s="5" t="s">
        <v>432</v>
      </c>
      <c r="J58" s="5" t="s">
        <v>465</v>
      </c>
      <c r="K58" s="5" t="s">
        <v>434</v>
      </c>
      <c r="L58" s="5" t="s">
        <v>412</v>
      </c>
      <c r="M58" s="5"/>
      <c r="N58" s="5" t="s">
        <v>477</v>
      </c>
      <c r="O58" s="15" t="n">
        <f aca="false">SUM(BOM!$J$698:$J$710)</f>
        <v>6160.7919356822</v>
      </c>
      <c r="P58" s="15" t="n">
        <f aca="false">SUM(Operations!$G$388:$G$395)</f>
        <v>262.741413</v>
      </c>
      <c r="Q58" s="15" t="n">
        <f aca="false">SUM(Overheads!$D$429:$D$436)-R58</f>
        <v>245.791000366211</v>
      </c>
      <c r="R58" s="16" t="n">
        <v>5</v>
      </c>
      <c r="S58" s="17" t="n">
        <f aca="false">O58+P58+Q58+R58</f>
        <v>6674.32434904841</v>
      </c>
      <c r="T58" s="11" t="n">
        <f aca="false">S58/1000</f>
        <v>6.67432434904841</v>
      </c>
      <c r="U58" s="18" t="n">
        <f aca="false">T58*(1+Drivers!$B$7)</f>
        <v>7.67547300140567</v>
      </c>
      <c r="V58" s="12" t="n">
        <v>6.67432799457666</v>
      </c>
      <c r="W58" s="11" t="n">
        <f aca="false">T58-V58</f>
        <v>-3.64552825171671E-006</v>
      </c>
    </row>
    <row r="59" customFormat="false" ht="15" hidden="false" customHeight="false" outlineLevel="0" collapsed="false">
      <c r="A59" s="5" t="s">
        <v>542</v>
      </c>
      <c r="B59" s="5" t="s">
        <v>543</v>
      </c>
      <c r="C59" s="5" t="s">
        <v>463</v>
      </c>
      <c r="D59" s="5" t="s">
        <v>464</v>
      </c>
      <c r="E59" s="5" t="n">
        <v>3</v>
      </c>
      <c r="F59" s="5" t="s">
        <v>410</v>
      </c>
      <c r="G59" s="5" t="n">
        <v>70</v>
      </c>
      <c r="H59" s="5" t="s">
        <v>411</v>
      </c>
      <c r="I59" s="5" t="s">
        <v>432</v>
      </c>
      <c r="J59" s="5" t="s">
        <v>465</v>
      </c>
      <c r="K59" s="5" t="s">
        <v>434</v>
      </c>
      <c r="L59" s="5" t="s">
        <v>412</v>
      </c>
      <c r="M59" s="5"/>
      <c r="N59" s="5" t="s">
        <v>466</v>
      </c>
      <c r="O59" s="15" t="n">
        <f aca="false">SUM(BOM!$J$711:$J$723)</f>
        <v>7969.74430671642</v>
      </c>
      <c r="P59" s="15" t="n">
        <f aca="false">SUM(Operations!$G$396:$G$403)</f>
        <v>399.8702648</v>
      </c>
      <c r="Q59" s="15" t="n">
        <f aca="false">SUM(Overheads!$D$437:$D$444)-R59</f>
        <v>315.079003095627</v>
      </c>
      <c r="R59" s="16" t="n">
        <v>5</v>
      </c>
      <c r="S59" s="17" t="n">
        <f aca="false">O59+P59+Q59+R59</f>
        <v>8689.69357461204</v>
      </c>
      <c r="T59" s="11" t="n">
        <f aca="false">S59/1000</f>
        <v>8.68969357461204</v>
      </c>
      <c r="U59" s="18" t="n">
        <f aca="false">T59*(1+Drivers!$B$7)</f>
        <v>9.99314761080385</v>
      </c>
      <c r="V59" s="12" t="n">
        <v>8.68969236834029</v>
      </c>
      <c r="W59" s="11" t="n">
        <f aca="false">T59-V59</f>
        <v>1.20627175093091E-006</v>
      </c>
    </row>
    <row r="60" customFormat="false" ht="15" hidden="false" customHeight="false" outlineLevel="0" collapsed="false">
      <c r="A60" s="5" t="s">
        <v>544</v>
      </c>
      <c r="B60" s="5" t="s">
        <v>545</v>
      </c>
      <c r="C60" s="5" t="s">
        <v>463</v>
      </c>
      <c r="D60" s="5" t="s">
        <v>464</v>
      </c>
      <c r="E60" s="5" t="n">
        <v>3</v>
      </c>
      <c r="F60" s="5" t="s">
        <v>410</v>
      </c>
      <c r="G60" s="5" t="n">
        <v>95</v>
      </c>
      <c r="H60" s="5" t="s">
        <v>411</v>
      </c>
      <c r="I60" s="5" t="s">
        <v>432</v>
      </c>
      <c r="J60" s="5" t="s">
        <v>465</v>
      </c>
      <c r="K60" s="5" t="s">
        <v>434</v>
      </c>
      <c r="L60" s="5" t="s">
        <v>412</v>
      </c>
      <c r="M60" s="5"/>
      <c r="N60" s="5" t="s">
        <v>477</v>
      </c>
      <c r="O60" s="15" t="n">
        <f aca="false">SUM(BOM!$J$724:$J$736)</f>
        <v>7732.75377027814</v>
      </c>
      <c r="P60" s="15" t="n">
        <f aca="false">SUM(Operations!$G$404:$G$411)</f>
        <v>319.8584978</v>
      </c>
      <c r="Q60" s="15" t="n">
        <f aca="false">SUM(Overheads!$D$445:$D$452)-R60</f>
        <v>326.040000915527</v>
      </c>
      <c r="R60" s="16" t="n">
        <v>5</v>
      </c>
      <c r="S60" s="17" t="n">
        <f aca="false">O60+P60+Q60+R60</f>
        <v>8383.65226899367</v>
      </c>
      <c r="T60" s="11" t="n">
        <f aca="false">S60/1000</f>
        <v>8.38365226899367</v>
      </c>
      <c r="U60" s="18" t="n">
        <f aca="false">T60*(1+Drivers!$B$7)</f>
        <v>9.64120010934272</v>
      </c>
      <c r="V60" s="12" t="n">
        <v>8.3836518556375</v>
      </c>
      <c r="W60" s="11" t="n">
        <f aca="false">T60-V60</f>
        <v>4.13356165296364E-007</v>
      </c>
    </row>
    <row r="61" customFormat="false" ht="15" hidden="false" customHeight="false" outlineLevel="0" collapsed="false">
      <c r="A61" s="5" t="s">
        <v>546</v>
      </c>
      <c r="B61" s="5" t="s">
        <v>547</v>
      </c>
      <c r="C61" s="5" t="s">
        <v>453</v>
      </c>
      <c r="D61" s="5" t="s">
        <v>445</v>
      </c>
      <c r="E61" s="5" t="n">
        <v>3</v>
      </c>
      <c r="F61" s="5" t="s">
        <v>410</v>
      </c>
      <c r="G61" s="5" t="n">
        <v>10</v>
      </c>
      <c r="H61" s="5" t="s">
        <v>411</v>
      </c>
      <c r="I61" s="5" t="s">
        <v>432</v>
      </c>
      <c r="J61" s="5"/>
      <c r="K61" s="5" t="s">
        <v>434</v>
      </c>
      <c r="L61" s="5" t="s">
        <v>412</v>
      </c>
      <c r="M61" s="5" t="s">
        <v>422</v>
      </c>
      <c r="N61" s="5" t="s">
        <v>448</v>
      </c>
      <c r="O61" s="15" t="n">
        <f aca="false">SUM(BOM!$J$737:$J$750)</f>
        <v>794.732028009526</v>
      </c>
      <c r="P61" s="15" t="n">
        <f aca="false">SUM(Operations!$G$412:$G$418)</f>
        <v>54.1686167</v>
      </c>
      <c r="Q61" s="15" t="n">
        <f aca="false">SUM(Overheads!$D$453:$D$460)-R61</f>
        <v>37.7029998600483</v>
      </c>
      <c r="R61" s="16" t="n">
        <v>1.5</v>
      </c>
      <c r="S61" s="17" t="n">
        <f aca="false">O61+P61+Q61+R61</f>
        <v>888.103644569574</v>
      </c>
      <c r="T61" s="11" t="n">
        <f aca="false">S61/1000</f>
        <v>0.888103644569574</v>
      </c>
      <c r="U61" s="18" t="n">
        <f aca="false">T61*(1+Drivers!$B$7)</f>
        <v>1.02131919125501</v>
      </c>
      <c r="V61" s="12" t="n">
        <v>0.888102034204429</v>
      </c>
      <c r="W61" s="11" t="n">
        <f aca="false">T61-V61</f>
        <v>1.61036514523261E-006</v>
      </c>
    </row>
    <row r="62" customFormat="false" ht="15" hidden="false" customHeight="false" outlineLevel="0" collapsed="false">
      <c r="A62" s="5" t="s">
        <v>548</v>
      </c>
      <c r="B62" s="5" t="s">
        <v>549</v>
      </c>
      <c r="C62" s="5" t="s">
        <v>463</v>
      </c>
      <c r="D62" s="5" t="s">
        <v>464</v>
      </c>
      <c r="E62" s="5" t="n">
        <v>3</v>
      </c>
      <c r="F62" s="5" t="s">
        <v>410</v>
      </c>
      <c r="G62" s="5" t="n">
        <v>120</v>
      </c>
      <c r="H62" s="5" t="s">
        <v>411</v>
      </c>
      <c r="I62" s="5" t="s">
        <v>432</v>
      </c>
      <c r="J62" s="5" t="s">
        <v>465</v>
      </c>
      <c r="K62" s="5" t="s">
        <v>434</v>
      </c>
      <c r="L62" s="5" t="s">
        <v>412</v>
      </c>
      <c r="M62" s="5"/>
      <c r="N62" s="5" t="s">
        <v>482</v>
      </c>
      <c r="O62" s="15" t="n">
        <f aca="false">SUM(BOM!$J$751:$J$763)</f>
        <v>8401.99499183865</v>
      </c>
      <c r="P62" s="15" t="n">
        <f aca="false">SUM(Operations!$G$419:$G$426)</f>
        <v>273.1240768</v>
      </c>
      <c r="Q62" s="15" t="n">
        <f aca="false">SUM(Overheads!$D$461:$D$468)-R62</f>
        <v>356.445994496346</v>
      </c>
      <c r="R62" s="16" t="n">
        <v>5</v>
      </c>
      <c r="S62" s="17" t="n">
        <f aca="false">O62+P62+Q62+R62</f>
        <v>9036.56506313499</v>
      </c>
      <c r="T62" s="11" t="n">
        <f aca="false">S62/1000</f>
        <v>9.03656506313499</v>
      </c>
      <c r="U62" s="18" t="n">
        <f aca="false">T62*(1+Drivers!$B$7)</f>
        <v>10.3920498226052</v>
      </c>
      <c r="V62" s="12" t="n">
        <v>9.03657009597691</v>
      </c>
      <c r="W62" s="11" t="n">
        <f aca="false">T62-V62</f>
        <v>-5.03284191744058E-006</v>
      </c>
    </row>
    <row r="63" customFormat="false" ht="15" hidden="false" customHeight="false" outlineLevel="0" collapsed="false">
      <c r="A63" s="5" t="s">
        <v>550</v>
      </c>
      <c r="B63" s="5" t="s">
        <v>551</v>
      </c>
      <c r="C63" s="5" t="s">
        <v>453</v>
      </c>
      <c r="D63" s="5" t="s">
        <v>445</v>
      </c>
      <c r="E63" s="5" t="n">
        <v>3</v>
      </c>
      <c r="F63" s="5" t="s">
        <v>410</v>
      </c>
      <c r="G63" s="5" t="n">
        <v>120</v>
      </c>
      <c r="H63" s="5" t="s">
        <v>411</v>
      </c>
      <c r="I63" s="5" t="s">
        <v>432</v>
      </c>
      <c r="J63" s="5"/>
      <c r="K63" s="5" t="s">
        <v>434</v>
      </c>
      <c r="L63" s="5" t="s">
        <v>412</v>
      </c>
      <c r="M63" s="5" t="s">
        <v>509</v>
      </c>
      <c r="N63" s="5" t="s">
        <v>448</v>
      </c>
      <c r="O63" s="15" t="n">
        <f aca="false">SUM(BOM!$J$764:$J$777)</f>
        <v>7061.32826876217</v>
      </c>
      <c r="P63" s="15" t="n">
        <f aca="false">SUM(Operations!$G$427:$G$433)</f>
        <v>170.7273859</v>
      </c>
      <c r="Q63" s="15" t="n">
        <f aca="false">SUM(Overheads!$D$469:$D$476)-R63</f>
        <v>309.437997102737</v>
      </c>
      <c r="R63" s="16" t="n">
        <v>1.5</v>
      </c>
      <c r="S63" s="17" t="n">
        <f aca="false">O63+P63+Q63+R63</f>
        <v>7542.9936517649</v>
      </c>
      <c r="T63" s="11" t="n">
        <f aca="false">S63/1000</f>
        <v>7.5429936517649</v>
      </c>
      <c r="U63" s="18" t="n">
        <f aca="false">T63*(1+Drivers!$B$7)</f>
        <v>8.67444269952964</v>
      </c>
      <c r="V63" s="12" t="n">
        <v>7.54299537650964</v>
      </c>
      <c r="W63" s="11" t="n">
        <f aca="false">T63-V63</f>
        <v>-1.72474473547624E-006</v>
      </c>
    </row>
    <row r="64" customFormat="false" ht="15" hidden="false" customHeight="false" outlineLevel="0" collapsed="false">
      <c r="A64" s="5" t="s">
        <v>552</v>
      </c>
      <c r="B64" s="5" t="s">
        <v>553</v>
      </c>
      <c r="C64" s="5" t="s">
        <v>453</v>
      </c>
      <c r="D64" s="5" t="s">
        <v>445</v>
      </c>
      <c r="E64" s="5" t="n">
        <v>3</v>
      </c>
      <c r="F64" s="5" t="s">
        <v>410</v>
      </c>
      <c r="G64" s="5" t="n">
        <v>150</v>
      </c>
      <c r="H64" s="5" t="s">
        <v>411</v>
      </c>
      <c r="I64" s="5" t="s">
        <v>432</v>
      </c>
      <c r="J64" s="5"/>
      <c r="K64" s="5" t="s">
        <v>434</v>
      </c>
      <c r="L64" s="5" t="s">
        <v>412</v>
      </c>
      <c r="M64" s="5" t="s">
        <v>509</v>
      </c>
      <c r="N64" s="5" t="s">
        <v>448</v>
      </c>
      <c r="O64" s="15" t="n">
        <f aca="false">SUM(BOM!$J$778:$J$791)</f>
        <v>8815.57655801625</v>
      </c>
      <c r="P64" s="15" t="n">
        <f aca="false">SUM(Operations!$G$434:$G$440)</f>
        <v>178.718185</v>
      </c>
      <c r="Q64" s="15" t="n">
        <f aca="false">SUM(Overheads!$D$477:$D$484)-R64</f>
        <v>375.291998505592</v>
      </c>
      <c r="R64" s="16" t="n">
        <v>1</v>
      </c>
      <c r="S64" s="17" t="n">
        <f aca="false">O64+P64+Q64+R64</f>
        <v>9370.58674152184</v>
      </c>
      <c r="T64" s="11" t="n">
        <f aca="false">S64/1000</f>
        <v>9.37058674152184</v>
      </c>
      <c r="U64" s="18" t="n">
        <f aca="false">T64*(1+Drivers!$B$7)</f>
        <v>10.7761747527501</v>
      </c>
      <c r="V64" s="12" t="n">
        <v>9.37058569172575</v>
      </c>
      <c r="W64" s="11" t="n">
        <f aca="false">T64-V64</f>
        <v>1.0497960882816E-006</v>
      </c>
    </row>
    <row r="65" customFormat="false" ht="15" hidden="false" customHeight="false" outlineLevel="0" collapsed="false">
      <c r="A65" s="5" t="s">
        <v>554</v>
      </c>
      <c r="B65" s="5" t="s">
        <v>555</v>
      </c>
      <c r="C65" s="5" t="s">
        <v>453</v>
      </c>
      <c r="D65" s="5" t="s">
        <v>445</v>
      </c>
      <c r="E65" s="5" t="n">
        <v>3</v>
      </c>
      <c r="F65" s="5" t="s">
        <v>410</v>
      </c>
      <c r="G65" s="5" t="n">
        <v>16</v>
      </c>
      <c r="H65" s="5" t="s">
        <v>411</v>
      </c>
      <c r="I65" s="5" t="s">
        <v>432</v>
      </c>
      <c r="J65" s="5"/>
      <c r="K65" s="5" t="s">
        <v>434</v>
      </c>
      <c r="L65" s="5" t="s">
        <v>412</v>
      </c>
      <c r="M65" s="5" t="s">
        <v>422</v>
      </c>
      <c r="N65" s="5" t="s">
        <v>448</v>
      </c>
      <c r="O65" s="15" t="n">
        <f aca="false">SUM(BOM!$J$792:$J$805)</f>
        <v>1127.6022028811</v>
      </c>
      <c r="P65" s="15" t="n">
        <f aca="false">SUM(Operations!$G$441:$G$447)</f>
        <v>56.0673519</v>
      </c>
      <c r="Q65" s="15" t="n">
        <f aca="false">SUM(Overheads!$D$485:$D$492)-R65</f>
        <v>51.3330004364252</v>
      </c>
      <c r="R65" s="16" t="n">
        <v>1.5</v>
      </c>
      <c r="S65" s="17" t="n">
        <f aca="false">O65+P65+Q65+R65</f>
        <v>1236.50255521753</v>
      </c>
      <c r="T65" s="11" t="n">
        <f aca="false">S65/1000</f>
        <v>1.23650255521753</v>
      </c>
      <c r="U65" s="18" t="n">
        <f aca="false">T65*(1+Drivers!$B$7)</f>
        <v>1.42197793850016</v>
      </c>
      <c r="V65" s="12" t="n">
        <v>1.23650221602144</v>
      </c>
      <c r="W65" s="11" t="n">
        <f aca="false">T65-V65</f>
        <v>3.39196089882421E-007</v>
      </c>
    </row>
    <row r="66" customFormat="false" ht="15" hidden="false" customHeight="false" outlineLevel="0" collapsed="false">
      <c r="A66" s="5" t="s">
        <v>556</v>
      </c>
      <c r="B66" s="5" t="s">
        <v>557</v>
      </c>
      <c r="C66" s="5" t="s">
        <v>463</v>
      </c>
      <c r="D66" s="5" t="s">
        <v>464</v>
      </c>
      <c r="E66" s="5" t="n">
        <v>3</v>
      </c>
      <c r="F66" s="5" t="s">
        <v>410</v>
      </c>
      <c r="G66" s="5" t="n">
        <v>185</v>
      </c>
      <c r="H66" s="5" t="s">
        <v>411</v>
      </c>
      <c r="I66" s="5" t="s">
        <v>432</v>
      </c>
      <c r="J66" s="5" t="s">
        <v>465</v>
      </c>
      <c r="K66" s="5" t="s">
        <v>434</v>
      </c>
      <c r="L66" s="5" t="s">
        <v>412</v>
      </c>
      <c r="M66" s="5"/>
      <c r="N66" s="5" t="s">
        <v>482</v>
      </c>
      <c r="O66" s="15" t="n">
        <f aca="false">SUM(BOM!$J$806:$J$818)</f>
        <v>12237.4242857762</v>
      </c>
      <c r="P66" s="15" t="n">
        <f aca="false">SUM(Operations!$G$448:$G$455)</f>
        <v>328.1133902</v>
      </c>
      <c r="Q66" s="15" t="n">
        <f aca="false">SUM(Overheads!$D$493:$D$500)-R66</f>
        <v>511.547000646591</v>
      </c>
      <c r="R66" s="16" t="n">
        <v>5</v>
      </c>
      <c r="S66" s="17" t="n">
        <f aca="false">O66+P66+Q66+R66</f>
        <v>13082.0846766228</v>
      </c>
      <c r="T66" s="11" t="n">
        <f aca="false">S66/1000</f>
        <v>13.0820846766228</v>
      </c>
      <c r="U66" s="18" t="n">
        <f aca="false">T66*(1+Drivers!$B$7)</f>
        <v>15.0443973781162</v>
      </c>
      <c r="V66" s="12" t="n">
        <v>13.0820854490439</v>
      </c>
      <c r="W66" s="11" t="n">
        <f aca="false">T66-V66</f>
        <v>-7.72421101302712E-007</v>
      </c>
    </row>
    <row r="67" customFormat="false" ht="15" hidden="false" customHeight="false" outlineLevel="0" collapsed="false">
      <c r="A67" s="5" t="s">
        <v>558</v>
      </c>
      <c r="B67" s="5" t="s">
        <v>559</v>
      </c>
      <c r="C67" s="5" t="s">
        <v>453</v>
      </c>
      <c r="D67" s="5" t="s">
        <v>445</v>
      </c>
      <c r="E67" s="5" t="n">
        <v>3</v>
      </c>
      <c r="F67" s="5" t="s">
        <v>410</v>
      </c>
      <c r="G67" s="5" t="n">
        <v>185</v>
      </c>
      <c r="H67" s="5" t="s">
        <v>411</v>
      </c>
      <c r="I67" s="5" t="s">
        <v>432</v>
      </c>
      <c r="J67" s="5"/>
      <c r="K67" s="5" t="s">
        <v>434</v>
      </c>
      <c r="L67" s="5" t="s">
        <v>412</v>
      </c>
      <c r="M67" s="5" t="s">
        <v>509</v>
      </c>
      <c r="N67" s="5" t="s">
        <v>448</v>
      </c>
      <c r="O67" s="15" t="n">
        <f aca="false">SUM(BOM!$J$819:$J$832)</f>
        <v>10721.3137369414</v>
      </c>
      <c r="P67" s="15" t="n">
        <f aca="false">SUM(Operations!$G$456:$G$462)</f>
        <v>201.8757931</v>
      </c>
      <c r="Q67" s="15" t="n">
        <f aca="false">SUM(Overheads!$D$501:$D$508)-R67</f>
        <v>456.571999192238</v>
      </c>
      <c r="R67" s="16" t="n">
        <v>1</v>
      </c>
      <c r="S67" s="17" t="n">
        <f aca="false">O67+P67+Q67+R67</f>
        <v>11380.7615292336</v>
      </c>
      <c r="T67" s="11" t="n">
        <f aca="false">S67/1000</f>
        <v>11.3807615292336</v>
      </c>
      <c r="U67" s="18" t="n">
        <f aca="false">T67*(1+Drivers!$B$7)</f>
        <v>13.0878757586186</v>
      </c>
      <c r="V67" s="12" t="n">
        <v>11.3807608987547</v>
      </c>
      <c r="W67" s="11" t="n">
        <f aca="false">T67-V67</f>
        <v>6.30478892205133E-007</v>
      </c>
    </row>
    <row r="68" customFormat="false" ht="15" hidden="false" customHeight="false" outlineLevel="0" collapsed="false">
      <c r="A68" s="5" t="s">
        <v>560</v>
      </c>
      <c r="B68" s="5" t="s">
        <v>561</v>
      </c>
      <c r="C68" s="5" t="s">
        <v>463</v>
      </c>
      <c r="D68" s="5" t="s">
        <v>464</v>
      </c>
      <c r="E68" s="5" t="n">
        <v>3</v>
      </c>
      <c r="F68" s="5" t="s">
        <v>410</v>
      </c>
      <c r="G68" s="5" t="n">
        <v>240</v>
      </c>
      <c r="H68" s="5" t="s">
        <v>411</v>
      </c>
      <c r="I68" s="5" t="s">
        <v>432</v>
      </c>
      <c r="J68" s="5" t="s">
        <v>465</v>
      </c>
      <c r="K68" s="5" t="s">
        <v>434</v>
      </c>
      <c r="L68" s="5" t="s">
        <v>412</v>
      </c>
      <c r="M68" s="5"/>
      <c r="N68" s="5" t="s">
        <v>482</v>
      </c>
      <c r="O68" s="15" t="n">
        <f aca="false">SUM(BOM!$J$833:$J$845)</f>
        <v>15510.6261078525</v>
      </c>
      <c r="P68" s="15" t="n">
        <f aca="false">SUM(Operations!$G$463:$G$470)</f>
        <v>380.5893486</v>
      </c>
      <c r="Q68" s="15" t="n">
        <f aca="false">SUM(Overheads!$D$509:$D$516)-R68</f>
        <v>650.613995313645</v>
      </c>
      <c r="R68" s="16" t="n">
        <v>5</v>
      </c>
      <c r="S68" s="17" t="n">
        <f aca="false">O68+P68+Q68+R68</f>
        <v>16546.8294517661</v>
      </c>
      <c r="T68" s="11" t="n">
        <f aca="false">S68/1000</f>
        <v>16.5468294517661</v>
      </c>
      <c r="U68" s="18" t="n">
        <f aca="false">T68*(1+Drivers!$B$7)</f>
        <v>19.028853869531</v>
      </c>
      <c r="V68" s="12" t="n">
        <v>16.5468283228725</v>
      </c>
      <c r="W68" s="11" t="n">
        <f aca="false">T68-V68</f>
        <v>1.12889360437407E-006</v>
      </c>
    </row>
    <row r="69" customFormat="false" ht="15" hidden="false" customHeight="false" outlineLevel="0" collapsed="false">
      <c r="A69" s="5" t="s">
        <v>562</v>
      </c>
      <c r="B69" s="5" t="s">
        <v>563</v>
      </c>
      <c r="C69" s="5" t="s">
        <v>453</v>
      </c>
      <c r="D69" s="5" t="s">
        <v>445</v>
      </c>
      <c r="E69" s="5" t="n">
        <v>3</v>
      </c>
      <c r="F69" s="5" t="s">
        <v>410</v>
      </c>
      <c r="G69" s="5" t="n">
        <v>240</v>
      </c>
      <c r="H69" s="5" t="s">
        <v>411</v>
      </c>
      <c r="I69" s="5" t="s">
        <v>432</v>
      </c>
      <c r="J69" s="5"/>
      <c r="K69" s="5" t="s">
        <v>434</v>
      </c>
      <c r="L69" s="5" t="s">
        <v>412</v>
      </c>
      <c r="M69" s="5" t="s">
        <v>509</v>
      </c>
      <c r="N69" s="5" t="s">
        <v>448</v>
      </c>
      <c r="O69" s="15" t="n">
        <f aca="false">SUM(BOM!$J$846:$J$859)</f>
        <v>13947.824273806</v>
      </c>
      <c r="P69" s="15" t="n">
        <f aca="false">SUM(Operations!$G$471:$G$477)</f>
        <v>236.8919319</v>
      </c>
      <c r="Q69" s="15" t="n">
        <f aca="false">SUM(Overheads!$D$517:$D$524)-R69</f>
        <v>590.404996871948</v>
      </c>
      <c r="R69" s="16" t="n">
        <v>1</v>
      </c>
      <c r="S69" s="17" t="n">
        <f aca="false">O69+P69+Q69+R69</f>
        <v>14776.1212025779</v>
      </c>
      <c r="T69" s="11" t="n">
        <f aca="false">S69/1000</f>
        <v>14.7761212025779</v>
      </c>
      <c r="U69" s="18" t="n">
        <f aca="false">T69*(1+Drivers!$B$7)</f>
        <v>16.9925393829646</v>
      </c>
      <c r="V69" s="12" t="n">
        <v>14.7761214923938</v>
      </c>
      <c r="W69" s="11" t="n">
        <f aca="false">T69-V69</f>
        <v>-2.89815888621092E-007</v>
      </c>
    </row>
    <row r="70" customFormat="false" ht="15" hidden="false" customHeight="false" outlineLevel="0" collapsed="false">
      <c r="A70" s="5" t="s">
        <v>564</v>
      </c>
      <c r="B70" s="5" t="s">
        <v>565</v>
      </c>
      <c r="C70" s="5" t="s">
        <v>453</v>
      </c>
      <c r="D70" s="5" t="s">
        <v>445</v>
      </c>
      <c r="E70" s="5" t="n">
        <v>3</v>
      </c>
      <c r="F70" s="5" t="s">
        <v>410</v>
      </c>
      <c r="G70" s="5" t="n">
        <v>25</v>
      </c>
      <c r="H70" s="5" t="s">
        <v>411</v>
      </c>
      <c r="I70" s="5" t="s">
        <v>432</v>
      </c>
      <c r="J70" s="5"/>
      <c r="K70" s="5" t="s">
        <v>434</v>
      </c>
      <c r="L70" s="5" t="s">
        <v>412</v>
      </c>
      <c r="M70" s="5" t="s">
        <v>509</v>
      </c>
      <c r="N70" s="5" t="s">
        <v>448</v>
      </c>
      <c r="O70" s="15" t="n">
        <f aca="false">SUM(BOM!$J$860:$J$873)</f>
        <v>1672.14101905896</v>
      </c>
      <c r="P70" s="15" t="n">
        <f aca="false">SUM(Operations!$G$478:$G$484)</f>
        <v>69.7623122</v>
      </c>
      <c r="Q70" s="15" t="n">
        <f aca="false">SUM(Overheads!$D$525:$D$532)-R70</f>
        <v>76.0120008289814</v>
      </c>
      <c r="R70" s="16" t="n">
        <v>1.5</v>
      </c>
      <c r="S70" s="17" t="n">
        <f aca="false">O70+P70+Q70+R70</f>
        <v>1819.41533208794</v>
      </c>
      <c r="T70" s="11" t="n">
        <f aca="false">S70/1000</f>
        <v>1.81941533208794</v>
      </c>
      <c r="U70" s="18" t="n">
        <f aca="false">T70*(1+Drivers!$B$7)</f>
        <v>2.09232763190113</v>
      </c>
      <c r="V70" s="12" t="n">
        <v>1.8194160413417</v>
      </c>
      <c r="W70" s="11" t="n">
        <f aca="false">T70-V70</f>
        <v>-7.09253762165574E-007</v>
      </c>
    </row>
    <row r="71" customFormat="false" ht="15" hidden="false" customHeight="false" outlineLevel="0" collapsed="false">
      <c r="A71" s="5" t="s">
        <v>566</v>
      </c>
      <c r="B71" s="5" t="s">
        <v>567</v>
      </c>
      <c r="C71" s="5" t="s">
        <v>463</v>
      </c>
      <c r="D71" s="5" t="s">
        <v>464</v>
      </c>
      <c r="E71" s="5" t="n">
        <v>3</v>
      </c>
      <c r="F71" s="5" t="s">
        <v>410</v>
      </c>
      <c r="G71" s="5" t="n">
        <v>300</v>
      </c>
      <c r="H71" s="5" t="s">
        <v>411</v>
      </c>
      <c r="I71" s="5" t="s">
        <v>432</v>
      </c>
      <c r="J71" s="5" t="s">
        <v>465</v>
      </c>
      <c r="K71" s="5" t="s">
        <v>434</v>
      </c>
      <c r="L71" s="5" t="s">
        <v>412</v>
      </c>
      <c r="M71" s="5"/>
      <c r="N71" s="5" t="s">
        <v>482</v>
      </c>
      <c r="O71" s="15" t="n">
        <f aca="false">SUM(BOM!$J$874:$J$886)</f>
        <v>19389.7260025318</v>
      </c>
      <c r="P71" s="15" t="n">
        <f aca="false">SUM(Operations!$G$485:$G$492)</f>
        <v>464.7505649</v>
      </c>
      <c r="Q71" s="15" t="n">
        <f aca="false">SUM(Overheads!$D$533:$D$540)-R71</f>
        <v>813.008020162582</v>
      </c>
      <c r="R71" s="16" t="n">
        <v>5</v>
      </c>
      <c r="S71" s="17" t="n">
        <f aca="false">O71+P71+Q71+R71</f>
        <v>20672.4845875944</v>
      </c>
      <c r="T71" s="11" t="n">
        <f aca="false">S71/1000</f>
        <v>20.6724845875944</v>
      </c>
      <c r="U71" s="18" t="n">
        <f aca="false">T71*(1+Drivers!$B$7)</f>
        <v>23.7733572757336</v>
      </c>
      <c r="V71" s="12" t="n">
        <v>20.672490290819</v>
      </c>
      <c r="W71" s="11" t="n">
        <f aca="false">T71-V71</f>
        <v>-5.70322460191619E-006</v>
      </c>
    </row>
    <row r="72" customFormat="false" ht="15" hidden="false" customHeight="false" outlineLevel="0" collapsed="false">
      <c r="A72" s="5" t="s">
        <v>568</v>
      </c>
      <c r="B72" s="5" t="s">
        <v>569</v>
      </c>
      <c r="C72" s="5" t="s">
        <v>453</v>
      </c>
      <c r="D72" s="5" t="s">
        <v>445</v>
      </c>
      <c r="E72" s="5" t="n">
        <v>3</v>
      </c>
      <c r="F72" s="5" t="s">
        <v>410</v>
      </c>
      <c r="G72" s="5" t="n">
        <v>300</v>
      </c>
      <c r="H72" s="5" t="s">
        <v>411</v>
      </c>
      <c r="I72" s="5" t="s">
        <v>432</v>
      </c>
      <c r="J72" s="5"/>
      <c r="K72" s="5" t="s">
        <v>434</v>
      </c>
      <c r="L72" s="5" t="s">
        <v>412</v>
      </c>
      <c r="M72" s="5" t="s">
        <v>509</v>
      </c>
      <c r="N72" s="5" t="s">
        <v>448</v>
      </c>
      <c r="O72" s="15" t="n">
        <f aca="false">SUM(BOM!$J$887:$J$900)</f>
        <v>17426.0316618615</v>
      </c>
      <c r="P72" s="15" t="n">
        <f aca="false">SUM(Operations!$G$493:$G$499)</f>
        <v>307.9523965</v>
      </c>
      <c r="Q72" s="15" t="n">
        <f aca="false">SUM(Overheads!$D$541:$D$548)-R72</f>
        <v>741.424007415771</v>
      </c>
      <c r="R72" s="16" t="n">
        <v>1</v>
      </c>
      <c r="S72" s="17" t="n">
        <f aca="false">O72+P72+Q72+R72</f>
        <v>18476.4080657773</v>
      </c>
      <c r="T72" s="11" t="n">
        <f aca="false">S72/1000</f>
        <v>18.4764080657773</v>
      </c>
      <c r="U72" s="18" t="n">
        <f aca="false">T72*(1+Drivers!$B$7)</f>
        <v>21.2478692756438</v>
      </c>
      <c r="V72" s="12" t="n">
        <v>18.4764059374018</v>
      </c>
      <c r="W72" s="11" t="n">
        <f aca="false">T72-V72</f>
        <v>2.1283754492174E-006</v>
      </c>
    </row>
    <row r="73" customFormat="false" ht="15" hidden="false" customHeight="false" outlineLevel="0" collapsed="false">
      <c r="A73" s="5" t="s">
        <v>570</v>
      </c>
      <c r="B73" s="5" t="s">
        <v>571</v>
      </c>
      <c r="C73" s="5" t="s">
        <v>463</v>
      </c>
      <c r="D73" s="5" t="s">
        <v>464</v>
      </c>
      <c r="E73" s="5" t="n">
        <v>3</v>
      </c>
      <c r="F73" s="5" t="s">
        <v>410</v>
      </c>
      <c r="G73" s="5" t="n">
        <v>35</v>
      </c>
      <c r="H73" s="5" t="s">
        <v>411</v>
      </c>
      <c r="I73" s="5" t="s">
        <v>432</v>
      </c>
      <c r="J73" s="5" t="s">
        <v>465</v>
      </c>
      <c r="K73" s="5" t="s">
        <v>434</v>
      </c>
      <c r="L73" s="5" t="s">
        <v>412</v>
      </c>
      <c r="M73" s="5"/>
      <c r="N73" s="5" t="s">
        <v>482</v>
      </c>
      <c r="O73" s="15" t="n">
        <f aca="false">SUM(BOM!$J$901:$J$914)</f>
        <v>3240.82885031409</v>
      </c>
      <c r="P73" s="15" t="n">
        <f aca="false">SUM(Operations!$G$500:$G$507)</f>
        <v>165.6836119</v>
      </c>
      <c r="Q73" s="15" t="n">
        <f aca="false">SUM(Overheads!$D$549:$D$556)-R73</f>
        <v>136.422999501228</v>
      </c>
      <c r="R73" s="16" t="n">
        <v>5</v>
      </c>
      <c r="S73" s="17" t="n">
        <f aca="false">O73+P73+Q73+R73</f>
        <v>3547.93546171531</v>
      </c>
      <c r="T73" s="11" t="n">
        <f aca="false">S73/1000</f>
        <v>3.54793546171531</v>
      </c>
      <c r="U73" s="18" t="n">
        <f aca="false">T73*(1+Drivers!$B$7)</f>
        <v>4.08012578097261</v>
      </c>
      <c r="V73" s="12" t="n">
        <v>3.54793188083969</v>
      </c>
      <c r="W73" s="11" t="n">
        <f aca="false">T73-V73</f>
        <v>3.58087562402076E-006</v>
      </c>
    </row>
    <row r="74" customFormat="false" ht="15" hidden="false" customHeight="false" outlineLevel="0" collapsed="false">
      <c r="A74" s="5" t="s">
        <v>572</v>
      </c>
      <c r="B74" s="5" t="s">
        <v>573</v>
      </c>
      <c r="C74" s="5" t="s">
        <v>453</v>
      </c>
      <c r="D74" s="5" t="s">
        <v>445</v>
      </c>
      <c r="E74" s="5" t="n">
        <v>3</v>
      </c>
      <c r="F74" s="5" t="s">
        <v>410</v>
      </c>
      <c r="G74" s="5" t="n">
        <v>35</v>
      </c>
      <c r="H74" s="5" t="s">
        <v>411</v>
      </c>
      <c r="I74" s="5" t="s">
        <v>432</v>
      </c>
      <c r="J74" s="5"/>
      <c r="K74" s="5" t="s">
        <v>434</v>
      </c>
      <c r="L74" s="5" t="s">
        <v>412</v>
      </c>
      <c r="M74" s="5" t="s">
        <v>509</v>
      </c>
      <c r="N74" s="5" t="s">
        <v>448</v>
      </c>
      <c r="O74" s="15" t="n">
        <f aca="false">SUM(BOM!$J$915:$J$928)</f>
        <v>2211.07683953507</v>
      </c>
      <c r="P74" s="15" t="n">
        <f aca="false">SUM(Operations!$G$508:$G$514)</f>
        <v>68.1930323</v>
      </c>
      <c r="Q74" s="15" t="n">
        <f aca="false">SUM(Overheads!$D$557:$D$564)-R74</f>
        <v>97.9739998877049</v>
      </c>
      <c r="R74" s="16" t="n">
        <v>1.5</v>
      </c>
      <c r="S74" s="17" t="n">
        <f aca="false">O74+P74+Q74+R74</f>
        <v>2378.74387172278</v>
      </c>
      <c r="T74" s="11" t="n">
        <f aca="false">S74/1000</f>
        <v>2.37874387172278</v>
      </c>
      <c r="U74" s="18" t="n">
        <f aca="false">T74*(1+Drivers!$B$7)</f>
        <v>2.73555545248119</v>
      </c>
      <c r="V74" s="12" t="n">
        <v>2.37874487044715</v>
      </c>
      <c r="W74" s="11" t="n">
        <f aca="false">T74-V74</f>
        <v>-9.98724373868498E-007</v>
      </c>
    </row>
    <row r="75" customFormat="false" ht="15" hidden="false" customHeight="false" outlineLevel="0" collapsed="false">
      <c r="A75" s="5" t="s">
        <v>574</v>
      </c>
      <c r="B75" s="5" t="s">
        <v>575</v>
      </c>
      <c r="C75" s="5" t="s">
        <v>463</v>
      </c>
      <c r="D75" s="5" t="s">
        <v>464</v>
      </c>
      <c r="E75" s="5" t="n">
        <v>3</v>
      </c>
      <c r="F75" s="5" t="s">
        <v>410</v>
      </c>
      <c r="G75" s="5" t="n">
        <v>50</v>
      </c>
      <c r="H75" s="5" t="s">
        <v>411</v>
      </c>
      <c r="I75" s="5" t="s">
        <v>432</v>
      </c>
      <c r="J75" s="5" t="s">
        <v>465</v>
      </c>
      <c r="K75" s="5" t="s">
        <v>434</v>
      </c>
      <c r="L75" s="5" t="s">
        <v>412</v>
      </c>
      <c r="M75" s="5"/>
      <c r="N75" s="5" t="s">
        <v>477</v>
      </c>
      <c r="O75" s="15" t="n">
        <f aca="false">SUM(BOM!$J$929:$J$942)</f>
        <v>4744.23729328152</v>
      </c>
      <c r="P75" s="15" t="n">
        <f aca="false">SUM(Operations!$G$515:$G$522)</f>
        <v>238.0034089</v>
      </c>
      <c r="Q75" s="15" t="n">
        <f aca="false">SUM(Overheads!$D$565:$D$572)-R75</f>
        <v>195.20899784565</v>
      </c>
      <c r="R75" s="16" t="n">
        <v>5</v>
      </c>
      <c r="S75" s="17" t="n">
        <f aca="false">O75+P75+Q75+R75</f>
        <v>5182.44970002717</v>
      </c>
      <c r="T75" s="11" t="n">
        <f aca="false">S75/1000</f>
        <v>5.18244970002717</v>
      </c>
      <c r="U75" s="18" t="n">
        <f aca="false">T75*(1+Drivers!$B$7)</f>
        <v>5.95981715503125</v>
      </c>
      <c r="V75" s="12" t="n">
        <v>5.18244832721655</v>
      </c>
      <c r="W75" s="11" t="n">
        <f aca="false">T75-V75</f>
        <v>1.3728106242894E-006</v>
      </c>
    </row>
    <row r="76" customFormat="false" ht="15" hidden="false" customHeight="false" outlineLevel="0" collapsed="false">
      <c r="A76" s="5" t="s">
        <v>507</v>
      </c>
      <c r="B76" s="5" t="s">
        <v>508</v>
      </c>
      <c r="C76" s="5" t="s">
        <v>453</v>
      </c>
      <c r="D76" s="5" t="s">
        <v>445</v>
      </c>
      <c r="E76" s="5" t="n">
        <v>3</v>
      </c>
      <c r="F76" s="5" t="s">
        <v>410</v>
      </c>
      <c r="G76" s="5" t="n">
        <v>50</v>
      </c>
      <c r="H76" s="5" t="s">
        <v>411</v>
      </c>
      <c r="I76" s="5" t="s">
        <v>432</v>
      </c>
      <c r="J76" s="5"/>
      <c r="K76" s="5" t="s">
        <v>434</v>
      </c>
      <c r="L76" s="5" t="s">
        <v>412</v>
      </c>
      <c r="M76" s="5" t="s">
        <v>509</v>
      </c>
      <c r="N76" s="5" t="s">
        <v>448</v>
      </c>
      <c r="O76" s="15" t="n">
        <f aca="false">SUM(BOM!$J$943:$J$956)</f>
        <v>2918.33537042945</v>
      </c>
      <c r="P76" s="15" t="n">
        <f aca="false">SUM(Operations!$G$523:$G$529)</f>
        <v>68.9056415</v>
      </c>
      <c r="Q76" s="15" t="n">
        <f aca="false">SUM(Overheads!$D$573:$D$580)-R76</f>
        <v>125.417000055313</v>
      </c>
      <c r="R76" s="16" t="n">
        <v>1.5</v>
      </c>
      <c r="S76" s="17" t="n">
        <f aca="false">O76+P76+Q76+R76</f>
        <v>3114.15801198477</v>
      </c>
      <c r="T76" s="11" t="n">
        <f aca="false">S76/1000</f>
        <v>3.11415801198477</v>
      </c>
      <c r="U76" s="18" t="n">
        <f aca="false">T76*(1+Drivers!$B$7)</f>
        <v>3.58128171378248</v>
      </c>
      <c r="V76" s="12" t="n">
        <v>3.11415941368664</v>
      </c>
      <c r="W76" s="11" t="n">
        <f aca="false">T76-V76</f>
        <v>-1.40170187323818E-006</v>
      </c>
    </row>
    <row r="77" customFormat="false" ht="15" hidden="false" customHeight="false" outlineLevel="0" collapsed="false">
      <c r="A77" s="5" t="s">
        <v>576</v>
      </c>
      <c r="B77" s="5" t="s">
        <v>577</v>
      </c>
      <c r="C77" s="5" t="s">
        <v>453</v>
      </c>
      <c r="D77" s="5" t="s">
        <v>445</v>
      </c>
      <c r="E77" s="5" t="n">
        <v>3</v>
      </c>
      <c r="F77" s="5" t="s">
        <v>410</v>
      </c>
      <c r="G77" s="5" t="n">
        <v>6</v>
      </c>
      <c r="H77" s="5" t="s">
        <v>411</v>
      </c>
      <c r="I77" s="5" t="s">
        <v>432</v>
      </c>
      <c r="J77" s="5"/>
      <c r="K77" s="5" t="s">
        <v>434</v>
      </c>
      <c r="L77" s="5" t="s">
        <v>412</v>
      </c>
      <c r="M77" s="5" t="s">
        <v>422</v>
      </c>
      <c r="N77" s="5" t="s">
        <v>448</v>
      </c>
      <c r="O77" s="15" t="n">
        <f aca="false">SUM(BOM!$J$957:$J$969)</f>
        <v>535.82191981365</v>
      </c>
      <c r="P77" s="15" t="n">
        <f aca="false">SUM(Operations!$G$530:$G$537)</f>
        <v>30.6274812</v>
      </c>
      <c r="Q77" s="15" t="n">
        <f aca="false">SUM(Overheads!$D$581:$D$588)-R77</f>
        <v>24.3169997483492</v>
      </c>
      <c r="R77" s="16" t="n">
        <v>2</v>
      </c>
      <c r="S77" s="17" t="n">
        <f aca="false">O77+P77+Q77+R77</f>
        <v>592.766400761999</v>
      </c>
      <c r="T77" s="11" t="n">
        <f aca="false">S77/1000</f>
        <v>0.592766400761999</v>
      </c>
      <c r="U77" s="18" t="n">
        <f aca="false">T77*(1+Drivers!$B$7)</f>
        <v>0.681681360876299</v>
      </c>
      <c r="V77" s="12" t="n">
        <v>0.592765920269617</v>
      </c>
      <c r="W77" s="11" t="n">
        <f aca="false">T77-V77</f>
        <v>4.80492382104458E-007</v>
      </c>
    </row>
    <row r="78" customFormat="false" ht="15" hidden="false" customHeight="false" outlineLevel="0" collapsed="false">
      <c r="A78" s="5" t="s">
        <v>540</v>
      </c>
      <c r="B78" s="5" t="s">
        <v>541</v>
      </c>
      <c r="C78" s="5" t="s">
        <v>463</v>
      </c>
      <c r="D78" s="5" t="s">
        <v>464</v>
      </c>
      <c r="E78" s="5" t="n">
        <v>3</v>
      </c>
      <c r="F78" s="5" t="s">
        <v>410</v>
      </c>
      <c r="G78" s="5" t="n">
        <v>70</v>
      </c>
      <c r="H78" s="5" t="s">
        <v>411</v>
      </c>
      <c r="I78" s="5" t="s">
        <v>432</v>
      </c>
      <c r="J78" s="5" t="s">
        <v>465</v>
      </c>
      <c r="K78" s="5" t="s">
        <v>434</v>
      </c>
      <c r="L78" s="5" t="s">
        <v>412</v>
      </c>
      <c r="M78" s="5"/>
      <c r="N78" s="5" t="s">
        <v>477</v>
      </c>
      <c r="O78" s="15" t="n">
        <f aca="false">SUM(BOM!$J$970:$J$982)</f>
        <v>6160.7919356822</v>
      </c>
      <c r="P78" s="15" t="n">
        <f aca="false">SUM(Operations!$G$538:$G$545)</f>
        <v>262.741413</v>
      </c>
      <c r="Q78" s="15" t="n">
        <f aca="false">SUM(Overheads!$D$589:$D$596)-R78</f>
        <v>245.791000366211</v>
      </c>
      <c r="R78" s="16" t="n">
        <v>5</v>
      </c>
      <c r="S78" s="17" t="n">
        <f aca="false">O78+P78+Q78+R78</f>
        <v>6674.32434904841</v>
      </c>
      <c r="T78" s="11" t="n">
        <f aca="false">S78/1000</f>
        <v>6.67432434904841</v>
      </c>
      <c r="U78" s="18" t="n">
        <f aca="false">T78*(1+Drivers!$B$7)</f>
        <v>7.67547300140567</v>
      </c>
      <c r="V78" s="12" t="n">
        <v>6.67432799457666</v>
      </c>
      <c r="W78" s="11" t="n">
        <f aca="false">T78-V78</f>
        <v>-3.64552825171671E-006</v>
      </c>
    </row>
    <row r="79" customFormat="false" ht="15" hidden="false" customHeight="false" outlineLevel="0" collapsed="false">
      <c r="A79" s="5" t="s">
        <v>578</v>
      </c>
      <c r="B79" s="5" t="s">
        <v>579</v>
      </c>
      <c r="C79" s="5" t="s">
        <v>453</v>
      </c>
      <c r="D79" s="5" t="s">
        <v>445</v>
      </c>
      <c r="E79" s="5" t="n">
        <v>3</v>
      </c>
      <c r="F79" s="5" t="s">
        <v>410</v>
      </c>
      <c r="G79" s="5" t="n">
        <v>70</v>
      </c>
      <c r="H79" s="5" t="s">
        <v>411</v>
      </c>
      <c r="I79" s="5" t="s">
        <v>432</v>
      </c>
      <c r="J79" s="5"/>
      <c r="K79" s="5" t="s">
        <v>434</v>
      </c>
      <c r="L79" s="5" t="s">
        <v>412</v>
      </c>
      <c r="M79" s="5" t="s">
        <v>509</v>
      </c>
      <c r="N79" s="5" t="s">
        <v>448</v>
      </c>
      <c r="O79" s="15" t="n">
        <f aca="false">SUM(BOM!$J$983:$J$996)</f>
        <v>4185.84566129302</v>
      </c>
      <c r="P79" s="15" t="n">
        <f aca="false">SUM(Operations!$G$546:$G$552)</f>
        <v>113.5225402</v>
      </c>
      <c r="Q79" s="15" t="n">
        <f aca="false">SUM(Overheads!$D$597:$D$604)-R79</f>
        <v>182.141002267599</v>
      </c>
      <c r="R79" s="16" t="n">
        <v>1.5</v>
      </c>
      <c r="S79" s="17" t="n">
        <f aca="false">O79+P79+Q79+R79</f>
        <v>4483.00920376062</v>
      </c>
      <c r="T79" s="11" t="n">
        <f aca="false">S79/1000</f>
        <v>4.48300920376062</v>
      </c>
      <c r="U79" s="18" t="n">
        <f aca="false">T79*(1+Drivers!$B$7)</f>
        <v>5.15546058432471</v>
      </c>
      <c r="V79" s="12" t="n">
        <v>4.48301272208887</v>
      </c>
      <c r="W79" s="11" t="n">
        <f aca="false">T79-V79</f>
        <v>-3.51832824918574E-006</v>
      </c>
    </row>
    <row r="80" customFormat="false" ht="15" hidden="false" customHeight="false" outlineLevel="0" collapsed="false">
      <c r="A80" s="5" t="s">
        <v>580</v>
      </c>
      <c r="B80" s="5" t="s">
        <v>581</v>
      </c>
      <c r="C80" s="5" t="s">
        <v>463</v>
      </c>
      <c r="D80" s="5" t="s">
        <v>464</v>
      </c>
      <c r="E80" s="5" t="n">
        <v>3</v>
      </c>
      <c r="F80" s="5" t="s">
        <v>410</v>
      </c>
      <c r="G80" s="5" t="n">
        <v>70</v>
      </c>
      <c r="H80" s="5" t="s">
        <v>411</v>
      </c>
      <c r="I80" s="5" t="s">
        <v>432</v>
      </c>
      <c r="J80" s="5" t="s">
        <v>465</v>
      </c>
      <c r="K80" s="5" t="s">
        <v>434</v>
      </c>
      <c r="L80" s="5" t="s">
        <v>412</v>
      </c>
      <c r="M80" s="5"/>
      <c r="N80" s="5" t="s">
        <v>482</v>
      </c>
      <c r="O80" s="15" t="n">
        <f aca="false">SUM(BOM!$J$997:$J$1009)</f>
        <v>5395.39392603112</v>
      </c>
      <c r="P80" s="15" t="n">
        <f aca="false">SUM(Operations!$G$553:$G$560)</f>
        <v>198.325853</v>
      </c>
      <c r="Q80" s="15" t="n">
        <f aca="false">SUM(Overheads!$D$605:$D$612)-R80</f>
        <v>222.263001084328</v>
      </c>
      <c r="R80" s="16" t="n">
        <v>5</v>
      </c>
      <c r="S80" s="17" t="n">
        <f aca="false">O80+P80+Q80+R80</f>
        <v>5820.98278011545</v>
      </c>
      <c r="T80" s="11" t="n">
        <f aca="false">S80/1000</f>
        <v>5.82098278011545</v>
      </c>
      <c r="U80" s="18" t="n">
        <f aca="false">T80*(1+Drivers!$B$7)</f>
        <v>6.69413019713277</v>
      </c>
      <c r="V80" s="12" t="n">
        <v>5.8209839856437</v>
      </c>
      <c r="W80" s="11" t="n">
        <f aca="false">T80-V80</f>
        <v>-1.20552825144671E-006</v>
      </c>
    </row>
    <row r="81" customFormat="false" ht="15" hidden="false" customHeight="false" outlineLevel="0" collapsed="false">
      <c r="A81" s="5" t="s">
        <v>582</v>
      </c>
      <c r="B81" s="5" t="s">
        <v>583</v>
      </c>
      <c r="C81" s="5" t="s">
        <v>463</v>
      </c>
      <c r="D81" s="5" t="s">
        <v>464</v>
      </c>
      <c r="E81" s="5" t="n">
        <v>3</v>
      </c>
      <c r="F81" s="5" t="s">
        <v>410</v>
      </c>
      <c r="G81" s="5" t="n">
        <v>95</v>
      </c>
      <c r="H81" s="5" t="s">
        <v>411</v>
      </c>
      <c r="I81" s="5" t="s">
        <v>432</v>
      </c>
      <c r="J81" s="5" t="s">
        <v>465</v>
      </c>
      <c r="K81" s="5" t="s">
        <v>434</v>
      </c>
      <c r="L81" s="5" t="s">
        <v>412</v>
      </c>
      <c r="M81" s="5"/>
      <c r="N81" s="5" t="s">
        <v>466</v>
      </c>
      <c r="O81" s="15" t="n">
        <f aca="false">SUM(BOM!$J$1010:$J$1022)</f>
        <v>9620.52036884357</v>
      </c>
      <c r="P81" s="15" t="n">
        <f aca="false">SUM(Operations!$G$561:$G$568)</f>
        <v>477.5390445</v>
      </c>
      <c r="Q81" s="15" t="n">
        <f aca="false">SUM(Overheads!$D$613:$D$620)-R81</f>
        <v>395.871999025346</v>
      </c>
      <c r="R81" s="16" t="n">
        <v>5</v>
      </c>
      <c r="S81" s="17" t="n">
        <f aca="false">O81+P81+Q81+R81</f>
        <v>10498.9314123689</v>
      </c>
      <c r="T81" s="11" t="n">
        <f aca="false">S81/1000</f>
        <v>10.4989314123689</v>
      </c>
      <c r="U81" s="18" t="n">
        <f aca="false">T81*(1+Drivers!$B$7)</f>
        <v>12.0737711242243</v>
      </c>
      <c r="V81" s="12" t="n">
        <v>10.4989324523128</v>
      </c>
      <c r="W81" s="11" t="n">
        <f aca="false">T81-V81</f>
        <v>-1.0399438856723E-006</v>
      </c>
    </row>
    <row r="82" customFormat="false" ht="15" hidden="false" customHeight="false" outlineLevel="0" collapsed="false">
      <c r="A82" s="5" t="s">
        <v>584</v>
      </c>
      <c r="B82" s="5" t="s">
        <v>585</v>
      </c>
      <c r="C82" s="5" t="s">
        <v>463</v>
      </c>
      <c r="D82" s="5" t="s">
        <v>464</v>
      </c>
      <c r="E82" s="5" t="n">
        <v>3</v>
      </c>
      <c r="F82" s="5" t="s">
        <v>410</v>
      </c>
      <c r="G82" s="5" t="n">
        <v>95</v>
      </c>
      <c r="H82" s="5" t="s">
        <v>411</v>
      </c>
      <c r="I82" s="5" t="s">
        <v>432</v>
      </c>
      <c r="J82" s="5" t="s">
        <v>465</v>
      </c>
      <c r="K82" s="5" t="s">
        <v>434</v>
      </c>
      <c r="L82" s="5" t="s">
        <v>412</v>
      </c>
      <c r="M82" s="5"/>
      <c r="N82" s="5" t="s">
        <v>482</v>
      </c>
      <c r="O82" s="15" t="n">
        <f aca="false">SUM(BOM!$J$1023:$J$1036)</f>
        <v>6972.47655497123</v>
      </c>
      <c r="P82" s="15" t="n">
        <f aca="false">SUM(Operations!$G$569:$G$576)</f>
        <v>253.3389896</v>
      </c>
      <c r="Q82" s="15" t="n">
        <f aca="false">SUM(Overheads!$D$621:$D$628)-R82</f>
        <v>296.740998864174</v>
      </c>
      <c r="R82" s="16" t="n">
        <v>5</v>
      </c>
      <c r="S82" s="17" t="n">
        <f aca="false">O82+P82+Q82+R82</f>
        <v>7527.55654343541</v>
      </c>
      <c r="T82" s="11" t="n">
        <f aca="false">S82/1000</f>
        <v>7.52755654343541</v>
      </c>
      <c r="U82" s="18" t="n">
        <f aca="false">T82*(1+Drivers!$B$7)</f>
        <v>8.65669002495072</v>
      </c>
      <c r="V82" s="12" t="n">
        <v>7.52755563827924</v>
      </c>
      <c r="W82" s="11" t="n">
        <f aca="false">T82-V82</f>
        <v>9.05156167796406E-007</v>
      </c>
    </row>
    <row r="83" customFormat="false" ht="15" hidden="false" customHeight="false" outlineLevel="0" collapsed="false">
      <c r="A83" s="5" t="s">
        <v>586</v>
      </c>
      <c r="B83" s="5" t="s">
        <v>587</v>
      </c>
      <c r="C83" s="5" t="s">
        <v>453</v>
      </c>
      <c r="D83" s="5" t="s">
        <v>445</v>
      </c>
      <c r="E83" s="5" t="n">
        <v>3</v>
      </c>
      <c r="F83" s="5" t="s">
        <v>410</v>
      </c>
      <c r="G83" s="5" t="n">
        <v>95</v>
      </c>
      <c r="H83" s="5" t="s">
        <v>411</v>
      </c>
      <c r="I83" s="5" t="s">
        <v>432</v>
      </c>
      <c r="J83" s="5"/>
      <c r="K83" s="5" t="s">
        <v>434</v>
      </c>
      <c r="L83" s="5" t="s">
        <v>412</v>
      </c>
      <c r="M83" s="5" t="s">
        <v>509</v>
      </c>
      <c r="N83" s="5" t="s">
        <v>448</v>
      </c>
      <c r="O83" s="15" t="n">
        <f aca="false">SUM(BOM!$J$1037:$J$1050)</f>
        <v>5660.14454757038</v>
      </c>
      <c r="P83" s="15" t="n">
        <f aca="false">SUM(Operations!$G$577:$G$583)</f>
        <v>110.89884</v>
      </c>
      <c r="Q83" s="15" t="n">
        <f aca="false">SUM(Overheads!$D$629:$D$636)-R83</f>
        <v>239.333000302315</v>
      </c>
      <c r="R83" s="16" t="n">
        <v>1.5</v>
      </c>
      <c r="S83" s="17" t="n">
        <f aca="false">O83+P83+Q83+R83</f>
        <v>6011.87638787269</v>
      </c>
      <c r="T83" s="11" t="n">
        <f aca="false">S83/1000</f>
        <v>6.01187638787269</v>
      </c>
      <c r="U83" s="18" t="n">
        <f aca="false">T83*(1+Drivers!$B$7)</f>
        <v>6.9136578460536</v>
      </c>
      <c r="V83" s="12" t="n">
        <v>6.01187563231652</v>
      </c>
      <c r="W83" s="11" t="n">
        <f aca="false">T83-V83</f>
        <v>7.55556173182015E-007</v>
      </c>
    </row>
    <row r="84" customFormat="false" ht="15" hidden="false" customHeight="false" outlineLevel="0" collapsed="false">
      <c r="A84" s="5" t="s">
        <v>588</v>
      </c>
      <c r="B84" s="5" t="s">
        <v>589</v>
      </c>
      <c r="C84" s="5" t="s">
        <v>453</v>
      </c>
      <c r="D84" s="5" t="s">
        <v>445</v>
      </c>
      <c r="E84" s="5" t="n">
        <v>4</v>
      </c>
      <c r="F84" s="5" t="s">
        <v>410</v>
      </c>
      <c r="G84" s="5" t="n">
        <v>2.5</v>
      </c>
      <c r="H84" s="5" t="s">
        <v>411</v>
      </c>
      <c r="I84" s="5" t="s">
        <v>432</v>
      </c>
      <c r="J84" s="5"/>
      <c r="K84" s="5" t="s">
        <v>434</v>
      </c>
      <c r="L84" s="5" t="s">
        <v>412</v>
      </c>
      <c r="M84" s="5" t="s">
        <v>422</v>
      </c>
      <c r="N84" s="5" t="s">
        <v>448</v>
      </c>
      <c r="O84" s="15" t="n">
        <f aca="false">SUM(BOM!$J$1051:$J$1063)</f>
        <v>353.150359097686</v>
      </c>
      <c r="P84" s="15" t="n">
        <f aca="false">SUM(Operations!$G$584:$G$591)</f>
        <v>30.8635504</v>
      </c>
      <c r="Q84" s="15" t="n">
        <f aca="false">SUM(Overheads!$D$637:$D$644)-R84</f>
        <v>18.1210000067949</v>
      </c>
      <c r="R84" s="16" t="n">
        <v>2</v>
      </c>
      <c r="S84" s="17" t="n">
        <f aca="false">O84+P84+Q84+R84</f>
        <v>404.134909504481</v>
      </c>
      <c r="T84" s="11" t="n">
        <f aca="false">S84/1000</f>
        <v>0.404134909504481</v>
      </c>
      <c r="U84" s="18" t="n">
        <f aca="false">T84*(1+Drivers!$B$7)</f>
        <v>0.464755145930153</v>
      </c>
      <c r="V84" s="12" t="n">
        <v>0.404135359991648</v>
      </c>
      <c r="W84" s="11" t="n">
        <f aca="false">T84-V84</f>
        <v>-4.50487167236169E-007</v>
      </c>
    </row>
    <row r="85" customFormat="false" ht="15" hidden="false" customHeight="false" outlineLevel="0" collapsed="false">
      <c r="A85" s="5" t="s">
        <v>590</v>
      </c>
      <c r="B85" s="5" t="s">
        <v>591</v>
      </c>
      <c r="C85" s="5" t="s">
        <v>453</v>
      </c>
      <c r="D85" s="5" t="s">
        <v>445</v>
      </c>
      <c r="E85" s="5" t="n">
        <v>4</v>
      </c>
      <c r="F85" s="5" t="s">
        <v>410</v>
      </c>
      <c r="G85" s="5" t="n">
        <v>4</v>
      </c>
      <c r="H85" s="5" t="s">
        <v>411</v>
      </c>
      <c r="I85" s="5" t="s">
        <v>432</v>
      </c>
      <c r="J85" s="5"/>
      <c r="K85" s="5" t="s">
        <v>434</v>
      </c>
      <c r="L85" s="5" t="s">
        <v>412</v>
      </c>
      <c r="M85" s="5" t="s">
        <v>422</v>
      </c>
      <c r="N85" s="5" t="s">
        <v>448</v>
      </c>
      <c r="O85" s="15" t="n">
        <f aca="false">SUM(BOM!$J$1064:$J$1076)</f>
        <v>487.340775646475</v>
      </c>
      <c r="P85" s="15" t="n">
        <f aca="false">SUM(Operations!$G$592:$G$599)</f>
        <v>31.1629808</v>
      </c>
      <c r="Q85" s="15" t="n">
        <f aca="false">SUM(Overheads!$D$645:$D$652)-R85</f>
        <v>22.6999999731779</v>
      </c>
      <c r="R85" s="16" t="n">
        <v>2</v>
      </c>
      <c r="S85" s="17" t="n">
        <f aca="false">O85+P85+Q85+R85</f>
        <v>543.203756419653</v>
      </c>
      <c r="T85" s="11" t="n">
        <f aca="false">S85/1000</f>
        <v>0.543203756419653</v>
      </c>
      <c r="U85" s="18" t="n">
        <f aca="false">T85*(1+Drivers!$B$7)</f>
        <v>0.624684319882601</v>
      </c>
      <c r="V85" s="12" t="n">
        <v>0.543208776367648</v>
      </c>
      <c r="W85" s="11" t="n">
        <f aca="false">T85-V85</f>
        <v>-5.01994799528838E-006</v>
      </c>
    </row>
    <row r="86" customFormat="false" ht="15" hidden="false" customHeight="false" outlineLevel="0" collapsed="false">
      <c r="A86" s="5" t="s">
        <v>592</v>
      </c>
      <c r="B86" s="5" t="s">
        <v>593</v>
      </c>
      <c r="C86" s="5" t="s">
        <v>444</v>
      </c>
      <c r="D86" s="5" t="s">
        <v>445</v>
      </c>
      <c r="E86" s="5" t="n">
        <v>48</v>
      </c>
      <c r="F86" s="5" t="s">
        <v>410</v>
      </c>
      <c r="G86" s="5" t="n">
        <v>1.5</v>
      </c>
      <c r="H86" s="5" t="s">
        <v>411</v>
      </c>
      <c r="I86" s="5" t="s">
        <v>432</v>
      </c>
      <c r="J86" s="5" t="s">
        <v>446</v>
      </c>
      <c r="K86" s="5" t="s">
        <v>434</v>
      </c>
      <c r="L86" s="5" t="s">
        <v>447</v>
      </c>
      <c r="M86" s="5" t="s">
        <v>422</v>
      </c>
      <c r="N86" s="5" t="s">
        <v>448</v>
      </c>
      <c r="O86" s="15" t="n">
        <f aca="false">SUM(BOM!$J$1077:$J$1092)</f>
        <v>3491.50025777124</v>
      </c>
      <c r="P86" s="15" t="n">
        <f aca="false">SUM(Operations!$G$600:$G$609)</f>
        <v>432.288939853641</v>
      </c>
      <c r="Q86" s="15" t="n">
        <f aca="false">SUM(Overheads!$D$653:$D$660)-R86</f>
        <v>123.940999925137</v>
      </c>
      <c r="R86" s="16" t="n">
        <v>10</v>
      </c>
      <c r="S86" s="17" t="n">
        <f aca="false">O86+P86+Q86+R86</f>
        <v>4057.73019755002</v>
      </c>
      <c r="T86" s="11" t="n">
        <f aca="false">S86/1000</f>
        <v>4.05773019755002</v>
      </c>
      <c r="U86" s="18" t="n">
        <f aca="false">T86*(1+Drivers!$B$7)</f>
        <v>4.66638972718252</v>
      </c>
      <c r="V86" s="12" t="n">
        <v>4.05772905703794</v>
      </c>
      <c r="W86" s="11" t="n">
        <f aca="false">T86-V86</f>
        <v>1.14051207855681E-006</v>
      </c>
    </row>
    <row r="87" customFormat="false" ht="15" hidden="false" customHeight="false" outlineLevel="0" collapsed="false">
      <c r="A87" s="5" t="s">
        <v>594</v>
      </c>
      <c r="B87" s="5" t="s">
        <v>595</v>
      </c>
      <c r="C87" s="5" t="s">
        <v>444</v>
      </c>
      <c r="D87" s="5" t="s">
        <v>445</v>
      </c>
      <c r="E87" s="5" t="n">
        <v>48</v>
      </c>
      <c r="F87" s="5" t="s">
        <v>410</v>
      </c>
      <c r="G87" s="5" t="n">
        <v>2.5</v>
      </c>
      <c r="H87" s="5" t="s">
        <v>411</v>
      </c>
      <c r="I87" s="5" t="s">
        <v>432</v>
      </c>
      <c r="J87" s="5" t="s">
        <v>446</v>
      </c>
      <c r="K87" s="5" t="s">
        <v>434</v>
      </c>
      <c r="L87" s="5" t="s">
        <v>447</v>
      </c>
      <c r="M87" s="5" t="s">
        <v>422</v>
      </c>
      <c r="N87" s="5" t="s">
        <v>448</v>
      </c>
      <c r="O87" s="15" t="n">
        <f aca="false">SUM(BOM!$J$1093:$J$1108)</f>
        <v>4826.91045936535</v>
      </c>
      <c r="P87" s="15" t="n">
        <f aca="false">SUM(Operations!$G$610:$G$619)</f>
        <v>395.17158283237</v>
      </c>
      <c r="Q87" s="15" t="n">
        <f aca="false">SUM(Overheads!$D$661:$D$668)-R87</f>
        <v>170.676998496056</v>
      </c>
      <c r="R87" s="16" t="n">
        <v>10</v>
      </c>
      <c r="S87" s="17" t="n">
        <f aca="false">O87+P87+Q87+R87</f>
        <v>5402.75904069377</v>
      </c>
      <c r="T87" s="11" t="n">
        <f aca="false">S87/1000</f>
        <v>5.40275904069377</v>
      </c>
      <c r="U87" s="18" t="n">
        <f aca="false">T87*(1+Drivers!$B$7)</f>
        <v>6.21317289679783</v>
      </c>
      <c r="V87" s="12" t="n">
        <v>5.40276941988305</v>
      </c>
      <c r="W87" s="11" t="n">
        <f aca="false">T87-V87</f>
        <v>-1.0379189280485E-005</v>
      </c>
    </row>
    <row r="88" customFormat="false" ht="15" hidden="false" customHeight="false" outlineLevel="0" collapsed="false">
      <c r="A88" s="5" t="s">
        <v>596</v>
      </c>
      <c r="B88" s="5" t="s">
        <v>597</v>
      </c>
      <c r="C88" s="5" t="s">
        <v>444</v>
      </c>
      <c r="D88" s="5" t="s">
        <v>445</v>
      </c>
      <c r="E88" s="5" t="n">
        <v>48</v>
      </c>
      <c r="F88" s="5" t="s">
        <v>410</v>
      </c>
      <c r="G88" s="5" t="n">
        <v>2.5</v>
      </c>
      <c r="H88" s="5" t="s">
        <v>411</v>
      </c>
      <c r="I88" s="5" t="s">
        <v>432</v>
      </c>
      <c r="J88" s="5" t="s">
        <v>446</v>
      </c>
      <c r="K88" s="5" t="s">
        <v>434</v>
      </c>
      <c r="L88" s="5" t="s">
        <v>447</v>
      </c>
      <c r="M88" s="5" t="s">
        <v>422</v>
      </c>
      <c r="N88" s="5" t="s">
        <v>448</v>
      </c>
      <c r="O88" s="15" t="n">
        <f aca="false">SUM(BOM!$J$1109:$J$1123)</f>
        <v>3290.03449170631</v>
      </c>
      <c r="P88" s="15" t="n">
        <f aca="false">SUM(Operations!$G$620:$G$628)</f>
        <v>168.882027695068</v>
      </c>
      <c r="Q88" s="15" t="n">
        <f aca="false">SUM(Overheads!$D$669:$D$676)-R88</f>
        <v>141.653002142906</v>
      </c>
      <c r="R88" s="16" t="n">
        <v>10</v>
      </c>
      <c r="S88" s="17" t="n">
        <f aca="false">O88+P88+Q88+R88</f>
        <v>3610.56952154428</v>
      </c>
      <c r="T88" s="11" t="n">
        <f aca="false">S88/1000</f>
        <v>3.61056952154428</v>
      </c>
      <c r="U88" s="18" t="n">
        <f aca="false">T88*(1+Drivers!$B$7)</f>
        <v>4.15215494977592</v>
      </c>
      <c r="V88" s="12" t="n">
        <v>3.61057674377369</v>
      </c>
      <c r="W88" s="11" t="n">
        <f aca="false">T88-V88</f>
        <v>-7.22222941007544E-006</v>
      </c>
    </row>
    <row r="89" customFormat="false" ht="15" hidden="false" customHeight="false" outlineLevel="0" collapsed="false">
      <c r="A89" s="5" t="s">
        <v>598</v>
      </c>
      <c r="B89" s="5" t="s">
        <v>599</v>
      </c>
      <c r="C89" s="5" t="s">
        <v>453</v>
      </c>
      <c r="D89" s="5" t="s">
        <v>445</v>
      </c>
      <c r="E89" s="5" t="n">
        <v>4</v>
      </c>
      <c r="F89" s="5" t="s">
        <v>410</v>
      </c>
      <c r="G89" s="5" t="n">
        <v>10</v>
      </c>
      <c r="H89" s="5" t="s">
        <v>411</v>
      </c>
      <c r="I89" s="5" t="s">
        <v>432</v>
      </c>
      <c r="J89" s="5"/>
      <c r="K89" s="5" t="s">
        <v>434</v>
      </c>
      <c r="L89" s="5" t="s">
        <v>412</v>
      </c>
      <c r="M89" s="5" t="s">
        <v>422</v>
      </c>
      <c r="N89" s="5" t="s">
        <v>448</v>
      </c>
      <c r="O89" s="15" t="n">
        <f aca="false">SUM(BOM!$J$1124:$J$1138)</f>
        <v>997.991843212804</v>
      </c>
      <c r="P89" s="15" t="n">
        <f aca="false">SUM(Operations!$G$629:$G$635)</f>
        <v>57.049898</v>
      </c>
      <c r="Q89" s="15" t="n">
        <f aca="false">SUM(Overheads!$D$677:$D$684)-R89</f>
        <v>45.9449997097254</v>
      </c>
      <c r="R89" s="16" t="n">
        <v>1.5</v>
      </c>
      <c r="S89" s="17" t="n">
        <f aca="false">O89+P89+Q89+R89</f>
        <v>1102.48674092253</v>
      </c>
      <c r="T89" s="11" t="n">
        <f aca="false">S89/1000</f>
        <v>1.10248674092253</v>
      </c>
      <c r="U89" s="18" t="n">
        <f aca="false">T89*(1+Drivers!$B$7)</f>
        <v>1.26785975206091</v>
      </c>
      <c r="V89" s="12" t="n">
        <v>1.102485851369</v>
      </c>
      <c r="W89" s="11" t="n">
        <f aca="false">T89-V89</f>
        <v>8.89553529059839E-007</v>
      </c>
    </row>
    <row r="90" customFormat="false" ht="15" hidden="false" customHeight="false" outlineLevel="0" collapsed="false">
      <c r="A90" s="5" t="s">
        <v>600</v>
      </c>
      <c r="B90" s="5" t="s">
        <v>601</v>
      </c>
      <c r="C90" s="5" t="s">
        <v>453</v>
      </c>
      <c r="D90" s="5" t="s">
        <v>445</v>
      </c>
      <c r="E90" s="5" t="n">
        <v>4</v>
      </c>
      <c r="F90" s="5" t="s">
        <v>410</v>
      </c>
      <c r="G90" s="5" t="n">
        <v>150</v>
      </c>
      <c r="H90" s="5" t="s">
        <v>411</v>
      </c>
      <c r="I90" s="5" t="s">
        <v>432</v>
      </c>
      <c r="J90" s="5"/>
      <c r="K90" s="5" t="s">
        <v>434</v>
      </c>
      <c r="L90" s="5" t="s">
        <v>412</v>
      </c>
      <c r="M90" s="5" t="s">
        <v>509</v>
      </c>
      <c r="N90" s="5" t="s">
        <v>448</v>
      </c>
      <c r="O90" s="15" t="n">
        <f aca="false">SUM(BOM!$J$1139:$J$1153)</f>
        <v>11590.2851851699</v>
      </c>
      <c r="P90" s="15" t="n">
        <f aca="false">SUM(Operations!$G$636:$G$642)</f>
        <v>206.4695302</v>
      </c>
      <c r="Q90" s="15" t="n">
        <f aca="false">SUM(Overheads!$D$685:$D$692)-R90</f>
        <v>490.034001350402</v>
      </c>
      <c r="R90" s="16" t="n">
        <v>1</v>
      </c>
      <c r="S90" s="17" t="n">
        <f aca="false">O90+P90+Q90+R90</f>
        <v>12287.7887167203</v>
      </c>
      <c r="T90" s="11" t="n">
        <f aca="false">S90/1000</f>
        <v>12.2877887167203</v>
      </c>
      <c r="U90" s="18" t="n">
        <f aca="false">T90*(1+Drivers!$B$7)</f>
        <v>14.1309570242284</v>
      </c>
      <c r="V90" s="12" t="n">
        <v>12.2877883667922</v>
      </c>
      <c r="W90" s="11" t="n">
        <f aca="false">T90-V90</f>
        <v>3.49928143350553E-007</v>
      </c>
    </row>
    <row r="91" customFormat="false" ht="15" hidden="false" customHeight="false" outlineLevel="0" collapsed="false">
      <c r="A91" s="5" t="s">
        <v>602</v>
      </c>
      <c r="B91" s="5" t="s">
        <v>603</v>
      </c>
      <c r="C91" s="5" t="s">
        <v>453</v>
      </c>
      <c r="D91" s="5" t="s">
        <v>445</v>
      </c>
      <c r="E91" s="5" t="n">
        <v>4</v>
      </c>
      <c r="F91" s="5" t="s">
        <v>410</v>
      </c>
      <c r="G91" s="5" t="n">
        <v>16</v>
      </c>
      <c r="H91" s="5" t="s">
        <v>411</v>
      </c>
      <c r="I91" s="5" t="s">
        <v>432</v>
      </c>
      <c r="J91" s="5"/>
      <c r="K91" s="5" t="s">
        <v>434</v>
      </c>
      <c r="L91" s="5" t="s">
        <v>412</v>
      </c>
      <c r="M91" s="5" t="s">
        <v>422</v>
      </c>
      <c r="N91" s="5" t="s">
        <v>448</v>
      </c>
      <c r="O91" s="15" t="n">
        <f aca="false">SUM(BOM!$J$1154:$J$1168)</f>
        <v>1464.28807087662</v>
      </c>
      <c r="P91" s="15" t="n">
        <f aca="false">SUM(Operations!$G$643:$G$649)</f>
        <v>52.6292328</v>
      </c>
      <c r="Q91" s="15" t="n">
        <f aca="false">SUM(Overheads!$D$693:$D$700)-R91</f>
        <v>63.2870003283024</v>
      </c>
      <c r="R91" s="16" t="n">
        <v>1.5</v>
      </c>
      <c r="S91" s="17" t="n">
        <f aca="false">O91+P91+Q91+R91</f>
        <v>1581.70430400493</v>
      </c>
      <c r="T91" s="11" t="n">
        <f aca="false">S91/1000</f>
        <v>1.58170430400493</v>
      </c>
      <c r="U91" s="18" t="n">
        <f aca="false">T91*(1+Drivers!$B$7)</f>
        <v>1.81895994960567</v>
      </c>
      <c r="V91" s="12" t="n">
        <v>1.58170308814348</v>
      </c>
      <c r="W91" s="11" t="n">
        <f aca="false">T91-V91</f>
        <v>1.2158614466351E-006</v>
      </c>
    </row>
    <row r="92" customFormat="false" ht="15" hidden="false" customHeight="false" outlineLevel="0" collapsed="false">
      <c r="A92" s="5" t="s">
        <v>604</v>
      </c>
      <c r="B92" s="5" t="s">
        <v>605</v>
      </c>
      <c r="C92" s="5" t="s">
        <v>453</v>
      </c>
      <c r="D92" s="5" t="s">
        <v>445</v>
      </c>
      <c r="E92" s="5" t="n">
        <v>4</v>
      </c>
      <c r="F92" s="5" t="s">
        <v>410</v>
      </c>
      <c r="G92" s="5" t="n">
        <v>185</v>
      </c>
      <c r="H92" s="5" t="s">
        <v>411</v>
      </c>
      <c r="I92" s="5" t="s">
        <v>432</v>
      </c>
      <c r="J92" s="5"/>
      <c r="K92" s="5" t="s">
        <v>434</v>
      </c>
      <c r="L92" s="5" t="s">
        <v>412</v>
      </c>
      <c r="M92" s="5" t="s">
        <v>509</v>
      </c>
      <c r="N92" s="5" t="s">
        <v>448</v>
      </c>
      <c r="O92" s="15" t="n">
        <f aca="false">SUM(BOM!$J$1169:$J$1183)</f>
        <v>14163.1811421386</v>
      </c>
      <c r="P92" s="15" t="n">
        <f aca="false">SUM(Operations!$G$650:$G$656)</f>
        <v>227.435559</v>
      </c>
      <c r="Q92" s="15" t="n">
        <f aca="false">SUM(Overheads!$D$701:$D$708)-R92</f>
        <v>596.631000518799</v>
      </c>
      <c r="R92" s="16" t="n">
        <v>1</v>
      </c>
      <c r="S92" s="17" t="n">
        <f aca="false">O92+P92+Q92+R92</f>
        <v>14988.2477016574</v>
      </c>
      <c r="T92" s="11" t="n">
        <f aca="false">S92/1000</f>
        <v>14.9882477016574</v>
      </c>
      <c r="U92" s="18" t="n">
        <f aca="false">T92*(1+Drivers!$B$7)</f>
        <v>17.2364848569061</v>
      </c>
      <c r="V92" s="12" t="n">
        <v>14.9882473594856</v>
      </c>
      <c r="W92" s="11" t="n">
        <f aca="false">T92-V92</f>
        <v>3.42171833978E-007</v>
      </c>
    </row>
    <row r="93" customFormat="false" ht="15" hidden="false" customHeight="false" outlineLevel="0" collapsed="false">
      <c r="A93" s="5" t="s">
        <v>606</v>
      </c>
      <c r="B93" s="5" t="s">
        <v>607</v>
      </c>
      <c r="C93" s="5" t="s">
        <v>453</v>
      </c>
      <c r="D93" s="5" t="s">
        <v>445</v>
      </c>
      <c r="E93" s="5" t="n">
        <v>4</v>
      </c>
      <c r="F93" s="5" t="s">
        <v>410</v>
      </c>
      <c r="G93" s="5" t="n">
        <v>240</v>
      </c>
      <c r="H93" s="5" t="s">
        <v>411</v>
      </c>
      <c r="I93" s="5" t="s">
        <v>432</v>
      </c>
      <c r="J93" s="5"/>
      <c r="K93" s="5" t="s">
        <v>434</v>
      </c>
      <c r="L93" s="5" t="s">
        <v>412</v>
      </c>
      <c r="M93" s="5" t="s">
        <v>509</v>
      </c>
      <c r="N93" s="5" t="s">
        <v>448</v>
      </c>
      <c r="O93" s="15" t="n">
        <f aca="false">SUM(BOM!$J$1184:$J$1198)</f>
        <v>18487.8730084096</v>
      </c>
      <c r="P93" s="15" t="n">
        <f aca="false">SUM(Operations!$G$657:$G$663)</f>
        <v>267.501171</v>
      </c>
      <c r="Q93" s="15" t="n">
        <f aca="false">SUM(Overheads!$D$709:$D$716)-R93</f>
        <v>773.628995895386</v>
      </c>
      <c r="R93" s="16" t="n">
        <v>1</v>
      </c>
      <c r="S93" s="17" t="n">
        <f aca="false">O93+P93+Q93+R93</f>
        <v>19530.003175305</v>
      </c>
      <c r="T93" s="11" t="n">
        <f aca="false">S93/1000</f>
        <v>19.530003175305</v>
      </c>
      <c r="U93" s="18" t="n">
        <f aca="false">T93*(1+Drivers!$B$7)</f>
        <v>22.4595036516007</v>
      </c>
      <c r="V93" s="12" t="n">
        <v>19.5300042999261</v>
      </c>
      <c r="W93" s="11" t="n">
        <f aca="false">T93-V93</f>
        <v>-1.12462113577294E-006</v>
      </c>
    </row>
    <row r="94" customFormat="false" ht="15" hidden="false" customHeight="false" outlineLevel="0" collapsed="false">
      <c r="A94" s="5" t="s">
        <v>608</v>
      </c>
      <c r="B94" s="5" t="s">
        <v>609</v>
      </c>
      <c r="C94" s="5" t="s">
        <v>453</v>
      </c>
      <c r="D94" s="5" t="s">
        <v>445</v>
      </c>
      <c r="E94" s="5" t="n">
        <v>4</v>
      </c>
      <c r="F94" s="5" t="s">
        <v>410</v>
      </c>
      <c r="G94" s="5" t="n">
        <v>25</v>
      </c>
      <c r="H94" s="5" t="s">
        <v>411</v>
      </c>
      <c r="I94" s="5" t="s">
        <v>432</v>
      </c>
      <c r="J94" s="5"/>
      <c r="K94" s="5" t="s">
        <v>434</v>
      </c>
      <c r="L94" s="5" t="s">
        <v>412</v>
      </c>
      <c r="M94" s="5" t="s">
        <v>509</v>
      </c>
      <c r="N94" s="5" t="s">
        <v>448</v>
      </c>
      <c r="O94" s="15" t="n">
        <f aca="false">SUM(BOM!$J$1199:$J$1213)</f>
        <v>2151.30220516329</v>
      </c>
      <c r="P94" s="15" t="n">
        <f aca="false">SUM(Operations!$G$664:$G$670)</f>
        <v>59.4619028</v>
      </c>
      <c r="Q94" s="15" t="n">
        <f aca="false">SUM(Overheads!$D$717:$D$724)-R94</f>
        <v>92.7850002348423</v>
      </c>
      <c r="R94" s="16" t="n">
        <v>1.5</v>
      </c>
      <c r="S94" s="17" t="n">
        <f aca="false">O94+P94+Q94+R94</f>
        <v>2305.04910819814</v>
      </c>
      <c r="T94" s="11" t="n">
        <f aca="false">S94/1000</f>
        <v>2.30504910819814</v>
      </c>
      <c r="U94" s="18" t="n">
        <f aca="false">T94*(1+Drivers!$B$7)</f>
        <v>2.65080647442786</v>
      </c>
      <c r="V94" s="12" t="n">
        <v>2.30504923400316</v>
      </c>
      <c r="W94" s="11" t="n">
        <f aca="false">T94-V94</f>
        <v>-1.2580502284365E-007</v>
      </c>
    </row>
    <row r="95" customFormat="false" ht="15" hidden="false" customHeight="false" outlineLevel="0" collapsed="false">
      <c r="A95" s="5" t="s">
        <v>610</v>
      </c>
      <c r="B95" s="5" t="s">
        <v>611</v>
      </c>
      <c r="C95" s="5" t="s">
        <v>453</v>
      </c>
      <c r="D95" s="5" t="s">
        <v>445</v>
      </c>
      <c r="E95" s="5" t="n">
        <v>4</v>
      </c>
      <c r="F95" s="5" t="s">
        <v>410</v>
      </c>
      <c r="G95" s="5" t="n">
        <v>35</v>
      </c>
      <c r="H95" s="5" t="s">
        <v>411</v>
      </c>
      <c r="I95" s="5" t="s">
        <v>432</v>
      </c>
      <c r="J95" s="5"/>
      <c r="K95" s="5" t="s">
        <v>434</v>
      </c>
      <c r="L95" s="5" t="s">
        <v>412</v>
      </c>
      <c r="M95" s="5" t="s">
        <v>509</v>
      </c>
      <c r="N95" s="5" t="s">
        <v>448</v>
      </c>
      <c r="O95" s="15" t="n">
        <f aca="false">SUM(BOM!$J$1214:$J$1228)</f>
        <v>2870.74194911037</v>
      </c>
      <c r="P95" s="15" t="n">
        <f aca="false">SUM(Operations!$G$671:$G$677)</f>
        <v>72.2317598</v>
      </c>
      <c r="Q95" s="15" t="n">
        <f aca="false">SUM(Overheads!$D$725:$D$732)-R95</f>
        <v>124.34300199151</v>
      </c>
      <c r="R95" s="16" t="n">
        <v>1.5</v>
      </c>
      <c r="S95" s="17" t="n">
        <f aca="false">O95+P95+Q95+R95</f>
        <v>3068.81671090188</v>
      </c>
      <c r="T95" s="11" t="n">
        <f aca="false">S95/1000</f>
        <v>3.06881671090188</v>
      </c>
      <c r="U95" s="18" t="n">
        <f aca="false">T95*(1+Drivers!$B$7)</f>
        <v>3.52913921753717</v>
      </c>
      <c r="V95" s="12" t="n">
        <v>3.06881899246772</v>
      </c>
      <c r="W95" s="11" t="n">
        <f aca="false">T95-V95</f>
        <v>-2.28156583537142E-006</v>
      </c>
    </row>
    <row r="96" customFormat="false" ht="15" hidden="false" customHeight="false" outlineLevel="0" collapsed="false">
      <c r="A96" s="5" t="s">
        <v>612</v>
      </c>
      <c r="B96" s="5" t="s">
        <v>613</v>
      </c>
      <c r="C96" s="5" t="s">
        <v>453</v>
      </c>
      <c r="D96" s="5" t="s">
        <v>445</v>
      </c>
      <c r="E96" s="5" t="n">
        <v>4</v>
      </c>
      <c r="F96" s="5" t="s">
        <v>410</v>
      </c>
      <c r="G96" s="5" t="n">
        <v>50</v>
      </c>
      <c r="H96" s="5" t="s">
        <v>411</v>
      </c>
      <c r="I96" s="5" t="s">
        <v>432</v>
      </c>
      <c r="J96" s="5"/>
      <c r="K96" s="5" t="s">
        <v>434</v>
      </c>
      <c r="L96" s="5" t="s">
        <v>412</v>
      </c>
      <c r="M96" s="5" t="s">
        <v>509</v>
      </c>
      <c r="N96" s="5" t="s">
        <v>448</v>
      </c>
      <c r="O96" s="15" t="n">
        <f aca="false">SUM(BOM!$J$1229:$J$1243)</f>
        <v>3807.35479681246</v>
      </c>
      <c r="P96" s="15" t="n">
        <f aca="false">SUM(Operations!$G$678:$G$684)</f>
        <v>81.561404</v>
      </c>
      <c r="Q96" s="15" t="n">
        <f aca="false">SUM(Overheads!$D$733:$D$740)-R96</f>
        <v>163.226997852325</v>
      </c>
      <c r="R96" s="16" t="n">
        <v>1.5</v>
      </c>
      <c r="S96" s="17" t="n">
        <f aca="false">O96+P96+Q96+R96</f>
        <v>4053.64319866479</v>
      </c>
      <c r="T96" s="11" t="n">
        <f aca="false">S96/1000</f>
        <v>4.05364319866479</v>
      </c>
      <c r="U96" s="18" t="n">
        <f aca="false">T96*(1+Drivers!$B$7)</f>
        <v>4.66168967846451</v>
      </c>
      <c r="V96" s="12" t="n">
        <v>4.05364585226729</v>
      </c>
      <c r="W96" s="11" t="n">
        <f aca="false">T96-V96</f>
        <v>-2.65360250129021E-006</v>
      </c>
    </row>
    <row r="97" customFormat="false" ht="15" hidden="false" customHeight="false" outlineLevel="0" collapsed="false">
      <c r="A97" s="5" t="s">
        <v>614</v>
      </c>
      <c r="B97" s="5" t="s">
        <v>615</v>
      </c>
      <c r="C97" s="5" t="s">
        <v>453</v>
      </c>
      <c r="D97" s="5" t="s">
        <v>445</v>
      </c>
      <c r="E97" s="5" t="n">
        <v>4</v>
      </c>
      <c r="F97" s="5" t="s">
        <v>410</v>
      </c>
      <c r="G97" s="5" t="n">
        <v>6</v>
      </c>
      <c r="H97" s="5" t="s">
        <v>411</v>
      </c>
      <c r="I97" s="5" t="s">
        <v>432</v>
      </c>
      <c r="J97" s="5"/>
      <c r="K97" s="5" t="s">
        <v>434</v>
      </c>
      <c r="L97" s="5" t="s">
        <v>412</v>
      </c>
      <c r="M97" s="5" t="s">
        <v>422</v>
      </c>
      <c r="N97" s="5" t="s">
        <v>448</v>
      </c>
      <c r="O97" s="15" t="n">
        <f aca="false">SUM(BOM!$J$1244:$J$1256)</f>
        <v>687.818835599979</v>
      </c>
      <c r="P97" s="15" t="n">
        <f aca="false">SUM(Operations!$G$685:$G$692)</f>
        <v>38.2330421</v>
      </c>
      <c r="Q97" s="15" t="n">
        <f aca="false">SUM(Overheads!$D$741:$D$748)-R97</f>
        <v>29.7439998537302</v>
      </c>
      <c r="R97" s="16" t="n">
        <v>2</v>
      </c>
      <c r="S97" s="17" t="n">
        <f aca="false">O97+P97+Q97+R97</f>
        <v>757.795877553709</v>
      </c>
      <c r="T97" s="11" t="n">
        <f aca="false">S97/1000</f>
        <v>0.757795877553709</v>
      </c>
      <c r="U97" s="18" t="n">
        <f aca="false">T97*(1+Drivers!$B$7)</f>
        <v>0.871465259186766</v>
      </c>
      <c r="V97" s="12" t="n">
        <v>0.757794836397201</v>
      </c>
      <c r="W97" s="11" t="n">
        <f aca="false">T97-V97</f>
        <v>1.04115650834125E-006</v>
      </c>
    </row>
    <row r="98" customFormat="false" ht="15" hidden="false" customHeight="false" outlineLevel="0" collapsed="false">
      <c r="A98" s="5" t="s">
        <v>616</v>
      </c>
      <c r="B98" s="5" t="s">
        <v>617</v>
      </c>
      <c r="C98" s="5" t="s">
        <v>453</v>
      </c>
      <c r="D98" s="5" t="s">
        <v>445</v>
      </c>
      <c r="E98" s="5" t="n">
        <v>4</v>
      </c>
      <c r="F98" s="5" t="s">
        <v>410</v>
      </c>
      <c r="G98" s="5" t="n">
        <v>95</v>
      </c>
      <c r="H98" s="5" t="s">
        <v>411</v>
      </c>
      <c r="I98" s="5" t="s">
        <v>432</v>
      </c>
      <c r="J98" s="5"/>
      <c r="K98" s="5" t="s">
        <v>434</v>
      </c>
      <c r="L98" s="5" t="s">
        <v>412</v>
      </c>
      <c r="M98" s="5" t="s">
        <v>509</v>
      </c>
      <c r="N98" s="5" t="s">
        <v>448</v>
      </c>
      <c r="O98" s="15" t="n">
        <f aca="false">SUM(BOM!$J$1257:$J$1271)</f>
        <v>7433.86534342335</v>
      </c>
      <c r="P98" s="15" t="n">
        <f aca="false">SUM(Operations!$G$693:$G$699)</f>
        <v>124.9774984</v>
      </c>
      <c r="Q98" s="15" t="n">
        <f aca="false">SUM(Overheads!$D$749:$D$756)-R98</f>
        <v>312.21600317955</v>
      </c>
      <c r="R98" s="16" t="n">
        <v>1.5</v>
      </c>
      <c r="S98" s="17" t="n">
        <f aca="false">O98+P98+Q98+R98</f>
        <v>7872.5588450029</v>
      </c>
      <c r="T98" s="11" t="n">
        <f aca="false">S98/1000</f>
        <v>7.8725588450029</v>
      </c>
      <c r="U98" s="18" t="n">
        <f aca="false">T98*(1+Drivers!$B$7)</f>
        <v>9.05344267175334</v>
      </c>
      <c r="V98" s="12" t="n">
        <v>7.87255745919468</v>
      </c>
      <c r="W98" s="11" t="n">
        <f aca="false">T98-V98</f>
        <v>1.38580822106604E-006</v>
      </c>
    </row>
    <row r="99" customFormat="false" ht="15" hidden="false" customHeight="false" outlineLevel="0" collapsed="false">
      <c r="A99" s="5" t="s">
        <v>618</v>
      </c>
      <c r="B99" s="5" t="s">
        <v>619</v>
      </c>
      <c r="C99" s="5" t="s">
        <v>429</v>
      </c>
      <c r="D99" s="5" t="s">
        <v>430</v>
      </c>
      <c r="E99" s="5" t="n">
        <v>5</v>
      </c>
      <c r="F99" s="5" t="s">
        <v>431</v>
      </c>
      <c r="G99" s="5" t="n">
        <v>1.5</v>
      </c>
      <c r="H99" s="5" t="s">
        <v>411</v>
      </c>
      <c r="I99" s="5" t="s">
        <v>432</v>
      </c>
      <c r="J99" s="5" t="s">
        <v>433</v>
      </c>
      <c r="K99" s="5" t="s">
        <v>434</v>
      </c>
      <c r="L99" s="5" t="s">
        <v>435</v>
      </c>
      <c r="M99" s="5"/>
      <c r="N99" s="5" t="s">
        <v>436</v>
      </c>
      <c r="O99" s="15" t="n">
        <f aca="false">SUM(BOM!$J$1272:$J$1290)</f>
        <v>690.104181453172</v>
      </c>
      <c r="P99" s="15" t="n">
        <f aca="false">SUM(Operations!$G$700:$G$707)</f>
        <v>52.3936324005295</v>
      </c>
      <c r="Q99" s="15" t="n">
        <f aca="false">SUM(Overheads!$D$757:$D$764)-R99</f>
        <v>28.9279998838901</v>
      </c>
      <c r="R99" s="16" t="n">
        <v>10</v>
      </c>
      <c r="S99" s="17" t="n">
        <f aca="false">O99+P99+Q99+R99</f>
        <v>781.425813737591</v>
      </c>
      <c r="T99" s="11" t="n">
        <f aca="false">S99/1000</f>
        <v>0.781425813737591</v>
      </c>
      <c r="U99" s="18" t="n">
        <f aca="false">T99*(1+Drivers!$B$7)</f>
        <v>0.89863968579823</v>
      </c>
      <c r="V99" s="12" t="n">
        <v>0.781424784416719</v>
      </c>
      <c r="W99" s="11" t="n">
        <f aca="false">T99-V99</f>
        <v>1.02932087220342E-006</v>
      </c>
    </row>
    <row r="100" customFormat="false" ht="15" hidden="false" customHeight="false" outlineLevel="0" collapsed="false">
      <c r="A100" s="5" t="s">
        <v>620</v>
      </c>
      <c r="B100" s="5" t="s">
        <v>621</v>
      </c>
      <c r="C100" s="5" t="s">
        <v>429</v>
      </c>
      <c r="D100" s="5" t="s">
        <v>430</v>
      </c>
      <c r="E100" s="5" t="n">
        <v>5</v>
      </c>
      <c r="F100" s="5" t="s">
        <v>431</v>
      </c>
      <c r="G100" s="5" t="n">
        <v>1.5</v>
      </c>
      <c r="H100" s="5" t="s">
        <v>411</v>
      </c>
      <c r="I100" s="5" t="s">
        <v>432</v>
      </c>
      <c r="J100" s="5" t="s">
        <v>433</v>
      </c>
      <c r="K100" s="5" t="s">
        <v>434</v>
      </c>
      <c r="L100" s="5" t="s">
        <v>435</v>
      </c>
      <c r="M100" s="5"/>
      <c r="N100" s="5" t="s">
        <v>436</v>
      </c>
      <c r="O100" s="15" t="n">
        <f aca="false">SUM(BOM!$J$1291:$J$1307)</f>
        <v>966.866152885083</v>
      </c>
      <c r="P100" s="15" t="n">
        <f aca="false">SUM(Operations!$G$708:$G$716)</f>
        <v>96.4160869773316</v>
      </c>
      <c r="Q100" s="15" t="n">
        <f aca="false">SUM(Overheads!$D$765:$D$772)-R100</f>
        <v>35.1620004475117</v>
      </c>
      <c r="R100" s="16" t="n">
        <v>10</v>
      </c>
      <c r="S100" s="17" t="n">
        <f aca="false">O100+P100+Q100+R100</f>
        <v>1108.44424030993</v>
      </c>
      <c r="T100" s="11" t="n">
        <f aca="false">S100/1000</f>
        <v>1.10844424030993</v>
      </c>
      <c r="U100" s="18" t="n">
        <f aca="false">T100*(1+Drivers!$B$7)</f>
        <v>1.27471087635642</v>
      </c>
      <c r="V100" s="12" t="n">
        <v>1.10844395558904</v>
      </c>
      <c r="W100" s="11" t="n">
        <f aca="false">T100-V100</f>
        <v>2.84720886645218E-007</v>
      </c>
    </row>
    <row r="101" customFormat="false" ht="15" hidden="false" customHeight="false" outlineLevel="0" collapsed="false">
      <c r="A101" s="5" t="s">
        <v>622</v>
      </c>
      <c r="B101" s="5" t="s">
        <v>623</v>
      </c>
      <c r="C101" s="5" t="s">
        <v>408</v>
      </c>
      <c r="D101" s="5" t="s">
        <v>409</v>
      </c>
      <c r="E101" s="5" t="n">
        <v>1</v>
      </c>
      <c r="F101" s="5" t="s">
        <v>410</v>
      </c>
      <c r="G101" s="5" t="n">
        <v>6</v>
      </c>
      <c r="H101" s="5" t="s">
        <v>411</v>
      </c>
      <c r="I101" s="5" t="s">
        <v>412</v>
      </c>
      <c r="J101" s="5"/>
      <c r="K101" s="5"/>
      <c r="L101" s="5" t="s">
        <v>412</v>
      </c>
      <c r="M101" s="5"/>
      <c r="N101" s="5" t="s">
        <v>413</v>
      </c>
      <c r="O101" s="15" t="n">
        <f aca="false">SUM(BOM!$J$1308:$J$1315)</f>
        <v>110.377829262017</v>
      </c>
      <c r="P101" s="15" t="n">
        <f aca="false">SUM(Operations!$G$717:$G$721)</f>
        <v>1.0446998</v>
      </c>
      <c r="Q101" s="15" t="n">
        <f aca="false">SUM(Overheads!$D$773:$D$780)-R101</f>
        <v>4.33900004625321</v>
      </c>
      <c r="R101" s="16" t="n">
        <v>0.0329999998211861</v>
      </c>
      <c r="S101" s="17" t="n">
        <f aca="false">O101+P101+Q101+R101</f>
        <v>115.794529108091</v>
      </c>
      <c r="T101" s="11" t="n">
        <f aca="false">S101/1000</f>
        <v>0.115794529108091</v>
      </c>
      <c r="U101" s="18" t="n">
        <f aca="false">T101*(1+Drivers!$B$7)</f>
        <v>0.133163708474305</v>
      </c>
      <c r="V101" s="12" t="n">
        <v>0.115793829543964</v>
      </c>
      <c r="W101" s="11" t="n">
        <f aca="false">T101-V101</f>
        <v>6.99564126932506E-007</v>
      </c>
    </row>
    <row r="102" customFormat="false" ht="15" hidden="false" customHeight="false" outlineLevel="0" collapsed="false">
      <c r="A102" s="5" t="s">
        <v>624</v>
      </c>
      <c r="B102" s="5" t="s">
        <v>625</v>
      </c>
      <c r="C102" s="5" t="s">
        <v>444</v>
      </c>
      <c r="D102" s="5" t="s">
        <v>445</v>
      </c>
      <c r="E102" s="5" t="n">
        <v>7</v>
      </c>
      <c r="F102" s="5" t="s">
        <v>410</v>
      </c>
      <c r="G102" s="5" t="n">
        <v>2.5</v>
      </c>
      <c r="H102" s="5" t="s">
        <v>411</v>
      </c>
      <c r="I102" s="5" t="s">
        <v>432</v>
      </c>
      <c r="J102" s="5"/>
      <c r="K102" s="5" t="s">
        <v>434</v>
      </c>
      <c r="L102" s="5" t="s">
        <v>412</v>
      </c>
      <c r="M102" s="5" t="s">
        <v>422</v>
      </c>
      <c r="N102" s="5" t="s">
        <v>448</v>
      </c>
      <c r="O102" s="15" t="n">
        <f aca="false">SUM(BOM!$J$1316:$J$1326)</f>
        <v>560.968118330873</v>
      </c>
      <c r="P102" s="15" t="n">
        <f aca="false">SUM(Operations!$G$722:$G$729)</f>
        <v>88.7696157504624</v>
      </c>
      <c r="Q102" s="15" t="n">
        <f aca="false">SUM(Overheads!$D$781:$D$788)-R102</f>
        <v>36.0480002760887</v>
      </c>
      <c r="R102" s="16" t="n">
        <v>10</v>
      </c>
      <c r="S102" s="17" t="n">
        <f aca="false">O102+P102+Q102+R102</f>
        <v>695.785734357424</v>
      </c>
      <c r="T102" s="11" t="n">
        <f aca="false">S102/1000</f>
        <v>0.695785734357424</v>
      </c>
      <c r="U102" s="18" t="n">
        <f aca="false">T102*(1+Drivers!$B$7)</f>
        <v>0.800153594511037</v>
      </c>
      <c r="V102" s="12" t="n">
        <v>0.695787910270782</v>
      </c>
      <c r="W102" s="11" t="n">
        <f aca="false">T102-V102</f>
        <v>-2.17591335827105E-006</v>
      </c>
    </row>
    <row r="103" customFormat="false" ht="15" hidden="false" customHeight="false" outlineLevel="0" collapsed="false">
      <c r="A103" s="5" t="s">
        <v>626</v>
      </c>
      <c r="B103" s="5" t="s">
        <v>107</v>
      </c>
      <c r="C103" s="5" t="s">
        <v>421</v>
      </c>
      <c r="D103" s="5"/>
      <c r="E103" s="5" t="n">
        <v>1</v>
      </c>
      <c r="F103" s="5" t="s">
        <v>410</v>
      </c>
      <c r="G103" s="5" t="n">
        <v>95</v>
      </c>
      <c r="H103" s="5" t="s">
        <v>411</v>
      </c>
      <c r="I103" s="5"/>
      <c r="J103" s="5"/>
      <c r="K103" s="5"/>
      <c r="L103" s="5"/>
      <c r="M103" s="5" t="s">
        <v>422</v>
      </c>
      <c r="N103" s="5"/>
      <c r="O103" s="15" t="n">
        <f aca="false">SUM(BOM!$J$1327:$J$1331)</f>
        <v>1642.01167493362</v>
      </c>
      <c r="P103" s="15" t="n">
        <f aca="false">SUM(Operations!$G$730:$G$732)</f>
        <v>15.3674051</v>
      </c>
      <c r="Q103" s="15" t="n">
        <f aca="false">SUM(Overheads!$D$789:$D$796)-R103</f>
        <v>71.3699993938207</v>
      </c>
      <c r="R103" s="16" t="n">
        <v>10</v>
      </c>
      <c r="S103" s="17" t="n">
        <f aca="false">O103+P103+Q103+R103</f>
        <v>1738.74907942744</v>
      </c>
      <c r="T103" s="11" t="n">
        <f aca="false">S103/1000</f>
        <v>1.73874907942744</v>
      </c>
      <c r="U103" s="18" t="n">
        <f aca="false">T103*(1+Drivers!$B$7)</f>
        <v>1.99956144134156</v>
      </c>
      <c r="V103" s="12" t="n">
        <v>1.73874970247539</v>
      </c>
      <c r="W103" s="11" t="n">
        <f aca="false">T103-V103</f>
        <v>-6.23047947234667E-007</v>
      </c>
    </row>
    <row r="105" customFormat="false" ht="15" hidden="false" customHeight="false" outlineLevel="0" collapsed="false">
      <c r="A105" s="3" t="s">
        <v>627</v>
      </c>
      <c r="S105" s="19" t="n">
        <f aca="false">SUM(S5:S103)</f>
        <v>602247.588922746</v>
      </c>
      <c r="W105" s="20" t="n">
        <f aca="false">SUMPRODUCT(ABS(W5:W103))</f>
        <v>0.000182369947929147</v>
      </c>
    </row>
    <row r="106" customFormat="false" ht="15" hidden="false" customHeight="false" outlineLevel="0" collapsed="false">
      <c r="A106" s="2" t="s">
        <v>628</v>
      </c>
    </row>
  </sheetData>
  <autoFilter ref="A4:W10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4" min="4" style="0" width="44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629</v>
      </c>
    </row>
    <row r="2" customFormat="false" ht="15" hidden="false" customHeight="false" outlineLevel="0" collapsed="false">
      <c r="A2" s="2" t="s">
        <v>630</v>
      </c>
    </row>
    <row r="4" customFormat="false" ht="15" hidden="false" customHeight="false" outlineLevel="0" collapsed="false">
      <c r="A4" s="7" t="s">
        <v>384</v>
      </c>
      <c r="B4" s="7" t="s">
        <v>631</v>
      </c>
      <c r="C4" s="7" t="s">
        <v>52</v>
      </c>
      <c r="D4" s="7" t="s">
        <v>53</v>
      </c>
      <c r="E4" s="7" t="s">
        <v>54</v>
      </c>
      <c r="F4" s="7" t="s">
        <v>632</v>
      </c>
      <c r="G4" s="7" t="s">
        <v>633</v>
      </c>
      <c r="H4" s="7" t="s">
        <v>634</v>
      </c>
      <c r="I4" s="7" t="s">
        <v>635</v>
      </c>
      <c r="J4" s="7" t="s">
        <v>636</v>
      </c>
    </row>
    <row r="5" customFormat="false" ht="15" hidden="false" customHeight="false" outlineLevel="0" collapsed="false">
      <c r="A5" s="5" t="s">
        <v>406</v>
      </c>
      <c r="B5" s="2" t="s">
        <v>637</v>
      </c>
      <c r="C5" s="5" t="s">
        <v>94</v>
      </c>
      <c r="D5" s="5" t="s">
        <v>95</v>
      </c>
      <c r="E5" s="5" t="s">
        <v>72</v>
      </c>
      <c r="F5" s="21" t="n">
        <v>136.5</v>
      </c>
      <c r="G5" s="21" t="n">
        <v>0.683000028133392</v>
      </c>
      <c r="H5" s="22" t="n">
        <f aca="false">F5+G5</f>
        <v>137.183000028133</v>
      </c>
      <c r="I5" s="13" t="n">
        <f aca="false">INDEX(RM_Rates!$F$5:$F$137,MATCH(C5,RM_Rates!$A$5:$A$137,0))</f>
        <v>1.973232</v>
      </c>
      <c r="J5" s="22" t="n">
        <f aca="false">H5*I5</f>
        <v>270.693885511514</v>
      </c>
    </row>
    <row r="6" customFormat="false" ht="15" hidden="false" customHeight="false" outlineLevel="0" collapsed="false">
      <c r="A6" s="5" t="s">
        <v>406</v>
      </c>
      <c r="B6" s="2" t="s">
        <v>637</v>
      </c>
      <c r="C6" s="5" t="s">
        <v>248</v>
      </c>
      <c r="D6" s="5" t="s">
        <v>249</v>
      </c>
      <c r="E6" s="5" t="s">
        <v>60</v>
      </c>
      <c r="F6" s="21" t="n">
        <v>30.6000003814697</v>
      </c>
      <c r="G6" s="21" t="n">
        <v>0.611999988555908</v>
      </c>
      <c r="H6" s="22" t="n">
        <f aca="false">F6+G6</f>
        <v>31.2120003700256</v>
      </c>
      <c r="I6" s="13" t="n">
        <f aca="false">INDEX(RM_Rates!$F$5:$F$137,MATCH(C6,RM_Rates!$A$5:$A$137,0))</f>
        <v>0.402726590633392</v>
      </c>
      <c r="J6" s="22" t="n">
        <f aca="false">H6*I6</f>
        <v>12.5699024958686</v>
      </c>
    </row>
    <row r="7" customFormat="false" ht="15" hidden="false" customHeight="false" outlineLevel="0" collapsed="false">
      <c r="A7" s="5" t="s">
        <v>406</v>
      </c>
      <c r="B7" s="2" t="s">
        <v>637</v>
      </c>
      <c r="C7" s="5" t="s">
        <v>238</v>
      </c>
      <c r="D7" s="5" t="s">
        <v>239</v>
      </c>
      <c r="E7" s="5" t="s">
        <v>60</v>
      </c>
      <c r="F7" s="21" t="n">
        <v>0.321299999952316</v>
      </c>
      <c r="G7" s="21" t="n">
        <v>0.00600000005215406</v>
      </c>
      <c r="H7" s="22" t="n">
        <f aca="false">F7+G7</f>
        <v>0.32730000000447</v>
      </c>
      <c r="I7" s="13" t="n">
        <f aca="false">INDEX(RM_Rates!$F$5:$F$137,MATCH(C7,RM_Rates!$A$5:$A$137,0))</f>
        <v>1.45200002193451</v>
      </c>
      <c r="J7" s="22" t="n">
        <f aca="false">H7*I7</f>
        <v>0.475239607185656</v>
      </c>
    </row>
    <row r="8" customFormat="false" ht="15" hidden="false" customHeight="false" outlineLevel="0" collapsed="false">
      <c r="A8" s="5" t="s">
        <v>406</v>
      </c>
      <c r="B8" s="2" t="s">
        <v>637</v>
      </c>
      <c r="C8" s="5" t="s">
        <v>234</v>
      </c>
      <c r="D8" s="5" t="s">
        <v>235</v>
      </c>
      <c r="E8" s="5" t="s">
        <v>60</v>
      </c>
      <c r="F8" s="21" t="n">
        <v>0.137700006365776</v>
      </c>
      <c r="G8" s="21" t="n">
        <v>0.00300000002607703</v>
      </c>
      <c r="H8" s="22" t="n">
        <f aca="false">F8+G8</f>
        <v>0.140700006391853</v>
      </c>
      <c r="I8" s="13" t="n">
        <f aca="false">INDEX(RM_Rates!$F$5:$F$137,MATCH(C8,RM_Rates!$A$5:$A$137,0))</f>
        <v>1.45200002193451</v>
      </c>
      <c r="J8" s="22" t="n">
        <f aca="false">H8*I8</f>
        <v>0.204296412367156</v>
      </c>
    </row>
    <row r="9" customFormat="false" ht="15" hidden="false" customHeight="false" outlineLevel="0" collapsed="false">
      <c r="A9" s="5" t="s">
        <v>406</v>
      </c>
      <c r="B9" s="2" t="s">
        <v>637</v>
      </c>
      <c r="C9" s="5" t="s">
        <v>289</v>
      </c>
      <c r="D9" s="5" t="s">
        <v>290</v>
      </c>
      <c r="E9" s="5" t="s">
        <v>166</v>
      </c>
      <c r="F9" s="21" t="n">
        <v>1</v>
      </c>
      <c r="G9" s="21" t="n">
        <v>0</v>
      </c>
      <c r="H9" s="22" t="n">
        <f aca="false">F9+G9</f>
        <v>1</v>
      </c>
      <c r="I9" s="13" t="n">
        <f aca="false">INDEX(RM_Rates!$F$5:$F$137,MATCH(C9,RM_Rates!$A$5:$A$137,0))</f>
        <v>8.88367462158203</v>
      </c>
      <c r="J9" s="22" t="n">
        <f aca="false">H9*I9</f>
        <v>8.88367462158203</v>
      </c>
    </row>
    <row r="10" customFormat="false" ht="15" hidden="false" customHeight="false" outlineLevel="0" collapsed="false">
      <c r="A10" s="5" t="s">
        <v>406</v>
      </c>
      <c r="B10" s="2" t="s">
        <v>637</v>
      </c>
      <c r="C10" s="5" t="s">
        <v>164</v>
      </c>
      <c r="D10" s="5" t="s">
        <v>165</v>
      </c>
      <c r="E10" s="5" t="s">
        <v>166</v>
      </c>
      <c r="F10" s="21" t="n">
        <v>2</v>
      </c>
      <c r="G10" s="21" t="n">
        <v>0</v>
      </c>
      <c r="H10" s="22" t="n">
        <f aca="false">F10+G10</f>
        <v>2</v>
      </c>
      <c r="I10" s="13" t="n">
        <f aca="false">INDEX(RM_Rates!$F$5:$F$137,MATCH(C10,RM_Rates!$A$5:$A$137,0))</f>
        <v>0.100000001490116</v>
      </c>
      <c r="J10" s="22" t="n">
        <f aca="false">H10*I10</f>
        <v>0.200000002980232</v>
      </c>
    </row>
    <row r="11" customFormat="false" ht="15" hidden="false" customHeight="false" outlineLevel="0" collapsed="false">
      <c r="A11" s="5" t="s">
        <v>406</v>
      </c>
      <c r="B11" s="2" t="s">
        <v>637</v>
      </c>
      <c r="C11" s="5" t="s">
        <v>306</v>
      </c>
      <c r="D11" s="5" t="s">
        <v>307</v>
      </c>
      <c r="E11" s="5" t="s">
        <v>297</v>
      </c>
      <c r="F11" s="21" t="n">
        <v>2.20000004768372</v>
      </c>
      <c r="G11" s="21" t="n">
        <v>0</v>
      </c>
      <c r="H11" s="22" t="n">
        <f aca="false">F11+G11</f>
        <v>2.20000004768372</v>
      </c>
      <c r="I11" s="13" t="n">
        <f aca="false">INDEX(RM_Rates!$F$5:$F$137,MATCH(C11,RM_Rates!$A$5:$A$137,0))</f>
        <v>1.40752077102661</v>
      </c>
      <c r="J11" s="22" t="n">
        <f aca="false">H11*I11</f>
        <v>3.09654576337437</v>
      </c>
    </row>
    <row r="12" customFormat="false" ht="15" hidden="false" customHeight="false" outlineLevel="0" collapsed="false">
      <c r="A12" s="5" t="s">
        <v>406</v>
      </c>
      <c r="B12" s="2" t="s">
        <v>637</v>
      </c>
      <c r="C12" s="5" t="s">
        <v>189</v>
      </c>
      <c r="D12" s="5" t="s">
        <v>190</v>
      </c>
      <c r="E12" s="5" t="s">
        <v>60</v>
      </c>
      <c r="F12" s="21" t="n">
        <v>0.140000000596046</v>
      </c>
      <c r="G12" s="21" t="n">
        <v>0</v>
      </c>
      <c r="H12" s="22" t="n">
        <f aca="false">F12+G12</f>
        <v>0.140000000596046</v>
      </c>
      <c r="I12" s="13" t="n">
        <f aca="false">INDEX(RM_Rates!$F$5:$F$137,MATCH(C12,RM_Rates!$A$5:$A$137,0))</f>
        <v>0.568400025367737</v>
      </c>
      <c r="J12" s="22" t="n">
        <f aca="false">H12*I12</f>
        <v>0.0795760038902758</v>
      </c>
    </row>
    <row r="13" customFormat="false" ht="15" hidden="false" customHeight="false" outlineLevel="0" collapsed="false">
      <c r="A13" s="5" t="s">
        <v>414</v>
      </c>
      <c r="B13" s="2" t="s">
        <v>638</v>
      </c>
      <c r="C13" s="5" t="s">
        <v>96</v>
      </c>
      <c r="D13" s="5" t="s">
        <v>97</v>
      </c>
      <c r="E13" s="5" t="s">
        <v>72</v>
      </c>
      <c r="F13" s="21" t="n">
        <v>217</v>
      </c>
      <c r="G13" s="21" t="n">
        <v>1.08500003814697</v>
      </c>
      <c r="H13" s="22" t="n">
        <f aca="false">F13+G13</f>
        <v>218.085000038147</v>
      </c>
      <c r="I13" s="13" t="n">
        <f aca="false">INDEX(RM_Rates!$F$5:$F$137,MATCH(C13,RM_Rates!$A$5:$A$137,0))</f>
        <v>1.970916</v>
      </c>
      <c r="J13" s="22" t="n">
        <f aca="false">H13*I13</f>
        <v>429.827215935184</v>
      </c>
    </row>
    <row r="14" customFormat="false" ht="15" hidden="false" customHeight="false" outlineLevel="0" collapsed="false">
      <c r="A14" s="5" t="s">
        <v>414</v>
      </c>
      <c r="B14" s="2" t="s">
        <v>638</v>
      </c>
      <c r="C14" s="5" t="s">
        <v>248</v>
      </c>
      <c r="D14" s="5" t="s">
        <v>249</v>
      </c>
      <c r="E14" s="5" t="s">
        <v>60</v>
      </c>
      <c r="F14" s="21" t="n">
        <v>44.9000015258789</v>
      </c>
      <c r="G14" s="21" t="n">
        <v>0.898000001907349</v>
      </c>
      <c r="H14" s="22" t="n">
        <f aca="false">F14+G14</f>
        <v>45.7980015277863</v>
      </c>
      <c r="I14" s="13" t="n">
        <f aca="false">INDEX(RM_Rates!$F$5:$F$137,MATCH(C14,RM_Rates!$A$5:$A$137,0))</f>
        <v>0.402726590633392</v>
      </c>
      <c r="J14" s="22" t="n">
        <f aca="false">H14*I14</f>
        <v>18.4440730131082</v>
      </c>
    </row>
    <row r="15" customFormat="false" ht="15" hidden="false" customHeight="false" outlineLevel="0" collapsed="false">
      <c r="A15" s="5" t="s">
        <v>414</v>
      </c>
      <c r="B15" s="2" t="s">
        <v>638</v>
      </c>
      <c r="C15" s="5" t="s">
        <v>238</v>
      </c>
      <c r="D15" s="5" t="s">
        <v>239</v>
      </c>
      <c r="E15" s="5" t="s">
        <v>60</v>
      </c>
      <c r="F15" s="21" t="n">
        <v>0.471450001001358</v>
      </c>
      <c r="G15" s="21" t="n">
        <v>0.00899999961256981</v>
      </c>
      <c r="H15" s="22" t="n">
        <f aca="false">F15+G15</f>
        <v>0.480450000613928</v>
      </c>
      <c r="I15" s="13" t="n">
        <f aca="false">INDEX(RM_Rates!$F$5:$F$137,MATCH(C15,RM_Rates!$A$5:$A$137,0))</f>
        <v>1.45200002193451</v>
      </c>
      <c r="J15" s="22" t="n">
        <f aca="false">H15*I15</f>
        <v>0.697613411429858</v>
      </c>
    </row>
    <row r="16" customFormat="false" ht="15" hidden="false" customHeight="false" outlineLevel="0" collapsed="false">
      <c r="A16" s="5" t="s">
        <v>414</v>
      </c>
      <c r="B16" s="2" t="s">
        <v>638</v>
      </c>
      <c r="C16" s="5" t="s">
        <v>234</v>
      </c>
      <c r="D16" s="5" t="s">
        <v>235</v>
      </c>
      <c r="E16" s="5" t="s">
        <v>60</v>
      </c>
      <c r="F16" s="21" t="n">
        <v>0.202050000429153</v>
      </c>
      <c r="G16" s="21" t="n">
        <v>0.00400000018998981</v>
      </c>
      <c r="H16" s="22" t="n">
        <f aca="false">F16+G16</f>
        <v>0.206050000619143</v>
      </c>
      <c r="I16" s="13" t="n">
        <f aca="false">INDEX(RM_Rates!$F$5:$F$137,MATCH(C16,RM_Rates!$A$5:$A$137,0))</f>
        <v>1.45200002193451</v>
      </c>
      <c r="J16" s="22" t="n">
        <f aca="false">H16*I16</f>
        <v>0.299184605418601</v>
      </c>
    </row>
    <row r="17" customFormat="false" ht="15" hidden="false" customHeight="false" outlineLevel="0" collapsed="false">
      <c r="A17" s="5" t="s">
        <v>414</v>
      </c>
      <c r="B17" s="2" t="s">
        <v>638</v>
      </c>
      <c r="C17" s="5" t="s">
        <v>289</v>
      </c>
      <c r="D17" s="5" t="s">
        <v>290</v>
      </c>
      <c r="E17" s="5" t="s">
        <v>166</v>
      </c>
      <c r="F17" s="21" t="n">
        <v>1</v>
      </c>
      <c r="G17" s="21" t="n">
        <v>0</v>
      </c>
      <c r="H17" s="22" t="n">
        <f aca="false">F17+G17</f>
        <v>1</v>
      </c>
      <c r="I17" s="13" t="n">
        <f aca="false">INDEX(RM_Rates!$F$5:$F$137,MATCH(C17,RM_Rates!$A$5:$A$137,0))</f>
        <v>8.88367462158203</v>
      </c>
      <c r="J17" s="22" t="n">
        <f aca="false">H17*I17</f>
        <v>8.88367462158203</v>
      </c>
    </row>
    <row r="18" customFormat="false" ht="15" hidden="false" customHeight="false" outlineLevel="0" collapsed="false">
      <c r="A18" s="5" t="s">
        <v>414</v>
      </c>
      <c r="B18" s="2" t="s">
        <v>638</v>
      </c>
      <c r="C18" s="5" t="s">
        <v>167</v>
      </c>
      <c r="D18" s="5" t="s">
        <v>168</v>
      </c>
      <c r="E18" s="5" t="s">
        <v>166</v>
      </c>
      <c r="F18" s="21" t="n">
        <v>2</v>
      </c>
      <c r="G18" s="21" t="n">
        <v>0</v>
      </c>
      <c r="H18" s="22" t="n">
        <f aca="false">F18+G18</f>
        <v>2</v>
      </c>
      <c r="I18" s="13" t="n">
        <f aca="false">INDEX(RM_Rates!$F$5:$F$137,MATCH(C18,RM_Rates!$A$5:$A$137,0))</f>
        <v>0.124766282737255</v>
      </c>
      <c r="J18" s="22" t="n">
        <f aca="false">H18*I18</f>
        <v>0.24953256547451</v>
      </c>
    </row>
    <row r="19" customFormat="false" ht="15" hidden="false" customHeight="false" outlineLevel="0" collapsed="false">
      <c r="A19" s="5" t="s">
        <v>414</v>
      </c>
      <c r="B19" s="2" t="s">
        <v>638</v>
      </c>
      <c r="C19" s="5" t="s">
        <v>306</v>
      </c>
      <c r="D19" s="5" t="s">
        <v>307</v>
      </c>
      <c r="E19" s="5" t="s">
        <v>297</v>
      </c>
      <c r="F19" s="21" t="n">
        <v>2.20000004768372</v>
      </c>
      <c r="G19" s="21" t="n">
        <v>0</v>
      </c>
      <c r="H19" s="22" t="n">
        <f aca="false">F19+G19</f>
        <v>2.20000004768372</v>
      </c>
      <c r="I19" s="13" t="n">
        <f aca="false">INDEX(RM_Rates!$F$5:$F$137,MATCH(C19,RM_Rates!$A$5:$A$137,0))</f>
        <v>1.40752077102661</v>
      </c>
      <c r="J19" s="22" t="n">
        <f aca="false">H19*I19</f>
        <v>3.09654576337437</v>
      </c>
    </row>
    <row r="20" customFormat="false" ht="15" hidden="false" customHeight="false" outlineLevel="0" collapsed="false">
      <c r="A20" s="5" t="s">
        <v>414</v>
      </c>
      <c r="B20" s="2" t="s">
        <v>638</v>
      </c>
      <c r="C20" s="5" t="s">
        <v>189</v>
      </c>
      <c r="D20" s="5" t="s">
        <v>190</v>
      </c>
      <c r="E20" s="5" t="s">
        <v>60</v>
      </c>
      <c r="F20" s="21" t="n">
        <v>0.140000000596046</v>
      </c>
      <c r="G20" s="21" t="n">
        <v>0</v>
      </c>
      <c r="H20" s="22" t="n">
        <f aca="false">F20+G20</f>
        <v>0.140000000596046</v>
      </c>
      <c r="I20" s="13" t="n">
        <f aca="false">INDEX(RM_Rates!$F$5:$F$137,MATCH(C20,RM_Rates!$A$5:$A$137,0))</f>
        <v>0.568400025367737</v>
      </c>
      <c r="J20" s="22" t="n">
        <f aca="false">H20*I20</f>
        <v>0.0795760038902758</v>
      </c>
    </row>
    <row r="21" customFormat="false" ht="15" hidden="false" customHeight="false" outlineLevel="0" collapsed="false">
      <c r="A21" s="5" t="s">
        <v>416</v>
      </c>
      <c r="B21" s="2" t="s">
        <v>639</v>
      </c>
      <c r="C21" s="5" t="s">
        <v>98</v>
      </c>
      <c r="D21" s="5" t="s">
        <v>99</v>
      </c>
      <c r="E21" s="5" t="s">
        <v>72</v>
      </c>
      <c r="F21" s="21" t="n">
        <v>302</v>
      </c>
      <c r="G21" s="21" t="n">
        <v>1.50999999046326</v>
      </c>
      <c r="H21" s="22" t="n">
        <f aca="false">F21+G21</f>
        <v>303.509999990463</v>
      </c>
      <c r="I21" s="13" t="n">
        <f aca="false">INDEX(RM_Rates!$F$5:$F$137,MATCH(C21,RM_Rates!$A$5:$A$137,0))</f>
        <v>1.969372</v>
      </c>
      <c r="J21" s="22" t="n">
        <f aca="false">H21*I21</f>
        <v>597.724095701219</v>
      </c>
    </row>
    <row r="22" customFormat="false" ht="15" hidden="false" customHeight="false" outlineLevel="0" collapsed="false">
      <c r="A22" s="5" t="s">
        <v>416</v>
      </c>
      <c r="B22" s="2" t="s">
        <v>639</v>
      </c>
      <c r="C22" s="5" t="s">
        <v>248</v>
      </c>
      <c r="D22" s="5" t="s">
        <v>249</v>
      </c>
      <c r="E22" s="5" t="s">
        <v>60</v>
      </c>
      <c r="F22" s="21" t="n">
        <v>51.0999984741211</v>
      </c>
      <c r="G22" s="21" t="n">
        <v>1.02199995517731</v>
      </c>
      <c r="H22" s="22" t="n">
        <f aca="false">F22+G22</f>
        <v>52.1219984292984</v>
      </c>
      <c r="I22" s="13" t="n">
        <f aca="false">INDEX(RM_Rates!$F$5:$F$137,MATCH(C22,RM_Rates!$A$5:$A$137,0))</f>
        <v>0.402726590633392</v>
      </c>
      <c r="J22" s="22" t="n">
        <f aca="false">H22*I22</f>
        <v>20.9909147244304</v>
      </c>
    </row>
    <row r="23" customFormat="false" ht="15" hidden="false" customHeight="false" outlineLevel="0" collapsed="false">
      <c r="A23" s="5" t="s">
        <v>416</v>
      </c>
      <c r="B23" s="2" t="s">
        <v>639</v>
      </c>
      <c r="C23" s="5" t="s">
        <v>238</v>
      </c>
      <c r="D23" s="5" t="s">
        <v>239</v>
      </c>
      <c r="E23" s="5" t="s">
        <v>60</v>
      </c>
      <c r="F23" s="21" t="n">
        <v>0.383249998092651</v>
      </c>
      <c r="G23" s="21" t="n">
        <v>0.00800000037997961</v>
      </c>
      <c r="H23" s="22" t="n">
        <f aca="false">F23+G23</f>
        <v>0.391249998472631</v>
      </c>
      <c r="I23" s="13" t="n">
        <f aca="false">INDEX(RM_Rates!$F$5:$F$137,MATCH(C23,RM_Rates!$A$5:$A$137,0))</f>
        <v>1.45200002193451</v>
      </c>
      <c r="J23" s="22" t="n">
        <f aca="false">H23*I23</f>
        <v>0.568095006364137</v>
      </c>
    </row>
    <row r="24" customFormat="false" ht="15" hidden="false" customHeight="false" outlineLevel="0" collapsed="false">
      <c r="A24" s="5" t="s">
        <v>416</v>
      </c>
      <c r="B24" s="2" t="s">
        <v>639</v>
      </c>
      <c r="C24" s="5" t="s">
        <v>234</v>
      </c>
      <c r="D24" s="5" t="s">
        <v>235</v>
      </c>
      <c r="E24" s="5" t="s">
        <v>60</v>
      </c>
      <c r="F24" s="21" t="n">
        <v>0.383249998092651</v>
      </c>
      <c r="G24" s="21" t="n">
        <v>0.00800000037997961</v>
      </c>
      <c r="H24" s="22" t="n">
        <f aca="false">F24+G24</f>
        <v>0.391249998472631</v>
      </c>
      <c r="I24" s="13" t="n">
        <f aca="false">INDEX(RM_Rates!$F$5:$F$137,MATCH(C24,RM_Rates!$A$5:$A$137,0))</f>
        <v>1.45200002193451</v>
      </c>
      <c r="J24" s="22" t="n">
        <f aca="false">H24*I24</f>
        <v>0.568095006364137</v>
      </c>
    </row>
    <row r="25" customFormat="false" ht="15" hidden="false" customHeight="false" outlineLevel="0" collapsed="false">
      <c r="A25" s="5" t="s">
        <v>416</v>
      </c>
      <c r="B25" s="2" t="s">
        <v>639</v>
      </c>
      <c r="C25" s="5" t="s">
        <v>291</v>
      </c>
      <c r="D25" s="5" t="s">
        <v>292</v>
      </c>
      <c r="E25" s="5" t="s">
        <v>166</v>
      </c>
      <c r="F25" s="21" t="n">
        <v>1</v>
      </c>
      <c r="G25" s="21" t="n">
        <v>0</v>
      </c>
      <c r="H25" s="22" t="n">
        <f aca="false">F25+G25</f>
        <v>1</v>
      </c>
      <c r="I25" s="13" t="n">
        <f aca="false">INDEX(RM_Rates!$F$5:$F$137,MATCH(C25,RM_Rates!$A$5:$A$137,0))</f>
        <v>11.2344932556152</v>
      </c>
      <c r="J25" s="22" t="n">
        <f aca="false">H25*I25</f>
        <v>11.2344932556152</v>
      </c>
    </row>
    <row r="26" customFormat="false" ht="15" hidden="false" customHeight="false" outlineLevel="0" collapsed="false">
      <c r="A26" s="5" t="s">
        <v>416</v>
      </c>
      <c r="B26" s="2" t="s">
        <v>639</v>
      </c>
      <c r="C26" s="5" t="s">
        <v>167</v>
      </c>
      <c r="D26" s="5" t="s">
        <v>168</v>
      </c>
      <c r="E26" s="5" t="s">
        <v>166</v>
      </c>
      <c r="F26" s="21" t="n">
        <v>2</v>
      </c>
      <c r="G26" s="21" t="n">
        <v>0</v>
      </c>
      <c r="H26" s="22" t="n">
        <f aca="false">F26+G26</f>
        <v>2</v>
      </c>
      <c r="I26" s="13" t="n">
        <f aca="false">INDEX(RM_Rates!$F$5:$F$137,MATCH(C26,RM_Rates!$A$5:$A$137,0))</f>
        <v>0.124766282737255</v>
      </c>
      <c r="J26" s="22" t="n">
        <f aca="false">H26*I26</f>
        <v>0.24953256547451</v>
      </c>
    </row>
    <row r="27" customFormat="false" ht="15" hidden="false" customHeight="false" outlineLevel="0" collapsed="false">
      <c r="A27" s="5" t="s">
        <v>416</v>
      </c>
      <c r="B27" s="2" t="s">
        <v>639</v>
      </c>
      <c r="C27" s="5" t="s">
        <v>306</v>
      </c>
      <c r="D27" s="5" t="s">
        <v>307</v>
      </c>
      <c r="E27" s="5" t="s">
        <v>297</v>
      </c>
      <c r="F27" s="21" t="n">
        <v>2.5</v>
      </c>
      <c r="G27" s="21" t="n">
        <v>0</v>
      </c>
      <c r="H27" s="22" t="n">
        <f aca="false">F27+G27</f>
        <v>2.5</v>
      </c>
      <c r="I27" s="13" t="n">
        <f aca="false">INDEX(RM_Rates!$F$5:$F$137,MATCH(C27,RM_Rates!$A$5:$A$137,0))</f>
        <v>1.40752077102661</v>
      </c>
      <c r="J27" s="22" t="n">
        <f aca="false">H27*I27</f>
        <v>3.51880192756652</v>
      </c>
    </row>
    <row r="28" customFormat="false" ht="15" hidden="false" customHeight="false" outlineLevel="0" collapsed="false">
      <c r="A28" s="5" t="s">
        <v>416</v>
      </c>
      <c r="B28" s="2" t="s">
        <v>639</v>
      </c>
      <c r="C28" s="5" t="s">
        <v>189</v>
      </c>
      <c r="D28" s="5" t="s">
        <v>190</v>
      </c>
      <c r="E28" s="5" t="s">
        <v>60</v>
      </c>
      <c r="F28" s="21" t="n">
        <v>0.159999996423721</v>
      </c>
      <c r="G28" s="21" t="n">
        <v>0</v>
      </c>
      <c r="H28" s="22" t="n">
        <f aca="false">F28+G28</f>
        <v>0.159999996423721</v>
      </c>
      <c r="I28" s="13" t="n">
        <f aca="false">INDEX(RM_Rates!$F$5:$F$137,MATCH(C28,RM_Rates!$A$5:$A$137,0))</f>
        <v>0.568400025367737</v>
      </c>
      <c r="J28" s="22" t="n">
        <f aca="false">H28*I28</f>
        <v>0.0909440020260809</v>
      </c>
    </row>
    <row r="29" customFormat="false" ht="15" hidden="false" customHeight="false" outlineLevel="0" collapsed="false">
      <c r="A29" s="5" t="s">
        <v>418</v>
      </c>
      <c r="B29" s="2" t="s">
        <v>640</v>
      </c>
      <c r="C29" s="5" t="s">
        <v>100</v>
      </c>
      <c r="D29" s="5" t="s">
        <v>101</v>
      </c>
      <c r="E29" s="5" t="s">
        <v>72</v>
      </c>
      <c r="F29" s="21" t="n">
        <v>409</v>
      </c>
      <c r="G29" s="21" t="n">
        <v>2.04500007629395</v>
      </c>
      <c r="H29" s="22" t="n">
        <f aca="false">F29+G29</f>
        <v>411.045000076294</v>
      </c>
      <c r="I29" s="13" t="n">
        <f aca="false">INDEX(RM_Rates!$F$5:$F$137,MATCH(C29,RM_Rates!$A$5:$A$137,0))</f>
        <v>1.968214</v>
      </c>
      <c r="J29" s="22" t="n">
        <f aca="false">H29*I29</f>
        <v>809.024523780163</v>
      </c>
    </row>
    <row r="30" customFormat="false" ht="15" hidden="false" customHeight="false" outlineLevel="0" collapsed="false">
      <c r="A30" s="5" t="s">
        <v>418</v>
      </c>
      <c r="B30" s="2" t="s">
        <v>640</v>
      </c>
      <c r="C30" s="5" t="s">
        <v>248</v>
      </c>
      <c r="D30" s="5" t="s">
        <v>249</v>
      </c>
      <c r="E30" s="5" t="s">
        <v>60</v>
      </c>
      <c r="F30" s="21" t="n">
        <v>70</v>
      </c>
      <c r="G30" s="21" t="n">
        <v>1.39999997615814</v>
      </c>
      <c r="H30" s="22" t="n">
        <f aca="false">F30+G30</f>
        <v>71.3999999761581</v>
      </c>
      <c r="I30" s="13" t="n">
        <f aca="false">INDEX(RM_Rates!$F$5:$F$137,MATCH(C30,RM_Rates!$A$5:$A$137,0))</f>
        <v>0.402726590633392</v>
      </c>
      <c r="J30" s="22" t="n">
        <f aca="false">H30*I30</f>
        <v>28.7546785616224</v>
      </c>
    </row>
    <row r="31" customFormat="false" ht="15" hidden="false" customHeight="false" outlineLevel="0" collapsed="false">
      <c r="A31" s="5" t="s">
        <v>418</v>
      </c>
      <c r="B31" s="2" t="s">
        <v>640</v>
      </c>
      <c r="C31" s="5" t="s">
        <v>238</v>
      </c>
      <c r="D31" s="5" t="s">
        <v>239</v>
      </c>
      <c r="E31" s="5" t="s">
        <v>60</v>
      </c>
      <c r="F31" s="21" t="n">
        <v>0.735000014305115</v>
      </c>
      <c r="G31" s="21" t="n">
        <v>0.0149999996647239</v>
      </c>
      <c r="H31" s="22" t="n">
        <f aca="false">F31+G31</f>
        <v>0.750000013969839</v>
      </c>
      <c r="I31" s="13" t="n">
        <f aca="false">INDEX(RM_Rates!$F$5:$F$137,MATCH(C31,RM_Rates!$A$5:$A$137,0))</f>
        <v>1.45200002193451</v>
      </c>
      <c r="J31" s="22" t="n">
        <f aca="false">H31*I31</f>
        <v>1.08900003673509</v>
      </c>
    </row>
    <row r="32" customFormat="false" ht="15" hidden="false" customHeight="false" outlineLevel="0" collapsed="false">
      <c r="A32" s="5" t="s">
        <v>418</v>
      </c>
      <c r="B32" s="2" t="s">
        <v>640</v>
      </c>
      <c r="C32" s="5" t="s">
        <v>234</v>
      </c>
      <c r="D32" s="5" t="s">
        <v>235</v>
      </c>
      <c r="E32" s="5" t="s">
        <v>60</v>
      </c>
      <c r="F32" s="21" t="n">
        <v>0.314999997615814</v>
      </c>
      <c r="G32" s="21" t="n">
        <v>0.00600000005215406</v>
      </c>
      <c r="H32" s="22" t="n">
        <f aca="false">F32+G32</f>
        <v>0.320999997667968</v>
      </c>
      <c r="I32" s="13" t="n">
        <f aca="false">INDEX(RM_Rates!$F$5:$F$137,MATCH(C32,RM_Rates!$A$5:$A$137,0))</f>
        <v>1.45200002193451</v>
      </c>
      <c r="J32" s="22" t="n">
        <f aca="false">H32*I32</f>
        <v>0.466092003654867</v>
      </c>
    </row>
    <row r="33" customFormat="false" ht="15" hidden="false" customHeight="false" outlineLevel="0" collapsed="false">
      <c r="A33" s="5" t="s">
        <v>418</v>
      </c>
      <c r="B33" s="2" t="s">
        <v>640</v>
      </c>
      <c r="C33" s="5" t="s">
        <v>291</v>
      </c>
      <c r="D33" s="5" t="s">
        <v>292</v>
      </c>
      <c r="E33" s="5" t="s">
        <v>166</v>
      </c>
      <c r="F33" s="21" t="n">
        <v>1</v>
      </c>
      <c r="G33" s="21" t="n">
        <v>0</v>
      </c>
      <c r="H33" s="22" t="n">
        <f aca="false">F33+G33</f>
        <v>1</v>
      </c>
      <c r="I33" s="13" t="n">
        <f aca="false">INDEX(RM_Rates!$F$5:$F$137,MATCH(C33,RM_Rates!$A$5:$A$137,0))</f>
        <v>11.2344932556152</v>
      </c>
      <c r="J33" s="22" t="n">
        <f aca="false">H33*I33</f>
        <v>11.2344932556152</v>
      </c>
    </row>
    <row r="34" customFormat="false" ht="15" hidden="false" customHeight="false" outlineLevel="0" collapsed="false">
      <c r="A34" s="5" t="s">
        <v>418</v>
      </c>
      <c r="B34" s="2" t="s">
        <v>640</v>
      </c>
      <c r="C34" s="5" t="s">
        <v>167</v>
      </c>
      <c r="D34" s="5" t="s">
        <v>168</v>
      </c>
      <c r="E34" s="5" t="s">
        <v>166</v>
      </c>
      <c r="F34" s="21" t="n">
        <v>2</v>
      </c>
      <c r="G34" s="21" t="n">
        <v>0</v>
      </c>
      <c r="H34" s="22" t="n">
        <f aca="false">F34+G34</f>
        <v>2</v>
      </c>
      <c r="I34" s="13" t="n">
        <f aca="false">INDEX(RM_Rates!$F$5:$F$137,MATCH(C34,RM_Rates!$A$5:$A$137,0))</f>
        <v>0.124766282737255</v>
      </c>
      <c r="J34" s="22" t="n">
        <f aca="false">H34*I34</f>
        <v>0.24953256547451</v>
      </c>
    </row>
    <row r="35" customFormat="false" ht="15" hidden="false" customHeight="false" outlineLevel="0" collapsed="false">
      <c r="A35" s="5" t="s">
        <v>418</v>
      </c>
      <c r="B35" s="2" t="s">
        <v>640</v>
      </c>
      <c r="C35" s="5" t="s">
        <v>306</v>
      </c>
      <c r="D35" s="5" t="s">
        <v>307</v>
      </c>
      <c r="E35" s="5" t="s">
        <v>297</v>
      </c>
      <c r="F35" s="21" t="n">
        <v>2.5</v>
      </c>
      <c r="G35" s="21" t="n">
        <v>0</v>
      </c>
      <c r="H35" s="22" t="n">
        <f aca="false">F35+G35</f>
        <v>2.5</v>
      </c>
      <c r="I35" s="13" t="n">
        <f aca="false">INDEX(RM_Rates!$F$5:$F$137,MATCH(C35,RM_Rates!$A$5:$A$137,0))</f>
        <v>1.40752077102661</v>
      </c>
      <c r="J35" s="22" t="n">
        <f aca="false">H35*I35</f>
        <v>3.51880192756652</v>
      </c>
    </row>
    <row r="36" customFormat="false" ht="15" hidden="false" customHeight="false" outlineLevel="0" collapsed="false">
      <c r="A36" s="5" t="s">
        <v>418</v>
      </c>
      <c r="B36" s="2" t="s">
        <v>640</v>
      </c>
      <c r="C36" s="5" t="s">
        <v>189</v>
      </c>
      <c r="D36" s="5" t="s">
        <v>190</v>
      </c>
      <c r="E36" s="5" t="s">
        <v>60</v>
      </c>
      <c r="F36" s="21" t="n">
        <v>0.159999996423721</v>
      </c>
      <c r="G36" s="21" t="n">
        <v>0</v>
      </c>
      <c r="H36" s="22" t="n">
        <f aca="false">F36+G36</f>
        <v>0.159999996423721</v>
      </c>
      <c r="I36" s="13" t="n">
        <f aca="false">INDEX(RM_Rates!$F$5:$F$137,MATCH(C36,RM_Rates!$A$5:$A$137,0))</f>
        <v>0.568400025367737</v>
      </c>
      <c r="J36" s="22" t="n">
        <f aca="false">H36*I36</f>
        <v>0.0909440020260809</v>
      </c>
    </row>
    <row r="37" customFormat="false" ht="15" hidden="false" customHeight="false" outlineLevel="0" collapsed="false">
      <c r="A37" s="5" t="s">
        <v>420</v>
      </c>
      <c r="B37" s="2" t="s">
        <v>641</v>
      </c>
      <c r="C37" s="5" t="s">
        <v>104</v>
      </c>
      <c r="D37" s="5" t="s">
        <v>105</v>
      </c>
      <c r="E37" s="5" t="s">
        <v>72</v>
      </c>
      <c r="F37" s="21" t="n">
        <v>592</v>
      </c>
      <c r="G37" s="21" t="n">
        <v>2.96000003814697</v>
      </c>
      <c r="H37" s="22" t="n">
        <f aca="false">F37+G37</f>
        <v>594.960000038147</v>
      </c>
      <c r="I37" s="13" t="n">
        <f aca="false">INDEX(RM_Rates!$F$5:$F$137,MATCH(C37,RM_Rates!$A$5:$A$137,0))</f>
        <v>1.970916</v>
      </c>
      <c r="J37" s="22" t="n">
        <f aca="false">H37*I37</f>
        <v>1172.61618343518</v>
      </c>
    </row>
    <row r="38" customFormat="false" ht="15" hidden="false" customHeight="false" outlineLevel="0" collapsed="false">
      <c r="A38" s="5" t="s">
        <v>420</v>
      </c>
      <c r="B38" s="2" t="s">
        <v>641</v>
      </c>
      <c r="C38" s="5" t="s">
        <v>291</v>
      </c>
      <c r="D38" s="5" t="s">
        <v>292</v>
      </c>
      <c r="E38" s="5" t="s">
        <v>166</v>
      </c>
      <c r="F38" s="21" t="n">
        <v>1</v>
      </c>
      <c r="G38" s="21" t="n">
        <v>0</v>
      </c>
      <c r="H38" s="22" t="n">
        <f aca="false">F38+G38</f>
        <v>1</v>
      </c>
      <c r="I38" s="13" t="n">
        <f aca="false">INDEX(RM_Rates!$F$5:$F$137,MATCH(C38,RM_Rates!$A$5:$A$137,0))</f>
        <v>11.2344932556152</v>
      </c>
      <c r="J38" s="22" t="n">
        <f aca="false">H38*I38</f>
        <v>11.2344932556152</v>
      </c>
    </row>
    <row r="39" customFormat="false" ht="15" hidden="false" customHeight="false" outlineLevel="0" collapsed="false">
      <c r="A39" s="5" t="s">
        <v>420</v>
      </c>
      <c r="B39" s="2" t="s">
        <v>641</v>
      </c>
      <c r="C39" s="5" t="s">
        <v>167</v>
      </c>
      <c r="D39" s="5" t="s">
        <v>168</v>
      </c>
      <c r="E39" s="5" t="s">
        <v>166</v>
      </c>
      <c r="F39" s="21" t="n">
        <v>2</v>
      </c>
      <c r="G39" s="21" t="n">
        <v>0</v>
      </c>
      <c r="H39" s="22" t="n">
        <f aca="false">F39+G39</f>
        <v>2</v>
      </c>
      <c r="I39" s="13" t="n">
        <f aca="false">INDEX(RM_Rates!$F$5:$F$137,MATCH(C39,RM_Rates!$A$5:$A$137,0))</f>
        <v>0.124766282737255</v>
      </c>
      <c r="J39" s="22" t="n">
        <f aca="false">H39*I39</f>
        <v>0.24953256547451</v>
      </c>
    </row>
    <row r="40" customFormat="false" ht="15" hidden="false" customHeight="false" outlineLevel="0" collapsed="false">
      <c r="A40" s="5" t="s">
        <v>420</v>
      </c>
      <c r="B40" s="2" t="s">
        <v>641</v>
      </c>
      <c r="C40" s="5" t="s">
        <v>306</v>
      </c>
      <c r="D40" s="5" t="s">
        <v>307</v>
      </c>
      <c r="E40" s="5" t="s">
        <v>297</v>
      </c>
      <c r="F40" s="21" t="n">
        <v>2.5</v>
      </c>
      <c r="G40" s="21" t="n">
        <v>0</v>
      </c>
      <c r="H40" s="22" t="n">
        <f aca="false">F40+G40</f>
        <v>2.5</v>
      </c>
      <c r="I40" s="13" t="n">
        <f aca="false">INDEX(RM_Rates!$F$5:$F$137,MATCH(C40,RM_Rates!$A$5:$A$137,0))</f>
        <v>1.40752077102661</v>
      </c>
      <c r="J40" s="22" t="n">
        <f aca="false">H40*I40</f>
        <v>3.51880192756652</v>
      </c>
    </row>
    <row r="41" customFormat="false" ht="15" hidden="false" customHeight="false" outlineLevel="0" collapsed="false">
      <c r="A41" s="5" t="s">
        <v>420</v>
      </c>
      <c r="B41" s="2" t="s">
        <v>641</v>
      </c>
      <c r="C41" s="5" t="s">
        <v>189</v>
      </c>
      <c r="D41" s="5" t="s">
        <v>190</v>
      </c>
      <c r="E41" s="5" t="s">
        <v>60</v>
      </c>
      <c r="F41" s="21" t="n">
        <v>0.159999996423721</v>
      </c>
      <c r="G41" s="21" t="n">
        <v>0</v>
      </c>
      <c r="H41" s="22" t="n">
        <f aca="false">F41+G41</f>
        <v>0.159999996423721</v>
      </c>
      <c r="I41" s="13" t="n">
        <f aca="false">INDEX(RM_Rates!$F$5:$F$137,MATCH(C41,RM_Rates!$A$5:$A$137,0))</f>
        <v>0.568400025367737</v>
      </c>
      <c r="J41" s="22" t="n">
        <f aca="false">H41*I41</f>
        <v>0.0909440020260809</v>
      </c>
    </row>
    <row r="42" customFormat="false" ht="15" hidden="false" customHeight="false" outlineLevel="0" collapsed="false">
      <c r="A42" s="5" t="s">
        <v>423</v>
      </c>
      <c r="B42" s="2" t="s">
        <v>642</v>
      </c>
      <c r="C42" s="5" t="s">
        <v>106</v>
      </c>
      <c r="D42" s="5" t="s">
        <v>107</v>
      </c>
      <c r="E42" s="5" t="s">
        <v>72</v>
      </c>
      <c r="F42" s="21" t="n">
        <v>822</v>
      </c>
      <c r="G42" s="21" t="n">
        <v>4.1100001335144</v>
      </c>
      <c r="H42" s="22" t="n">
        <f aca="false">F42+G42</f>
        <v>826.110000133514</v>
      </c>
      <c r="I42" s="13" t="n">
        <f aca="false">INDEX(RM_Rates!$F$5:$F$137,MATCH(C42,RM_Rates!$A$5:$A$137,0))</f>
        <v>1.969372</v>
      </c>
      <c r="J42" s="22" t="n">
        <f aca="false">H42*I42</f>
        <v>1626.91790318294</v>
      </c>
    </row>
    <row r="43" customFormat="false" ht="15" hidden="false" customHeight="false" outlineLevel="0" collapsed="false">
      <c r="A43" s="5" t="s">
        <v>423</v>
      </c>
      <c r="B43" s="2" t="s">
        <v>642</v>
      </c>
      <c r="C43" s="5" t="s">
        <v>248</v>
      </c>
      <c r="D43" s="5" t="s">
        <v>249</v>
      </c>
      <c r="E43" s="5" t="s">
        <v>60</v>
      </c>
      <c r="F43" s="21" t="n">
        <v>109.099998474121</v>
      </c>
      <c r="G43" s="21" t="n">
        <v>2.18199992179871</v>
      </c>
      <c r="H43" s="22" t="n">
        <f aca="false">F43+G43</f>
        <v>111.28199839592</v>
      </c>
      <c r="I43" s="13" t="n">
        <f aca="false">INDEX(RM_Rates!$F$5:$F$137,MATCH(C43,RM_Rates!$A$5:$A$137,0))</f>
        <v>0.402726590633392</v>
      </c>
      <c r="J43" s="22" t="n">
        <f aca="false">H43*I43</f>
        <v>44.8162198128593</v>
      </c>
    </row>
    <row r="44" customFormat="false" ht="15" hidden="false" customHeight="false" outlineLevel="0" collapsed="false">
      <c r="A44" s="5" t="s">
        <v>423</v>
      </c>
      <c r="B44" s="2" t="s">
        <v>642</v>
      </c>
      <c r="C44" s="5" t="s">
        <v>238</v>
      </c>
      <c r="D44" s="5" t="s">
        <v>239</v>
      </c>
      <c r="E44" s="5" t="s">
        <v>60</v>
      </c>
      <c r="F44" s="21" t="n">
        <v>1.1455500125885</v>
      </c>
      <c r="G44" s="21" t="n">
        <v>0.0230000000447035</v>
      </c>
      <c r="H44" s="22" t="n">
        <f aca="false">F44+G44</f>
        <v>1.1685500126332</v>
      </c>
      <c r="I44" s="13" t="n">
        <f aca="false">INDEX(RM_Rates!$F$5:$F$137,MATCH(C44,RM_Rates!$A$5:$A$137,0))</f>
        <v>1.45200002193451</v>
      </c>
      <c r="J44" s="22" t="n">
        <f aca="false">H44*I44</f>
        <v>1.69673464397498</v>
      </c>
    </row>
    <row r="45" customFormat="false" ht="15" hidden="false" customHeight="false" outlineLevel="0" collapsed="false">
      <c r="A45" s="5" t="s">
        <v>423</v>
      </c>
      <c r="B45" s="2" t="s">
        <v>642</v>
      </c>
      <c r="C45" s="5" t="s">
        <v>234</v>
      </c>
      <c r="D45" s="5" t="s">
        <v>235</v>
      </c>
      <c r="E45" s="5" t="s">
        <v>60</v>
      </c>
      <c r="F45" s="21" t="n">
        <v>0.490949988365173</v>
      </c>
      <c r="G45" s="21" t="n">
        <v>0.00999999977648258</v>
      </c>
      <c r="H45" s="22" t="n">
        <f aca="false">F45+G45</f>
        <v>0.500949988141656</v>
      </c>
      <c r="I45" s="13" t="n">
        <f aca="false">INDEX(RM_Rates!$F$5:$F$137,MATCH(C45,RM_Rates!$A$5:$A$137,0))</f>
        <v>1.45200002193451</v>
      </c>
      <c r="J45" s="22" t="n">
        <f aca="false">H45*I45</f>
        <v>0.727379393769777</v>
      </c>
    </row>
    <row r="46" customFormat="false" ht="15" hidden="false" customHeight="false" outlineLevel="0" collapsed="false">
      <c r="A46" s="5" t="s">
        <v>423</v>
      </c>
      <c r="B46" s="2" t="s">
        <v>642</v>
      </c>
      <c r="C46" s="5" t="s">
        <v>279</v>
      </c>
      <c r="D46" s="5" t="s">
        <v>280</v>
      </c>
      <c r="E46" s="5" t="s">
        <v>166</v>
      </c>
      <c r="F46" s="21" t="n">
        <v>1</v>
      </c>
      <c r="G46" s="21" t="n">
        <v>0</v>
      </c>
      <c r="H46" s="22" t="n">
        <f aca="false">F46+G46</f>
        <v>1</v>
      </c>
      <c r="I46" s="13" t="n">
        <f aca="false">INDEX(RM_Rates!$F$5:$F$137,MATCH(C46,RM_Rates!$A$5:$A$137,0))</f>
        <v>17.5683555603027</v>
      </c>
      <c r="J46" s="22" t="n">
        <f aca="false">H46*I46</f>
        <v>17.5683555603027</v>
      </c>
    </row>
    <row r="47" customFormat="false" ht="15" hidden="false" customHeight="false" outlineLevel="0" collapsed="false">
      <c r="A47" s="5" t="s">
        <v>423</v>
      </c>
      <c r="B47" s="2" t="s">
        <v>642</v>
      </c>
      <c r="C47" s="5" t="s">
        <v>167</v>
      </c>
      <c r="D47" s="5" t="s">
        <v>168</v>
      </c>
      <c r="E47" s="5" t="s">
        <v>166</v>
      </c>
      <c r="F47" s="21" t="n">
        <v>2</v>
      </c>
      <c r="G47" s="21" t="n">
        <v>0</v>
      </c>
      <c r="H47" s="22" t="n">
        <f aca="false">F47+G47</f>
        <v>2</v>
      </c>
      <c r="I47" s="13" t="n">
        <f aca="false">INDEX(RM_Rates!$F$5:$F$137,MATCH(C47,RM_Rates!$A$5:$A$137,0))</f>
        <v>0.124766282737255</v>
      </c>
      <c r="J47" s="22" t="n">
        <f aca="false">H47*I47</f>
        <v>0.24953256547451</v>
      </c>
    </row>
    <row r="48" customFormat="false" ht="15" hidden="false" customHeight="false" outlineLevel="0" collapsed="false">
      <c r="A48" s="5" t="s">
        <v>423</v>
      </c>
      <c r="B48" s="2" t="s">
        <v>642</v>
      </c>
      <c r="C48" s="5" t="s">
        <v>306</v>
      </c>
      <c r="D48" s="5" t="s">
        <v>307</v>
      </c>
      <c r="E48" s="5" t="s">
        <v>297</v>
      </c>
      <c r="F48" s="21" t="n">
        <v>3.09999990463257</v>
      </c>
      <c r="G48" s="21" t="n">
        <v>0</v>
      </c>
      <c r="H48" s="22" t="n">
        <f aca="false">F48+G48</f>
        <v>3.09999990463257</v>
      </c>
      <c r="I48" s="13" t="n">
        <f aca="false">INDEX(RM_Rates!$F$5:$F$137,MATCH(C48,RM_Rates!$A$5:$A$137,0))</f>
        <v>1.40752077102661</v>
      </c>
      <c r="J48" s="22" t="n">
        <f aca="false">H48*I48</f>
        <v>4.36331425595085</v>
      </c>
    </row>
    <row r="49" customFormat="false" ht="15" hidden="false" customHeight="false" outlineLevel="0" collapsed="false">
      <c r="A49" s="5" t="s">
        <v>423</v>
      </c>
      <c r="B49" s="2" t="s">
        <v>642</v>
      </c>
      <c r="C49" s="5" t="s">
        <v>189</v>
      </c>
      <c r="D49" s="5" t="s">
        <v>190</v>
      </c>
      <c r="E49" s="5" t="s">
        <v>60</v>
      </c>
      <c r="F49" s="21" t="n">
        <v>0.200000002980232</v>
      </c>
      <c r="G49" s="21" t="n">
        <v>0</v>
      </c>
      <c r="H49" s="22" t="n">
        <f aca="false">F49+G49</f>
        <v>0.200000002980232</v>
      </c>
      <c r="I49" s="13" t="n">
        <f aca="false">INDEX(RM_Rates!$F$5:$F$137,MATCH(C49,RM_Rates!$A$5:$A$137,0))</f>
        <v>0.568400025367737</v>
      </c>
      <c r="J49" s="22" t="n">
        <f aca="false">H49*I49</f>
        <v>0.113680006767511</v>
      </c>
    </row>
    <row r="50" customFormat="false" ht="15" hidden="false" customHeight="false" outlineLevel="0" collapsed="false">
      <c r="A50" s="5" t="s">
        <v>425</v>
      </c>
      <c r="B50" s="2" t="s">
        <v>643</v>
      </c>
      <c r="C50" s="5" t="s">
        <v>92</v>
      </c>
      <c r="D50" s="5" t="s">
        <v>93</v>
      </c>
      <c r="E50" s="5" t="s">
        <v>72</v>
      </c>
      <c r="F50" s="21" t="n">
        <v>85.9000015258789</v>
      </c>
      <c r="G50" s="21" t="n">
        <v>0.430000007152557</v>
      </c>
      <c r="H50" s="22" t="n">
        <f aca="false">F50+G50</f>
        <v>86.3300015330315</v>
      </c>
      <c r="I50" s="13" t="n">
        <f aca="false">INDEX(RM_Rates!$F$5:$F$137,MATCH(C50,RM_Rates!$A$5:$A$137,0))</f>
        <v>1.980952</v>
      </c>
      <c r="J50" s="22" t="n">
        <f aca="false">H50*I50</f>
        <v>171.015589196862</v>
      </c>
    </row>
    <row r="51" customFormat="false" ht="15" hidden="false" customHeight="false" outlineLevel="0" collapsed="false">
      <c r="A51" s="5" t="s">
        <v>425</v>
      </c>
      <c r="B51" s="2" t="s">
        <v>643</v>
      </c>
      <c r="C51" s="5" t="s">
        <v>248</v>
      </c>
      <c r="D51" s="5" t="s">
        <v>249</v>
      </c>
      <c r="E51" s="5" t="s">
        <v>60</v>
      </c>
      <c r="F51" s="21" t="n">
        <v>26.3999996185303</v>
      </c>
      <c r="G51" s="21" t="n">
        <v>0.527999997138977</v>
      </c>
      <c r="H51" s="22" t="n">
        <f aca="false">F51+G51</f>
        <v>26.9279996156693</v>
      </c>
      <c r="I51" s="13" t="n">
        <f aca="false">INDEX(RM_Rates!$F$5:$F$137,MATCH(C51,RM_Rates!$A$5:$A$137,0))</f>
        <v>0.402726590633392</v>
      </c>
      <c r="J51" s="22" t="n">
        <f aca="false">H51*I51</f>
        <v>10.8446214777958</v>
      </c>
    </row>
    <row r="52" customFormat="false" ht="15" hidden="false" customHeight="false" outlineLevel="0" collapsed="false">
      <c r="A52" s="5" t="s">
        <v>425</v>
      </c>
      <c r="B52" s="2" t="s">
        <v>643</v>
      </c>
      <c r="C52" s="5" t="s">
        <v>238</v>
      </c>
      <c r="D52" s="5" t="s">
        <v>239</v>
      </c>
      <c r="E52" s="5" t="s">
        <v>60</v>
      </c>
      <c r="F52" s="21" t="n">
        <v>0.197999998927116</v>
      </c>
      <c r="G52" s="21" t="n">
        <v>0.00400000018998981</v>
      </c>
      <c r="H52" s="22" t="n">
        <f aca="false">F52+G52</f>
        <v>0.201999999117106</v>
      </c>
      <c r="I52" s="13" t="n">
        <f aca="false">INDEX(RM_Rates!$F$5:$F$137,MATCH(C52,RM_Rates!$A$5:$A$137,0))</f>
        <v>1.45200002193451</v>
      </c>
      <c r="J52" s="22" t="n">
        <f aca="false">H52*I52</f>
        <v>0.293304003148809</v>
      </c>
    </row>
    <row r="53" customFormat="false" ht="15" hidden="false" customHeight="false" outlineLevel="0" collapsed="false">
      <c r="A53" s="5" t="s">
        <v>425</v>
      </c>
      <c r="B53" s="2" t="s">
        <v>643</v>
      </c>
      <c r="C53" s="5" t="s">
        <v>234</v>
      </c>
      <c r="D53" s="5" t="s">
        <v>235</v>
      </c>
      <c r="E53" s="5" t="s">
        <v>60</v>
      </c>
      <c r="F53" s="21" t="n">
        <v>0.197999998927116</v>
      </c>
      <c r="G53" s="21" t="n">
        <v>0.00400000018998981</v>
      </c>
      <c r="H53" s="22" t="n">
        <f aca="false">F53+G53</f>
        <v>0.201999999117106</v>
      </c>
      <c r="I53" s="13" t="n">
        <f aca="false">INDEX(RM_Rates!$F$5:$F$137,MATCH(C53,RM_Rates!$A$5:$A$137,0))</f>
        <v>1.45200002193451</v>
      </c>
      <c r="J53" s="22" t="n">
        <f aca="false">H53*I53</f>
        <v>0.293304003148809</v>
      </c>
    </row>
    <row r="54" customFormat="false" ht="15" hidden="false" customHeight="false" outlineLevel="0" collapsed="false">
      <c r="A54" s="5" t="s">
        <v>425</v>
      </c>
      <c r="B54" s="2" t="s">
        <v>643</v>
      </c>
      <c r="C54" s="5" t="s">
        <v>289</v>
      </c>
      <c r="D54" s="5" t="s">
        <v>290</v>
      </c>
      <c r="E54" s="5" t="s">
        <v>166</v>
      </c>
      <c r="F54" s="21" t="n">
        <v>1</v>
      </c>
      <c r="G54" s="21" t="n">
        <v>0</v>
      </c>
      <c r="H54" s="22" t="n">
        <f aca="false">F54+G54</f>
        <v>1</v>
      </c>
      <c r="I54" s="13" t="n">
        <f aca="false">INDEX(RM_Rates!$F$5:$F$137,MATCH(C54,RM_Rates!$A$5:$A$137,0))</f>
        <v>8.88367462158203</v>
      </c>
      <c r="J54" s="22" t="n">
        <f aca="false">H54*I54</f>
        <v>8.88367462158203</v>
      </c>
    </row>
    <row r="55" customFormat="false" ht="15" hidden="false" customHeight="false" outlineLevel="0" collapsed="false">
      <c r="A55" s="5" t="s">
        <v>425</v>
      </c>
      <c r="B55" s="2" t="s">
        <v>643</v>
      </c>
      <c r="C55" s="5" t="s">
        <v>164</v>
      </c>
      <c r="D55" s="5" t="s">
        <v>165</v>
      </c>
      <c r="E55" s="5" t="s">
        <v>166</v>
      </c>
      <c r="F55" s="21" t="n">
        <v>2</v>
      </c>
      <c r="G55" s="21" t="n">
        <v>0</v>
      </c>
      <c r="H55" s="22" t="n">
        <f aca="false">F55+G55</f>
        <v>2</v>
      </c>
      <c r="I55" s="13" t="n">
        <f aca="false">INDEX(RM_Rates!$F$5:$F$137,MATCH(C55,RM_Rates!$A$5:$A$137,0))</f>
        <v>0.100000001490116</v>
      </c>
      <c r="J55" s="22" t="n">
        <f aca="false">H55*I55</f>
        <v>0.200000002980232</v>
      </c>
    </row>
    <row r="56" customFormat="false" ht="15" hidden="false" customHeight="false" outlineLevel="0" collapsed="false">
      <c r="A56" s="5" t="s">
        <v>425</v>
      </c>
      <c r="B56" s="2" t="s">
        <v>643</v>
      </c>
      <c r="C56" s="5" t="s">
        <v>306</v>
      </c>
      <c r="D56" s="5" t="s">
        <v>307</v>
      </c>
      <c r="E56" s="5" t="s">
        <v>297</v>
      </c>
      <c r="F56" s="21" t="n">
        <v>2.20000004768372</v>
      </c>
      <c r="G56" s="21" t="n">
        <v>0</v>
      </c>
      <c r="H56" s="22" t="n">
        <f aca="false">F56+G56</f>
        <v>2.20000004768372</v>
      </c>
      <c r="I56" s="13" t="n">
        <f aca="false">INDEX(RM_Rates!$F$5:$F$137,MATCH(C56,RM_Rates!$A$5:$A$137,0))</f>
        <v>1.40752077102661</v>
      </c>
      <c r="J56" s="22" t="n">
        <f aca="false">H56*I56</f>
        <v>3.09654576337437</v>
      </c>
    </row>
    <row r="57" customFormat="false" ht="15" hidden="false" customHeight="false" outlineLevel="0" collapsed="false">
      <c r="A57" s="5" t="s">
        <v>425</v>
      </c>
      <c r="B57" s="2" t="s">
        <v>643</v>
      </c>
      <c r="C57" s="5" t="s">
        <v>189</v>
      </c>
      <c r="D57" s="5" t="s">
        <v>190</v>
      </c>
      <c r="E57" s="5" t="s">
        <v>60</v>
      </c>
      <c r="F57" s="21" t="n">
        <v>0.140000000596046</v>
      </c>
      <c r="G57" s="21" t="n">
        <v>0</v>
      </c>
      <c r="H57" s="22" t="n">
        <f aca="false">F57+G57</f>
        <v>0.140000000596046</v>
      </c>
      <c r="I57" s="13" t="n">
        <f aca="false">INDEX(RM_Rates!$F$5:$F$137,MATCH(C57,RM_Rates!$A$5:$A$137,0))</f>
        <v>0.568400025367737</v>
      </c>
      <c r="J57" s="22" t="n">
        <f aca="false">H57*I57</f>
        <v>0.0795760038902758</v>
      </c>
    </row>
    <row r="58" customFormat="false" ht="15" hidden="false" customHeight="false" outlineLevel="0" collapsed="false">
      <c r="A58" s="5" t="s">
        <v>427</v>
      </c>
      <c r="B58" s="2" t="s">
        <v>644</v>
      </c>
      <c r="C58" s="5" t="s">
        <v>79</v>
      </c>
      <c r="D58" s="5" t="s">
        <v>80</v>
      </c>
      <c r="E58" s="5" t="s">
        <v>72</v>
      </c>
      <c r="F58" s="21" t="n">
        <v>265.199981689453</v>
      </c>
      <c r="G58" s="21" t="n">
        <v>0.129999995231628</v>
      </c>
      <c r="H58" s="22" t="n">
        <f aca="false">F58+G58</f>
        <v>265.329981684685</v>
      </c>
      <c r="I58" s="13" t="n">
        <f aca="false">INDEX(RM_Rates!$F$5:$F$137,MATCH(C58,RM_Rates!$A$5:$A$137,0))</f>
        <v>1.980566</v>
      </c>
      <c r="J58" s="22" t="n">
        <f aca="false">H58*I58</f>
        <v>525.503540505309</v>
      </c>
    </row>
    <row r="59" customFormat="false" ht="15" hidden="false" customHeight="false" outlineLevel="0" collapsed="false">
      <c r="A59" s="5" t="s">
        <v>427</v>
      </c>
      <c r="B59" s="2" t="s">
        <v>644</v>
      </c>
      <c r="C59" s="5" t="s">
        <v>326</v>
      </c>
      <c r="D59" s="5" t="s">
        <v>327</v>
      </c>
      <c r="E59" s="5" t="s">
        <v>72</v>
      </c>
      <c r="F59" s="21" t="n">
        <v>79.5599975585938</v>
      </c>
      <c r="G59" s="21" t="n">
        <v>0.389999985694885</v>
      </c>
      <c r="H59" s="22" t="n">
        <f aca="false">F59+G59</f>
        <v>79.9499975442887</v>
      </c>
      <c r="I59" s="13" t="n">
        <f aca="false">INDEX(RM_Rates!$F$5:$F$137,MATCH(C59,RM_Rates!$A$5:$A$137,0))</f>
        <v>0.596000015735626</v>
      </c>
      <c r="J59" s="22" t="n">
        <f aca="false">H59*I59</f>
        <v>47.6501997944593</v>
      </c>
    </row>
    <row r="60" customFormat="false" ht="15" hidden="false" customHeight="false" outlineLevel="0" collapsed="false">
      <c r="A60" s="5" t="s">
        <v>427</v>
      </c>
      <c r="B60" s="2" t="s">
        <v>644</v>
      </c>
      <c r="C60" s="5" t="s">
        <v>324</v>
      </c>
      <c r="D60" s="5" t="s">
        <v>325</v>
      </c>
      <c r="E60" s="5" t="s">
        <v>72</v>
      </c>
      <c r="F60" s="21" t="n">
        <v>4.37579965591431</v>
      </c>
      <c r="G60" s="21" t="n">
        <v>0.0219999998807907</v>
      </c>
      <c r="H60" s="22" t="n">
        <f aca="false">F60+G60</f>
        <v>4.3977996557951</v>
      </c>
      <c r="I60" s="13" t="n">
        <f aca="false">INDEX(RM_Rates!$F$5:$F$137,MATCH(C60,RM_Rates!$A$5:$A$137,0))</f>
        <v>1.35229277610779</v>
      </c>
      <c r="J60" s="22" t="n">
        <f aca="false">H60*I60</f>
        <v>5.94711270530104</v>
      </c>
    </row>
    <row r="61" customFormat="false" ht="15" hidden="false" customHeight="false" outlineLevel="0" collapsed="false">
      <c r="A61" s="5" t="s">
        <v>427</v>
      </c>
      <c r="B61" s="2" t="s">
        <v>644</v>
      </c>
      <c r="C61" s="5" t="s">
        <v>314</v>
      </c>
      <c r="D61" s="5" t="s">
        <v>315</v>
      </c>
      <c r="E61" s="5" t="s">
        <v>72</v>
      </c>
      <c r="F61" s="21" t="n">
        <v>0.596699953079224</v>
      </c>
      <c r="G61" s="21" t="n">
        <v>0.00300000002607703</v>
      </c>
      <c r="H61" s="22" t="n">
        <f aca="false">F61+G61</f>
        <v>0.599699953105301</v>
      </c>
      <c r="I61" s="13" t="n">
        <f aca="false">INDEX(RM_Rates!$F$5:$F$137,MATCH(C61,RM_Rates!$A$5:$A$137,0))</f>
        <v>1.6441433429718</v>
      </c>
      <c r="J61" s="22" t="n">
        <f aca="false">H61*I61</f>
        <v>0.985992685678581</v>
      </c>
    </row>
    <row r="62" customFormat="false" ht="15" hidden="false" customHeight="false" outlineLevel="0" collapsed="false">
      <c r="A62" s="5" t="s">
        <v>427</v>
      </c>
      <c r="B62" s="2" t="s">
        <v>644</v>
      </c>
      <c r="C62" s="5" t="s">
        <v>320</v>
      </c>
      <c r="D62" s="5" t="s">
        <v>321</v>
      </c>
      <c r="E62" s="5" t="s">
        <v>72</v>
      </c>
      <c r="F62" s="21" t="n">
        <v>0.596699953079224</v>
      </c>
      <c r="G62" s="21" t="n">
        <v>0.00300000002607703</v>
      </c>
      <c r="H62" s="22" t="n">
        <f aca="false">F62+G62</f>
        <v>0.599699953105301</v>
      </c>
      <c r="I62" s="13" t="n">
        <f aca="false">INDEX(RM_Rates!$F$5:$F$137,MATCH(C62,RM_Rates!$A$5:$A$137,0))</f>
        <v>1.6441433429718</v>
      </c>
      <c r="J62" s="22" t="n">
        <f aca="false">H62*I62</f>
        <v>0.985992685678581</v>
      </c>
    </row>
    <row r="63" customFormat="false" ht="15" hidden="false" customHeight="false" outlineLevel="0" collapsed="false">
      <c r="A63" s="5" t="s">
        <v>427</v>
      </c>
      <c r="B63" s="2" t="s">
        <v>644</v>
      </c>
      <c r="C63" s="5" t="s">
        <v>200</v>
      </c>
      <c r="D63" s="5" t="s">
        <v>201</v>
      </c>
      <c r="E63" s="5" t="s">
        <v>72</v>
      </c>
      <c r="F63" s="21" t="n">
        <v>6.01799964904785</v>
      </c>
      <c r="G63" s="21" t="n">
        <v>0</v>
      </c>
      <c r="H63" s="22" t="n">
        <f aca="false">F63+G63</f>
        <v>6.01799964904785</v>
      </c>
      <c r="I63" s="13" t="n">
        <f aca="false">INDEX(RM_Rates!$F$5:$F$137,MATCH(C63,RM_Rates!$A$5:$A$137,0))</f>
        <v>0.750177025794983</v>
      </c>
      <c r="J63" s="22" t="n">
        <f aca="false">H63*I63</f>
        <v>4.51456507795797</v>
      </c>
    </row>
    <row r="64" customFormat="false" ht="15" hidden="false" customHeight="false" outlineLevel="0" collapsed="false">
      <c r="A64" s="5" t="s">
        <v>427</v>
      </c>
      <c r="B64" s="2" t="s">
        <v>644</v>
      </c>
      <c r="C64" s="5" t="s">
        <v>58</v>
      </c>
      <c r="D64" s="5" t="s">
        <v>59</v>
      </c>
      <c r="E64" s="5" t="s">
        <v>60</v>
      </c>
      <c r="F64" s="21" t="n">
        <v>12.75</v>
      </c>
      <c r="G64" s="21" t="n">
        <v>0.0130000002682209</v>
      </c>
      <c r="H64" s="22" t="n">
        <f aca="false">F64+G64</f>
        <v>12.7630000002682</v>
      </c>
      <c r="I64" s="13" t="n">
        <f aca="false">INDEX(RM_Rates!$F$5:$F$137,MATCH(C64,RM_Rates!$A$5:$A$137,0))</f>
        <v>1.83595955371857</v>
      </c>
      <c r="J64" s="22" t="n">
        <f aca="false">H64*I64</f>
        <v>23.4323517846026</v>
      </c>
    </row>
    <row r="65" customFormat="false" ht="15" hidden="false" customHeight="false" outlineLevel="0" collapsed="false">
      <c r="A65" s="5" t="s">
        <v>427</v>
      </c>
      <c r="B65" s="2" t="s">
        <v>644</v>
      </c>
      <c r="C65" s="5" t="s">
        <v>70</v>
      </c>
      <c r="D65" s="5" t="s">
        <v>71</v>
      </c>
      <c r="E65" s="5" t="s">
        <v>72</v>
      </c>
      <c r="F65" s="21" t="n">
        <v>50.3999977111816</v>
      </c>
      <c r="G65" s="21" t="n">
        <v>0</v>
      </c>
      <c r="H65" s="22" t="n">
        <f aca="false">F65+G65</f>
        <v>50.3999977111816</v>
      </c>
      <c r="I65" s="13" t="n">
        <f aca="false">INDEX(RM_Rates!$F$5:$F$137,MATCH(C65,RM_Rates!$A$5:$A$137,0))</f>
        <v>2.86922955513001</v>
      </c>
      <c r="J65" s="22" t="n">
        <f aca="false">H65*I65</f>
        <v>144.609163011407</v>
      </c>
    </row>
    <row r="66" customFormat="false" ht="15" hidden="false" customHeight="false" outlineLevel="0" collapsed="false">
      <c r="A66" s="5" t="s">
        <v>427</v>
      </c>
      <c r="B66" s="2" t="s">
        <v>644</v>
      </c>
      <c r="C66" s="5" t="s">
        <v>206</v>
      </c>
      <c r="D66" s="5" t="s">
        <v>207</v>
      </c>
      <c r="E66" s="5" t="s">
        <v>72</v>
      </c>
      <c r="F66" s="21" t="n">
        <v>8.46599960327148</v>
      </c>
      <c r="G66" s="21" t="n">
        <v>0</v>
      </c>
      <c r="H66" s="22" t="n">
        <f aca="false">F66+G66</f>
        <v>8.46599960327148</v>
      </c>
      <c r="I66" s="13" t="n">
        <f aca="false">INDEX(RM_Rates!$F$5:$F$137,MATCH(C66,RM_Rates!$A$5:$A$137,0))</f>
        <v>0.750177025794983</v>
      </c>
      <c r="J66" s="22" t="n">
        <f aca="false">H66*I66</f>
        <v>6.35099840276371</v>
      </c>
    </row>
    <row r="67" customFormat="false" ht="15" hidden="false" customHeight="false" outlineLevel="0" collapsed="false">
      <c r="A67" s="5" t="s">
        <v>427</v>
      </c>
      <c r="B67" s="2" t="s">
        <v>644</v>
      </c>
      <c r="C67" s="5" t="s">
        <v>202</v>
      </c>
      <c r="D67" s="5" t="s">
        <v>203</v>
      </c>
      <c r="E67" s="5" t="s">
        <v>72</v>
      </c>
      <c r="F67" s="21" t="n">
        <v>4.25</v>
      </c>
      <c r="G67" s="21" t="n">
        <v>0</v>
      </c>
      <c r="H67" s="22" t="n">
        <f aca="false">F67+G67</f>
        <v>4.25</v>
      </c>
      <c r="I67" s="13" t="n">
        <f aca="false">INDEX(RM_Rates!$F$5:$F$137,MATCH(C67,RM_Rates!$A$5:$A$137,0))</f>
        <v>0.750177025794983</v>
      </c>
      <c r="J67" s="22" t="n">
        <f aca="false">H67*I67</f>
        <v>3.18825235962868</v>
      </c>
    </row>
    <row r="68" customFormat="false" ht="15" hidden="false" customHeight="false" outlineLevel="0" collapsed="false">
      <c r="A68" s="5" t="s">
        <v>427</v>
      </c>
      <c r="B68" s="2" t="s">
        <v>644</v>
      </c>
      <c r="C68" s="5" t="s">
        <v>62</v>
      </c>
      <c r="D68" s="5" t="s">
        <v>63</v>
      </c>
      <c r="E68" s="5" t="s">
        <v>60</v>
      </c>
      <c r="F68" s="21" t="n">
        <v>4.09999990463257</v>
      </c>
      <c r="G68" s="21" t="n">
        <v>0.0410000011324883</v>
      </c>
      <c r="H68" s="22" t="n">
        <f aca="false">F68+G68</f>
        <v>4.14099990576506</v>
      </c>
      <c r="I68" s="13" t="n">
        <f aca="false">INDEX(RM_Rates!$F$5:$F$137,MATCH(C68,RM_Rates!$A$5:$A$137,0))</f>
        <v>1.83595955371857</v>
      </c>
      <c r="J68" s="22" t="n">
        <f aca="false">H68*I68</f>
        <v>7.60270833893706</v>
      </c>
    </row>
    <row r="69" customFormat="false" ht="15" hidden="false" customHeight="false" outlineLevel="0" collapsed="false">
      <c r="A69" s="5" t="s">
        <v>427</v>
      </c>
      <c r="B69" s="2" t="s">
        <v>644</v>
      </c>
      <c r="C69" s="5" t="s">
        <v>244</v>
      </c>
      <c r="D69" s="5" t="s">
        <v>245</v>
      </c>
      <c r="E69" s="5" t="s">
        <v>60</v>
      </c>
      <c r="F69" s="21" t="n">
        <v>338.600006103516</v>
      </c>
      <c r="G69" s="21" t="n">
        <v>0.846000015735626</v>
      </c>
      <c r="H69" s="22" t="n">
        <f aca="false">F69+G69</f>
        <v>339.446006119252</v>
      </c>
      <c r="I69" s="13" t="n">
        <f aca="false">INDEX(RM_Rates!$F$5:$F$137,MATCH(C69,RM_Rates!$A$5:$A$137,0))</f>
        <v>0.648000001907349</v>
      </c>
      <c r="J69" s="22" t="n">
        <f aca="false">H69*I69</f>
        <v>219.961012612717</v>
      </c>
    </row>
    <row r="70" customFormat="false" ht="15" hidden="false" customHeight="false" outlineLevel="0" collapsed="false">
      <c r="A70" s="5" t="s">
        <v>427</v>
      </c>
      <c r="B70" s="2" t="s">
        <v>644</v>
      </c>
      <c r="C70" s="5" t="s">
        <v>232</v>
      </c>
      <c r="D70" s="5" t="s">
        <v>233</v>
      </c>
      <c r="E70" s="5" t="s">
        <v>72</v>
      </c>
      <c r="F70" s="21" t="n">
        <v>5.41759967803955</v>
      </c>
      <c r="G70" s="21" t="n">
        <v>0.0140000004321337</v>
      </c>
      <c r="H70" s="22" t="n">
        <f aca="false">F70+G70</f>
        <v>5.43159967847168</v>
      </c>
      <c r="I70" s="13" t="n">
        <f aca="false">INDEX(RM_Rates!$F$5:$F$137,MATCH(C70,RM_Rates!$A$5:$A$137,0))</f>
        <v>1.45200002193451</v>
      </c>
      <c r="J70" s="22" t="n">
        <f aca="false">H70*I70</f>
        <v>7.88668285228036</v>
      </c>
    </row>
    <row r="71" customFormat="false" ht="15" hidden="false" customHeight="false" outlineLevel="0" collapsed="false">
      <c r="A71" s="5" t="s">
        <v>427</v>
      </c>
      <c r="B71" s="2" t="s">
        <v>644</v>
      </c>
      <c r="C71" s="5" t="s">
        <v>269</v>
      </c>
      <c r="D71" s="5" t="s">
        <v>270</v>
      </c>
      <c r="E71" s="5" t="s">
        <v>72</v>
      </c>
      <c r="F71" s="21" t="n">
        <v>494.700012207031</v>
      </c>
      <c r="G71" s="21" t="n">
        <v>4.94700002670288</v>
      </c>
      <c r="H71" s="22" t="n">
        <f aca="false">F71+G71</f>
        <v>499.647012233734</v>
      </c>
      <c r="I71" s="13" t="n">
        <f aca="false">INDEX(RM_Rates!$F$5:$F$137,MATCH(C71,RM_Rates!$A$5:$A$137,0))</f>
        <v>0.452080339193344</v>
      </c>
      <c r="J71" s="22" t="n">
        <f aca="false">H71*I71</f>
        <v>225.880590767567</v>
      </c>
    </row>
    <row r="72" customFormat="false" ht="15" hidden="false" customHeight="false" outlineLevel="0" collapsed="false">
      <c r="A72" s="5" t="s">
        <v>427</v>
      </c>
      <c r="B72" s="2" t="s">
        <v>644</v>
      </c>
      <c r="C72" s="5" t="s">
        <v>287</v>
      </c>
      <c r="D72" s="5" t="s">
        <v>288</v>
      </c>
      <c r="E72" s="5" t="s">
        <v>166</v>
      </c>
      <c r="F72" s="21" t="n">
        <v>1</v>
      </c>
      <c r="G72" s="21" t="n">
        <v>0</v>
      </c>
      <c r="H72" s="22" t="n">
        <f aca="false">F72+G72</f>
        <v>1</v>
      </c>
      <c r="I72" s="13" t="n">
        <f aca="false">INDEX(RM_Rates!$F$5:$F$137,MATCH(C72,RM_Rates!$A$5:$A$137,0))</f>
        <v>57.848518371582</v>
      </c>
      <c r="J72" s="22" t="n">
        <f aca="false">H72*I72</f>
        <v>57.848518371582</v>
      </c>
    </row>
    <row r="73" customFormat="false" ht="15" hidden="false" customHeight="false" outlineLevel="0" collapsed="false">
      <c r="A73" s="5" t="s">
        <v>427</v>
      </c>
      <c r="B73" s="2" t="s">
        <v>644</v>
      </c>
      <c r="C73" s="5" t="s">
        <v>171</v>
      </c>
      <c r="D73" s="5" t="s">
        <v>172</v>
      </c>
      <c r="E73" s="5" t="s">
        <v>166</v>
      </c>
      <c r="F73" s="21" t="n">
        <v>2</v>
      </c>
      <c r="G73" s="21" t="n">
        <v>0</v>
      </c>
      <c r="H73" s="22" t="n">
        <f aca="false">F73+G73</f>
        <v>2</v>
      </c>
      <c r="I73" s="13" t="n">
        <f aca="false">INDEX(RM_Rates!$F$5:$F$137,MATCH(C73,RM_Rates!$A$5:$A$137,0))</f>
        <v>0.124766282737255</v>
      </c>
      <c r="J73" s="22" t="n">
        <f aca="false">H73*I73</f>
        <v>0.24953256547451</v>
      </c>
    </row>
    <row r="74" customFormat="false" ht="15" hidden="false" customHeight="false" outlineLevel="0" collapsed="false">
      <c r="A74" s="5" t="s">
        <v>427</v>
      </c>
      <c r="B74" s="2" t="s">
        <v>644</v>
      </c>
      <c r="C74" s="5" t="s">
        <v>308</v>
      </c>
      <c r="D74" s="5" t="s">
        <v>309</v>
      </c>
      <c r="E74" s="5" t="s">
        <v>297</v>
      </c>
      <c r="F74" s="21" t="n">
        <v>5</v>
      </c>
      <c r="G74" s="21" t="n">
        <v>0</v>
      </c>
      <c r="H74" s="22" t="n">
        <f aca="false">F74+G74</f>
        <v>5</v>
      </c>
      <c r="I74" s="13" t="n">
        <f aca="false">INDEX(RM_Rates!$F$5:$F$137,MATCH(C74,RM_Rates!$A$5:$A$137,0))</f>
        <v>1.40752077102661</v>
      </c>
      <c r="J74" s="22" t="n">
        <f aca="false">H74*I74</f>
        <v>7.03760385513305</v>
      </c>
    </row>
    <row r="75" customFormat="false" ht="15" hidden="false" customHeight="false" outlineLevel="0" collapsed="false">
      <c r="A75" s="5" t="s">
        <v>427</v>
      </c>
      <c r="B75" s="2" t="s">
        <v>644</v>
      </c>
      <c r="C75" s="5" t="s">
        <v>189</v>
      </c>
      <c r="D75" s="5" t="s">
        <v>190</v>
      </c>
      <c r="E75" s="5" t="s">
        <v>60</v>
      </c>
      <c r="F75" s="21" t="n">
        <v>0.5</v>
      </c>
      <c r="G75" s="21" t="n">
        <v>0</v>
      </c>
      <c r="H75" s="22" t="n">
        <f aca="false">F75+G75</f>
        <v>0.5</v>
      </c>
      <c r="I75" s="13" t="n">
        <f aca="false">INDEX(RM_Rates!$F$5:$F$137,MATCH(C75,RM_Rates!$A$5:$A$137,0))</f>
        <v>0.568400025367737</v>
      </c>
      <c r="J75" s="22" t="n">
        <f aca="false">H75*I75</f>
        <v>0.284200012683869</v>
      </c>
    </row>
    <row r="76" customFormat="false" ht="15" hidden="false" customHeight="false" outlineLevel="0" collapsed="false">
      <c r="A76" s="5" t="s">
        <v>437</v>
      </c>
      <c r="B76" s="2" t="s">
        <v>645</v>
      </c>
      <c r="C76" s="5" t="s">
        <v>79</v>
      </c>
      <c r="D76" s="5" t="s">
        <v>80</v>
      </c>
      <c r="E76" s="5" t="s">
        <v>72</v>
      </c>
      <c r="F76" s="21" t="n">
        <v>265.199981689453</v>
      </c>
      <c r="G76" s="21" t="n">
        <v>0.129999995231628</v>
      </c>
      <c r="H76" s="22" t="n">
        <f aca="false">F76+G76</f>
        <v>265.329981684685</v>
      </c>
      <c r="I76" s="13" t="n">
        <f aca="false">INDEX(RM_Rates!$F$5:$F$137,MATCH(C76,RM_Rates!$A$5:$A$137,0))</f>
        <v>1.980566</v>
      </c>
      <c r="J76" s="22" t="n">
        <f aca="false">H76*I76</f>
        <v>525.503540505309</v>
      </c>
    </row>
    <row r="77" customFormat="false" ht="15" hidden="false" customHeight="false" outlineLevel="0" collapsed="false">
      <c r="A77" s="5" t="s">
        <v>437</v>
      </c>
      <c r="B77" s="2" t="s">
        <v>645</v>
      </c>
      <c r="C77" s="5" t="s">
        <v>197</v>
      </c>
      <c r="D77" s="5" t="s">
        <v>196</v>
      </c>
      <c r="E77" s="5" t="s">
        <v>72</v>
      </c>
      <c r="F77" s="21" t="n">
        <v>70.7880020141602</v>
      </c>
      <c r="G77" s="21" t="n">
        <v>0</v>
      </c>
      <c r="H77" s="22" t="n">
        <f aca="false">F77+G77</f>
        <v>70.7880020141602</v>
      </c>
      <c r="I77" s="13" t="n">
        <f aca="false">INDEX(RM_Rates!$F$5:$F$137,MATCH(C77,RM_Rates!$A$5:$A$137,0))</f>
        <v>5.34994649887085</v>
      </c>
      <c r="J77" s="22" t="n">
        <f aca="false">H77*I77</f>
        <v>378.712023537719</v>
      </c>
    </row>
    <row r="78" customFormat="false" ht="15" hidden="false" customHeight="false" outlineLevel="0" collapsed="false">
      <c r="A78" s="5" t="s">
        <v>437</v>
      </c>
      <c r="B78" s="2" t="s">
        <v>645</v>
      </c>
      <c r="C78" s="5" t="s">
        <v>326</v>
      </c>
      <c r="D78" s="5" t="s">
        <v>327</v>
      </c>
      <c r="E78" s="5" t="s">
        <v>72</v>
      </c>
      <c r="F78" s="21" t="n">
        <v>112.199996948242</v>
      </c>
      <c r="G78" s="21" t="n">
        <v>0.550000011920929</v>
      </c>
      <c r="H78" s="22" t="n">
        <f aca="false">F78+G78</f>
        <v>112.749996960163</v>
      </c>
      <c r="I78" s="13" t="n">
        <f aca="false">INDEX(RM_Rates!$F$5:$F$137,MATCH(C78,RM_Rates!$A$5:$A$137,0))</f>
        <v>0.596000015735626</v>
      </c>
      <c r="J78" s="22" t="n">
        <f aca="false">H78*I78</f>
        <v>67.1989999624489</v>
      </c>
    </row>
    <row r="79" customFormat="false" ht="15" hidden="false" customHeight="false" outlineLevel="0" collapsed="false">
      <c r="A79" s="5" t="s">
        <v>437</v>
      </c>
      <c r="B79" s="2" t="s">
        <v>645</v>
      </c>
      <c r="C79" s="5" t="s">
        <v>324</v>
      </c>
      <c r="D79" s="5" t="s">
        <v>325</v>
      </c>
      <c r="E79" s="5" t="s">
        <v>72</v>
      </c>
      <c r="F79" s="21" t="n">
        <v>6.1710000038147</v>
      </c>
      <c r="G79" s="21" t="n">
        <v>0.0299999993294477</v>
      </c>
      <c r="H79" s="22" t="n">
        <f aca="false">F79+G79</f>
        <v>6.20100000314415</v>
      </c>
      <c r="I79" s="13" t="n">
        <f aca="false">INDEX(RM_Rates!$F$5:$F$137,MATCH(C79,RM_Rates!$A$5:$A$137,0))</f>
        <v>1.35229277610779</v>
      </c>
      <c r="J79" s="22" t="n">
        <f aca="false">H79*I79</f>
        <v>8.38556750889621</v>
      </c>
    </row>
    <row r="80" customFormat="false" ht="15" hidden="false" customHeight="false" outlineLevel="0" collapsed="false">
      <c r="A80" s="5" t="s">
        <v>437</v>
      </c>
      <c r="B80" s="2" t="s">
        <v>645</v>
      </c>
      <c r="C80" s="5" t="s">
        <v>314</v>
      </c>
      <c r="D80" s="5" t="s">
        <v>315</v>
      </c>
      <c r="E80" s="5" t="s">
        <v>72</v>
      </c>
      <c r="F80" s="21" t="n">
        <v>0.841500043869019</v>
      </c>
      <c r="G80" s="21" t="n">
        <v>0.00400000018998981</v>
      </c>
      <c r="H80" s="22" t="n">
        <f aca="false">F80+G80</f>
        <v>0.845500044059009</v>
      </c>
      <c r="I80" s="13" t="n">
        <f aca="false">INDEX(RM_Rates!$F$5:$F$137,MATCH(C80,RM_Rates!$A$5:$A$137,0))</f>
        <v>1.6441433429718</v>
      </c>
      <c r="J80" s="22" t="n">
        <f aca="false">H80*I80</f>
        <v>1.39012326892198</v>
      </c>
    </row>
    <row r="81" customFormat="false" ht="15" hidden="false" customHeight="false" outlineLevel="0" collapsed="false">
      <c r="A81" s="5" t="s">
        <v>437</v>
      </c>
      <c r="B81" s="2" t="s">
        <v>645</v>
      </c>
      <c r="C81" s="5" t="s">
        <v>320</v>
      </c>
      <c r="D81" s="5" t="s">
        <v>321</v>
      </c>
      <c r="E81" s="5" t="s">
        <v>72</v>
      </c>
      <c r="F81" s="21" t="n">
        <v>0.841500043869019</v>
      </c>
      <c r="G81" s="21" t="n">
        <v>0.00400000018998981</v>
      </c>
      <c r="H81" s="22" t="n">
        <f aca="false">F81+G81</f>
        <v>0.845500044059009</v>
      </c>
      <c r="I81" s="13" t="n">
        <f aca="false">INDEX(RM_Rates!$F$5:$F$137,MATCH(C81,RM_Rates!$A$5:$A$137,0))</f>
        <v>1.6441433429718</v>
      </c>
      <c r="J81" s="22" t="n">
        <f aca="false">H81*I81</f>
        <v>1.39012326892198</v>
      </c>
    </row>
    <row r="82" customFormat="false" ht="15" hidden="false" customHeight="false" outlineLevel="0" collapsed="false">
      <c r="A82" s="5" t="s">
        <v>437</v>
      </c>
      <c r="B82" s="2" t="s">
        <v>645</v>
      </c>
      <c r="C82" s="5" t="s">
        <v>202</v>
      </c>
      <c r="D82" s="5" t="s">
        <v>203</v>
      </c>
      <c r="E82" s="5" t="s">
        <v>72</v>
      </c>
      <c r="F82" s="21" t="n">
        <v>7.24199962615967</v>
      </c>
      <c r="G82" s="21" t="n">
        <v>0</v>
      </c>
      <c r="H82" s="22" t="n">
        <f aca="false">F82+G82</f>
        <v>7.24199962615967</v>
      </c>
      <c r="I82" s="13" t="n">
        <f aca="false">INDEX(RM_Rates!$F$5:$F$137,MATCH(C82,RM_Rates!$A$5:$A$137,0))</f>
        <v>0.750177025794983</v>
      </c>
      <c r="J82" s="22" t="n">
        <f aca="false">H82*I82</f>
        <v>5.43278174036084</v>
      </c>
    </row>
    <row r="83" customFormat="false" ht="15" hidden="false" customHeight="false" outlineLevel="0" collapsed="false">
      <c r="A83" s="5" t="s">
        <v>437</v>
      </c>
      <c r="B83" s="2" t="s">
        <v>645</v>
      </c>
      <c r="C83" s="5" t="s">
        <v>62</v>
      </c>
      <c r="D83" s="5" t="s">
        <v>63</v>
      </c>
      <c r="E83" s="5" t="s">
        <v>60</v>
      </c>
      <c r="F83" s="21" t="n">
        <v>15.2999992370605</v>
      </c>
      <c r="G83" s="21" t="n">
        <v>0.0149999996647239</v>
      </c>
      <c r="H83" s="22" t="n">
        <f aca="false">F83+G83</f>
        <v>15.3149992367252</v>
      </c>
      <c r="I83" s="13" t="n">
        <f aca="false">INDEX(RM_Rates!$F$5:$F$137,MATCH(C83,RM_Rates!$A$5:$A$137,0))</f>
        <v>1.83595955371857</v>
      </c>
      <c r="J83" s="22" t="n">
        <f aca="false">H83*I83</f>
        <v>28.1177191638583</v>
      </c>
    </row>
    <row r="84" customFormat="false" ht="15" hidden="false" customHeight="false" outlineLevel="0" collapsed="false">
      <c r="A84" s="5" t="s">
        <v>437</v>
      </c>
      <c r="B84" s="2" t="s">
        <v>645</v>
      </c>
      <c r="C84" s="5" t="s">
        <v>70</v>
      </c>
      <c r="D84" s="5" t="s">
        <v>71</v>
      </c>
      <c r="E84" s="5" t="s">
        <v>72</v>
      </c>
      <c r="F84" s="21" t="n">
        <v>50.3999977111816</v>
      </c>
      <c r="G84" s="21" t="n">
        <v>0</v>
      </c>
      <c r="H84" s="22" t="n">
        <f aca="false">F84+G84</f>
        <v>50.3999977111816</v>
      </c>
      <c r="I84" s="13" t="n">
        <f aca="false">INDEX(RM_Rates!$F$5:$F$137,MATCH(C84,RM_Rates!$A$5:$A$137,0))</f>
        <v>2.86922955513001</v>
      </c>
      <c r="J84" s="22" t="n">
        <f aca="false">H84*I84</f>
        <v>144.609163011407</v>
      </c>
    </row>
    <row r="85" customFormat="false" ht="15" hidden="false" customHeight="false" outlineLevel="0" collapsed="false">
      <c r="A85" s="5" t="s">
        <v>437</v>
      </c>
      <c r="B85" s="2" t="s">
        <v>645</v>
      </c>
      <c r="C85" s="5" t="s">
        <v>210</v>
      </c>
      <c r="D85" s="5" t="s">
        <v>211</v>
      </c>
      <c r="E85" s="5" t="s">
        <v>72</v>
      </c>
      <c r="F85" s="21" t="n">
        <v>12.1380004882813</v>
      </c>
      <c r="G85" s="21" t="n">
        <v>0</v>
      </c>
      <c r="H85" s="22" t="n">
        <f aca="false">F85+G85</f>
        <v>12.1380004882813</v>
      </c>
      <c r="I85" s="13" t="n">
        <f aca="false">INDEX(RM_Rates!$F$5:$F$137,MATCH(C85,RM_Rates!$A$5:$A$137,0))</f>
        <v>0.750177025794983</v>
      </c>
      <c r="J85" s="22" t="n">
        <f aca="false">H85*I85</f>
        <v>9.10564910539692</v>
      </c>
    </row>
    <row r="86" customFormat="false" ht="15" hidden="false" customHeight="false" outlineLevel="0" collapsed="false">
      <c r="A86" s="5" t="s">
        <v>437</v>
      </c>
      <c r="B86" s="2" t="s">
        <v>645</v>
      </c>
      <c r="C86" s="5" t="s">
        <v>208</v>
      </c>
      <c r="D86" s="5" t="s">
        <v>209</v>
      </c>
      <c r="E86" s="5" t="s">
        <v>72</v>
      </c>
      <c r="F86" s="21" t="n">
        <v>5.51000022888184</v>
      </c>
      <c r="G86" s="21" t="n">
        <v>0</v>
      </c>
      <c r="H86" s="22" t="n">
        <f aca="false">F86+G86</f>
        <v>5.51000022888184</v>
      </c>
      <c r="I86" s="13" t="n">
        <f aca="false">INDEX(RM_Rates!$F$5:$F$137,MATCH(C86,RM_Rates!$A$5:$A$137,0))</f>
        <v>0.750177025794983</v>
      </c>
      <c r="J86" s="22" t="n">
        <f aca="false">H86*I86</f>
        <v>4.13347558383225</v>
      </c>
    </row>
    <row r="87" customFormat="false" ht="15" hidden="false" customHeight="false" outlineLevel="0" collapsed="false">
      <c r="A87" s="5" t="s">
        <v>437</v>
      </c>
      <c r="B87" s="2" t="s">
        <v>645</v>
      </c>
      <c r="C87" s="5" t="s">
        <v>66</v>
      </c>
      <c r="D87" s="5" t="s">
        <v>67</v>
      </c>
      <c r="E87" s="5" t="s">
        <v>60</v>
      </c>
      <c r="F87" s="21" t="n">
        <v>5.30999994277954</v>
      </c>
      <c r="G87" s="21" t="n">
        <v>0.0529999993741512</v>
      </c>
      <c r="H87" s="22" t="n">
        <f aca="false">F87+G87</f>
        <v>5.36299994215369</v>
      </c>
      <c r="I87" s="13" t="n">
        <f aca="false">INDEX(RM_Rates!$F$5:$F$137,MATCH(C87,RM_Rates!$A$5:$A$137,0))</f>
        <v>1.83595955371857</v>
      </c>
      <c r="J87" s="22" t="n">
        <f aca="false">H87*I87</f>
        <v>9.84625098038921</v>
      </c>
    </row>
    <row r="88" customFormat="false" ht="15" hidden="false" customHeight="false" outlineLevel="0" collapsed="false">
      <c r="A88" s="5" t="s">
        <v>437</v>
      </c>
      <c r="B88" s="2" t="s">
        <v>645</v>
      </c>
      <c r="C88" s="5" t="s">
        <v>244</v>
      </c>
      <c r="D88" s="5" t="s">
        <v>245</v>
      </c>
      <c r="E88" s="5" t="s">
        <v>60</v>
      </c>
      <c r="F88" s="21" t="n">
        <v>420.400024414063</v>
      </c>
      <c r="G88" s="21" t="n">
        <v>1.05099999904633</v>
      </c>
      <c r="H88" s="22" t="n">
        <f aca="false">F88+G88</f>
        <v>421.451024413109</v>
      </c>
      <c r="I88" s="13" t="n">
        <f aca="false">INDEX(RM_Rates!$F$5:$F$137,MATCH(C88,RM_Rates!$A$5:$A$137,0))</f>
        <v>0.648000001907349</v>
      </c>
      <c r="J88" s="22" t="n">
        <f aca="false">H88*I88</f>
        <v>273.100264623549</v>
      </c>
    </row>
    <row r="89" customFormat="false" ht="15" hidden="false" customHeight="false" outlineLevel="0" collapsed="false">
      <c r="A89" s="5" t="s">
        <v>437</v>
      </c>
      <c r="B89" s="2" t="s">
        <v>645</v>
      </c>
      <c r="C89" s="5" t="s">
        <v>232</v>
      </c>
      <c r="D89" s="5" t="s">
        <v>233</v>
      </c>
      <c r="E89" s="5" t="s">
        <v>72</v>
      </c>
      <c r="F89" s="21" t="n">
        <v>6.72639989852905</v>
      </c>
      <c r="G89" s="21" t="n">
        <v>0.0159999988973141</v>
      </c>
      <c r="H89" s="22" t="n">
        <f aca="false">F89+G89</f>
        <v>6.74239989742636</v>
      </c>
      <c r="I89" s="13" t="n">
        <f aca="false">INDEX(RM_Rates!$F$5:$F$137,MATCH(C89,RM_Rates!$A$5:$A$137,0))</f>
        <v>1.45200002193451</v>
      </c>
      <c r="J89" s="22" t="n">
        <f aca="false">H89*I89</f>
        <v>9.78996479895432</v>
      </c>
    </row>
    <row r="90" customFormat="false" ht="15" hidden="false" customHeight="false" outlineLevel="0" collapsed="false">
      <c r="A90" s="5" t="s">
        <v>437</v>
      </c>
      <c r="B90" s="2" t="s">
        <v>645</v>
      </c>
      <c r="C90" s="5" t="s">
        <v>269</v>
      </c>
      <c r="D90" s="5" t="s">
        <v>270</v>
      </c>
      <c r="E90" s="5" t="s">
        <v>72</v>
      </c>
      <c r="F90" s="21" t="n">
        <v>620.799987792969</v>
      </c>
      <c r="G90" s="21" t="n">
        <v>6.20800018310547</v>
      </c>
      <c r="H90" s="22" t="n">
        <f aca="false">F90+G90</f>
        <v>627.007987976074</v>
      </c>
      <c r="I90" s="13" t="n">
        <f aca="false">INDEX(RM_Rates!$F$5:$F$137,MATCH(C90,RM_Rates!$A$5:$A$137,0))</f>
        <v>0.452080339193344</v>
      </c>
      <c r="J90" s="22" t="n">
        <f aca="false">H90*I90</f>
        <v>283.45798388116</v>
      </c>
    </row>
    <row r="91" customFormat="false" ht="15" hidden="false" customHeight="false" outlineLevel="0" collapsed="false">
      <c r="A91" s="5" t="s">
        <v>437</v>
      </c>
      <c r="B91" s="2" t="s">
        <v>645</v>
      </c>
      <c r="C91" s="5" t="s">
        <v>285</v>
      </c>
      <c r="D91" s="5" t="s">
        <v>286</v>
      </c>
      <c r="E91" s="5" t="s">
        <v>166</v>
      </c>
      <c r="F91" s="21" t="n">
        <v>2</v>
      </c>
      <c r="G91" s="21" t="n">
        <v>0</v>
      </c>
      <c r="H91" s="22" t="n">
        <f aca="false">F91+G91</f>
        <v>2</v>
      </c>
      <c r="I91" s="13" t="n">
        <f aca="false">INDEX(RM_Rates!$F$5:$F$137,MATCH(C91,RM_Rates!$A$5:$A$137,0))</f>
        <v>40.09814453125</v>
      </c>
      <c r="J91" s="22" t="n">
        <f aca="false">H91*I91</f>
        <v>80.1962890625</v>
      </c>
    </row>
    <row r="92" customFormat="false" ht="15" hidden="false" customHeight="false" outlineLevel="0" collapsed="false">
      <c r="A92" s="5" t="s">
        <v>437</v>
      </c>
      <c r="B92" s="2" t="s">
        <v>645</v>
      </c>
      <c r="C92" s="5" t="s">
        <v>171</v>
      </c>
      <c r="D92" s="5" t="s">
        <v>172</v>
      </c>
      <c r="E92" s="5" t="s">
        <v>166</v>
      </c>
      <c r="F92" s="21" t="n">
        <v>4</v>
      </c>
      <c r="G92" s="21" t="n">
        <v>0</v>
      </c>
      <c r="H92" s="22" t="n">
        <f aca="false">F92+G92</f>
        <v>4</v>
      </c>
      <c r="I92" s="13" t="n">
        <f aca="false">INDEX(RM_Rates!$F$5:$F$137,MATCH(C92,RM_Rates!$A$5:$A$137,0))</f>
        <v>0.124766282737255</v>
      </c>
      <c r="J92" s="22" t="n">
        <f aca="false">H92*I92</f>
        <v>0.49906513094902</v>
      </c>
    </row>
    <row r="93" customFormat="false" ht="15" hidden="false" customHeight="false" outlineLevel="0" collapsed="false">
      <c r="A93" s="5" t="s">
        <v>437</v>
      </c>
      <c r="B93" s="2" t="s">
        <v>645</v>
      </c>
      <c r="C93" s="5" t="s">
        <v>308</v>
      </c>
      <c r="D93" s="5" t="s">
        <v>309</v>
      </c>
      <c r="E93" s="5" t="s">
        <v>297</v>
      </c>
      <c r="F93" s="21" t="n">
        <v>8.80000019073486</v>
      </c>
      <c r="G93" s="21" t="n">
        <v>0</v>
      </c>
      <c r="H93" s="22" t="n">
        <f aca="false">F93+G93</f>
        <v>8.80000019073486</v>
      </c>
      <c r="I93" s="13" t="n">
        <f aca="false">INDEX(RM_Rates!$F$5:$F$137,MATCH(C93,RM_Rates!$A$5:$A$137,0))</f>
        <v>1.40752077102661</v>
      </c>
      <c r="J93" s="22" t="n">
        <f aca="false">H93*I93</f>
        <v>12.3861830534974</v>
      </c>
    </row>
    <row r="94" customFormat="false" ht="15" hidden="false" customHeight="false" outlineLevel="0" collapsed="false">
      <c r="A94" s="5" t="s">
        <v>437</v>
      </c>
      <c r="B94" s="2" t="s">
        <v>645</v>
      </c>
      <c r="C94" s="5" t="s">
        <v>189</v>
      </c>
      <c r="D94" s="5" t="s">
        <v>190</v>
      </c>
      <c r="E94" s="5" t="s">
        <v>60</v>
      </c>
      <c r="F94" s="21" t="n">
        <v>0.879999995231628</v>
      </c>
      <c r="G94" s="21" t="n">
        <v>0</v>
      </c>
      <c r="H94" s="22" t="n">
        <f aca="false">F94+G94</f>
        <v>0.879999995231628</v>
      </c>
      <c r="I94" s="13" t="n">
        <f aca="false">INDEX(RM_Rates!$F$5:$F$137,MATCH(C94,RM_Rates!$A$5:$A$137,0))</f>
        <v>0.568400025367737</v>
      </c>
      <c r="J94" s="22" t="n">
        <f aca="false">H94*I94</f>
        <v>0.500192019613266</v>
      </c>
    </row>
    <row r="95" customFormat="false" ht="15" hidden="false" customHeight="false" outlineLevel="0" collapsed="false">
      <c r="A95" s="5" t="s">
        <v>439</v>
      </c>
      <c r="B95" s="2" t="s">
        <v>646</v>
      </c>
      <c r="C95" s="5" t="s">
        <v>82</v>
      </c>
      <c r="D95" s="5" t="s">
        <v>83</v>
      </c>
      <c r="E95" s="5" t="s">
        <v>72</v>
      </c>
      <c r="F95" s="21" t="n">
        <v>434.519989013672</v>
      </c>
      <c r="G95" s="21" t="n">
        <v>0.214000001549721</v>
      </c>
      <c r="H95" s="22" t="n">
        <f aca="false">F95+G95</f>
        <v>434.733989015222</v>
      </c>
      <c r="I95" s="13" t="n">
        <f aca="false">INDEX(RM_Rates!$F$5:$F$137,MATCH(C95,RM_Rates!$A$5:$A$137,0))</f>
        <v>1.973232</v>
      </c>
      <c r="J95" s="22" t="n">
        <f aca="false">H95*I95</f>
        <v>857.831018612484</v>
      </c>
    </row>
    <row r="96" customFormat="false" ht="15" hidden="false" customHeight="false" outlineLevel="0" collapsed="false">
      <c r="A96" s="5" t="s">
        <v>439</v>
      </c>
      <c r="B96" s="2" t="s">
        <v>646</v>
      </c>
      <c r="C96" s="5" t="s">
        <v>326</v>
      </c>
      <c r="D96" s="5" t="s">
        <v>327</v>
      </c>
      <c r="E96" s="5" t="s">
        <v>72</v>
      </c>
      <c r="F96" s="21" t="n">
        <v>116.279991149902</v>
      </c>
      <c r="G96" s="21" t="n">
        <v>0.569999992847443</v>
      </c>
      <c r="H96" s="22" t="n">
        <f aca="false">F96+G96</f>
        <v>116.849991142749</v>
      </c>
      <c r="I96" s="13" t="n">
        <f aca="false">INDEX(RM_Rates!$F$5:$F$137,MATCH(C96,RM_Rates!$A$5:$A$137,0))</f>
        <v>0.596000015735626</v>
      </c>
      <c r="J96" s="22" t="n">
        <f aca="false">H96*I96</f>
        <v>69.6425965597864</v>
      </c>
    </row>
    <row r="97" customFormat="false" ht="15" hidden="false" customHeight="false" outlineLevel="0" collapsed="false">
      <c r="A97" s="5" t="s">
        <v>439</v>
      </c>
      <c r="B97" s="2" t="s">
        <v>646</v>
      </c>
      <c r="C97" s="5" t="s">
        <v>324</v>
      </c>
      <c r="D97" s="5" t="s">
        <v>325</v>
      </c>
      <c r="E97" s="5" t="s">
        <v>72</v>
      </c>
      <c r="F97" s="21" t="n">
        <v>6.39539957046509</v>
      </c>
      <c r="G97" s="21" t="n">
        <v>0.0320000015199184</v>
      </c>
      <c r="H97" s="22" t="n">
        <f aca="false">F97+G97</f>
        <v>6.42739957198501</v>
      </c>
      <c r="I97" s="13" t="n">
        <f aca="false">INDEX(RM_Rates!$F$5:$F$137,MATCH(C97,RM_Rates!$A$5:$A$137,0))</f>
        <v>1.35229277610779</v>
      </c>
      <c r="J97" s="22" t="n">
        <f aca="false">H97*I97</f>
        <v>8.69172601035363</v>
      </c>
    </row>
    <row r="98" customFormat="false" ht="15" hidden="false" customHeight="false" outlineLevel="0" collapsed="false">
      <c r="A98" s="5" t="s">
        <v>439</v>
      </c>
      <c r="B98" s="2" t="s">
        <v>646</v>
      </c>
      <c r="C98" s="5" t="s">
        <v>314</v>
      </c>
      <c r="D98" s="5" t="s">
        <v>315</v>
      </c>
      <c r="E98" s="5" t="s">
        <v>72</v>
      </c>
      <c r="F98" s="21" t="n">
        <v>0.872099995613098</v>
      </c>
      <c r="G98" s="21" t="n">
        <v>0.00400000018998981</v>
      </c>
      <c r="H98" s="22" t="n">
        <f aca="false">F98+G98</f>
        <v>0.876099995803088</v>
      </c>
      <c r="I98" s="13" t="n">
        <f aca="false">INDEX(RM_Rates!$F$5:$F$137,MATCH(C98,RM_Rates!$A$5:$A$137,0))</f>
        <v>1.6441433429718</v>
      </c>
      <c r="J98" s="22" t="n">
        <f aca="false">H98*I98</f>
        <v>1.44043397587727</v>
      </c>
    </row>
    <row r="99" customFormat="false" ht="15" hidden="false" customHeight="false" outlineLevel="0" collapsed="false">
      <c r="A99" s="5" t="s">
        <v>439</v>
      </c>
      <c r="B99" s="2" t="s">
        <v>646</v>
      </c>
      <c r="C99" s="5" t="s">
        <v>320</v>
      </c>
      <c r="D99" s="5" t="s">
        <v>321</v>
      </c>
      <c r="E99" s="5" t="s">
        <v>72</v>
      </c>
      <c r="F99" s="21" t="n">
        <v>0.872099995613098</v>
      </c>
      <c r="G99" s="21" t="n">
        <v>0.00400000018998981</v>
      </c>
      <c r="H99" s="22" t="n">
        <f aca="false">F99+G99</f>
        <v>0.876099995803088</v>
      </c>
      <c r="I99" s="13" t="n">
        <f aca="false">INDEX(RM_Rates!$F$5:$F$137,MATCH(C99,RM_Rates!$A$5:$A$137,0))</f>
        <v>1.6441433429718</v>
      </c>
      <c r="J99" s="22" t="n">
        <f aca="false">H99*I99</f>
        <v>1.44043397587727</v>
      </c>
    </row>
    <row r="100" customFormat="false" ht="15" hidden="false" customHeight="false" outlineLevel="0" collapsed="false">
      <c r="A100" s="5" t="s">
        <v>439</v>
      </c>
      <c r="B100" s="2" t="s">
        <v>646</v>
      </c>
      <c r="C100" s="5" t="s">
        <v>202</v>
      </c>
      <c r="D100" s="5" t="s">
        <v>203</v>
      </c>
      <c r="E100" s="5" t="s">
        <v>72</v>
      </c>
      <c r="F100" s="21" t="n">
        <v>7.24199962615967</v>
      </c>
      <c r="G100" s="21" t="n">
        <v>0</v>
      </c>
      <c r="H100" s="22" t="n">
        <f aca="false">F100+G100</f>
        <v>7.24199962615967</v>
      </c>
      <c r="I100" s="13" t="n">
        <f aca="false">INDEX(RM_Rates!$F$5:$F$137,MATCH(C100,RM_Rates!$A$5:$A$137,0))</f>
        <v>0.750177025794983</v>
      </c>
      <c r="J100" s="22" t="n">
        <f aca="false">H100*I100</f>
        <v>5.43278174036084</v>
      </c>
    </row>
    <row r="101" customFormat="false" ht="15" hidden="false" customHeight="false" outlineLevel="0" collapsed="false">
      <c r="A101" s="5" t="s">
        <v>439</v>
      </c>
      <c r="B101" s="2" t="s">
        <v>646</v>
      </c>
      <c r="C101" s="5" t="s">
        <v>62</v>
      </c>
      <c r="D101" s="5" t="s">
        <v>63</v>
      </c>
      <c r="E101" s="5" t="s">
        <v>60</v>
      </c>
      <c r="F101" s="21" t="n">
        <v>15.2999992370605</v>
      </c>
      <c r="G101" s="21" t="n">
        <v>0.0149999996647239</v>
      </c>
      <c r="H101" s="22" t="n">
        <f aca="false">F101+G101</f>
        <v>15.3149992367252</v>
      </c>
      <c r="I101" s="13" t="n">
        <f aca="false">INDEX(RM_Rates!$F$5:$F$137,MATCH(C101,RM_Rates!$A$5:$A$137,0))</f>
        <v>1.83595955371857</v>
      </c>
      <c r="J101" s="22" t="n">
        <f aca="false">H101*I101</f>
        <v>28.1177191638583</v>
      </c>
    </row>
    <row r="102" customFormat="false" ht="15" hidden="false" customHeight="false" outlineLevel="0" collapsed="false">
      <c r="A102" s="5" t="s">
        <v>439</v>
      </c>
      <c r="B102" s="2" t="s">
        <v>646</v>
      </c>
      <c r="C102" s="5" t="s">
        <v>70</v>
      </c>
      <c r="D102" s="5" t="s">
        <v>71</v>
      </c>
      <c r="E102" s="5" t="s">
        <v>72</v>
      </c>
      <c r="F102" s="21" t="n">
        <v>50.3999977111816</v>
      </c>
      <c r="G102" s="21" t="n">
        <v>0</v>
      </c>
      <c r="H102" s="22" t="n">
        <f aca="false">F102+G102</f>
        <v>50.3999977111816</v>
      </c>
      <c r="I102" s="13" t="n">
        <f aca="false">INDEX(RM_Rates!$F$5:$F$137,MATCH(C102,RM_Rates!$A$5:$A$137,0))</f>
        <v>2.86922955513001</v>
      </c>
      <c r="J102" s="22" t="n">
        <f aca="false">H102*I102</f>
        <v>144.609163011407</v>
      </c>
    </row>
    <row r="103" customFormat="false" ht="15" hidden="false" customHeight="false" outlineLevel="0" collapsed="false">
      <c r="A103" s="5" t="s">
        <v>439</v>
      </c>
      <c r="B103" s="2" t="s">
        <v>646</v>
      </c>
      <c r="C103" s="5" t="s">
        <v>210</v>
      </c>
      <c r="D103" s="5" t="s">
        <v>211</v>
      </c>
      <c r="E103" s="5" t="s">
        <v>72</v>
      </c>
      <c r="F103" s="21" t="n">
        <v>12.1380004882813</v>
      </c>
      <c r="G103" s="21" t="n">
        <v>0</v>
      </c>
      <c r="H103" s="22" t="n">
        <f aca="false">F103+G103</f>
        <v>12.1380004882813</v>
      </c>
      <c r="I103" s="13" t="n">
        <f aca="false">INDEX(RM_Rates!$F$5:$F$137,MATCH(C103,RM_Rates!$A$5:$A$137,0))</f>
        <v>0.750177025794983</v>
      </c>
      <c r="J103" s="22" t="n">
        <f aca="false">H103*I103</f>
        <v>9.10564910539692</v>
      </c>
    </row>
    <row r="104" customFormat="false" ht="15" hidden="false" customHeight="false" outlineLevel="0" collapsed="false">
      <c r="A104" s="5" t="s">
        <v>439</v>
      </c>
      <c r="B104" s="2" t="s">
        <v>646</v>
      </c>
      <c r="C104" s="5" t="s">
        <v>222</v>
      </c>
      <c r="D104" s="5" t="s">
        <v>223</v>
      </c>
      <c r="E104" s="5" t="s">
        <v>72</v>
      </c>
      <c r="F104" s="21" t="n">
        <v>45.2879981994629</v>
      </c>
      <c r="G104" s="21" t="n">
        <v>0</v>
      </c>
      <c r="H104" s="22" t="n">
        <f aca="false">F104+G104</f>
        <v>45.2879981994629</v>
      </c>
      <c r="I104" s="13" t="n">
        <f aca="false">INDEX(RM_Rates!$F$5:$F$137,MATCH(C104,RM_Rates!$A$5:$A$137,0))</f>
        <v>0.379036813974381</v>
      </c>
      <c r="J104" s="22" t="n">
        <f aca="false">H104*I104</f>
        <v>17.1658185488019</v>
      </c>
    </row>
    <row r="105" customFormat="false" ht="15" hidden="false" customHeight="false" outlineLevel="0" collapsed="false">
      <c r="A105" s="5" t="s">
        <v>439</v>
      </c>
      <c r="B105" s="2" t="s">
        <v>646</v>
      </c>
      <c r="C105" s="5" t="s">
        <v>208</v>
      </c>
      <c r="D105" s="5" t="s">
        <v>209</v>
      </c>
      <c r="E105" s="5" t="s">
        <v>72</v>
      </c>
      <c r="F105" s="21" t="n">
        <v>5.21000003814697</v>
      </c>
      <c r="G105" s="21" t="n">
        <v>0</v>
      </c>
      <c r="H105" s="22" t="n">
        <f aca="false">F105+G105</f>
        <v>5.21000003814697</v>
      </c>
      <c r="I105" s="13" t="n">
        <f aca="false">INDEX(RM_Rates!$F$5:$F$137,MATCH(C105,RM_Rates!$A$5:$A$137,0))</f>
        <v>0.750177025794983</v>
      </c>
      <c r="J105" s="22" t="n">
        <f aca="false">H105*I105</f>
        <v>3.90842233300884</v>
      </c>
    </row>
    <row r="106" customFormat="false" ht="15" hidden="false" customHeight="false" outlineLevel="0" collapsed="false">
      <c r="A106" s="5" t="s">
        <v>439</v>
      </c>
      <c r="B106" s="2" t="s">
        <v>646</v>
      </c>
      <c r="C106" s="5" t="s">
        <v>66</v>
      </c>
      <c r="D106" s="5" t="s">
        <v>67</v>
      </c>
      <c r="E106" s="5" t="s">
        <v>60</v>
      </c>
      <c r="F106" s="21" t="n">
        <v>5.01999998092651</v>
      </c>
      <c r="G106" s="21" t="n">
        <v>0.0500000007450581</v>
      </c>
      <c r="H106" s="22" t="n">
        <f aca="false">F106+G106</f>
        <v>5.06999998167157</v>
      </c>
      <c r="I106" s="13" t="n">
        <f aca="false">INDEX(RM_Rates!$F$5:$F$137,MATCH(C106,RM_Rates!$A$5:$A$137,0))</f>
        <v>1.83595955371857</v>
      </c>
      <c r="J106" s="22" t="n">
        <f aca="false">H106*I106</f>
        <v>9.30831490370289</v>
      </c>
    </row>
    <row r="107" customFormat="false" ht="15" hidden="false" customHeight="false" outlineLevel="0" collapsed="false">
      <c r="A107" s="5" t="s">
        <v>439</v>
      </c>
      <c r="B107" s="2" t="s">
        <v>646</v>
      </c>
      <c r="C107" s="5" t="s">
        <v>244</v>
      </c>
      <c r="D107" s="5" t="s">
        <v>245</v>
      </c>
      <c r="E107" s="5" t="s">
        <v>60</v>
      </c>
      <c r="F107" s="21" t="n">
        <v>451.299987792969</v>
      </c>
      <c r="G107" s="21" t="n">
        <v>1.12899994850159</v>
      </c>
      <c r="H107" s="22" t="n">
        <f aca="false">F107+G107</f>
        <v>452.428987741471</v>
      </c>
      <c r="I107" s="13" t="n">
        <f aca="false">INDEX(RM_Rates!$F$5:$F$137,MATCH(C107,RM_Rates!$A$5:$A$137,0))</f>
        <v>0.648000001907349</v>
      </c>
      <c r="J107" s="22" t="n">
        <f aca="false">H107*I107</f>
        <v>293.173984919413</v>
      </c>
    </row>
    <row r="108" customFormat="false" ht="15" hidden="false" customHeight="false" outlineLevel="0" collapsed="false">
      <c r="A108" s="5" t="s">
        <v>439</v>
      </c>
      <c r="B108" s="2" t="s">
        <v>646</v>
      </c>
      <c r="C108" s="5" t="s">
        <v>232</v>
      </c>
      <c r="D108" s="5" t="s">
        <v>233</v>
      </c>
      <c r="E108" s="5" t="s">
        <v>72</v>
      </c>
      <c r="F108" s="21" t="n">
        <v>7.22079944610596</v>
      </c>
      <c r="G108" s="21" t="n">
        <v>0.0179999992251396</v>
      </c>
      <c r="H108" s="22" t="n">
        <f aca="false">F108+G108</f>
        <v>7.2387994453311</v>
      </c>
      <c r="I108" s="13" t="n">
        <f aca="false">INDEX(RM_Rates!$F$5:$F$137,MATCH(C108,RM_Rates!$A$5:$A$137,0))</f>
        <v>1.45200002193451</v>
      </c>
      <c r="J108" s="22" t="n">
        <f aca="false">H108*I108</f>
        <v>10.5107369534003</v>
      </c>
    </row>
    <row r="109" customFormat="false" ht="15" hidden="false" customHeight="false" outlineLevel="0" collapsed="false">
      <c r="A109" s="5" t="s">
        <v>439</v>
      </c>
      <c r="B109" s="2" t="s">
        <v>646</v>
      </c>
      <c r="C109" s="5" t="s">
        <v>271</v>
      </c>
      <c r="D109" s="5" t="s">
        <v>272</v>
      </c>
      <c r="E109" s="5" t="s">
        <v>72</v>
      </c>
      <c r="F109" s="21" t="n">
        <v>763.200012207031</v>
      </c>
      <c r="G109" s="21" t="n">
        <v>7.63199996948242</v>
      </c>
      <c r="H109" s="22" t="n">
        <f aca="false">F109+G109</f>
        <v>770.832012176513</v>
      </c>
      <c r="I109" s="13" t="n">
        <f aca="false">INDEX(RM_Rates!$F$5:$F$137,MATCH(C109,RM_Rates!$A$5:$A$137,0))</f>
        <v>0.388907551765442</v>
      </c>
      <c r="J109" s="22" t="n">
        <f aca="false">H109*I109</f>
        <v>299.782390677997</v>
      </c>
    </row>
    <row r="110" customFormat="false" ht="15" hidden="false" customHeight="false" outlineLevel="0" collapsed="false">
      <c r="A110" s="5" t="s">
        <v>439</v>
      </c>
      <c r="B110" s="2" t="s">
        <v>646</v>
      </c>
      <c r="C110" s="5" t="s">
        <v>285</v>
      </c>
      <c r="D110" s="5" t="s">
        <v>286</v>
      </c>
      <c r="E110" s="5" t="s">
        <v>166</v>
      </c>
      <c r="F110" s="21" t="n">
        <v>2</v>
      </c>
      <c r="G110" s="21" t="n">
        <v>0</v>
      </c>
      <c r="H110" s="22" t="n">
        <f aca="false">F110+G110</f>
        <v>2</v>
      </c>
      <c r="I110" s="13" t="n">
        <f aca="false">INDEX(RM_Rates!$F$5:$F$137,MATCH(C110,RM_Rates!$A$5:$A$137,0))</f>
        <v>40.09814453125</v>
      </c>
      <c r="J110" s="22" t="n">
        <f aca="false">H110*I110</f>
        <v>80.1962890625</v>
      </c>
    </row>
    <row r="111" customFormat="false" ht="15" hidden="false" customHeight="false" outlineLevel="0" collapsed="false">
      <c r="A111" s="5" t="s">
        <v>439</v>
      </c>
      <c r="B111" s="2" t="s">
        <v>646</v>
      </c>
      <c r="C111" s="5" t="s">
        <v>171</v>
      </c>
      <c r="D111" s="5" t="s">
        <v>172</v>
      </c>
      <c r="E111" s="5" t="s">
        <v>166</v>
      </c>
      <c r="F111" s="21" t="n">
        <v>4</v>
      </c>
      <c r="G111" s="21" t="n">
        <v>0</v>
      </c>
      <c r="H111" s="22" t="n">
        <f aca="false">F111+G111</f>
        <v>4</v>
      </c>
      <c r="I111" s="13" t="n">
        <f aca="false">INDEX(RM_Rates!$F$5:$F$137,MATCH(C111,RM_Rates!$A$5:$A$137,0))</f>
        <v>0.124766282737255</v>
      </c>
      <c r="J111" s="22" t="n">
        <f aca="false">H111*I111</f>
        <v>0.49906513094902</v>
      </c>
    </row>
    <row r="112" customFormat="false" ht="15" hidden="false" customHeight="false" outlineLevel="0" collapsed="false">
      <c r="A112" s="5" t="s">
        <v>439</v>
      </c>
      <c r="B112" s="2" t="s">
        <v>646</v>
      </c>
      <c r="C112" s="5" t="s">
        <v>308</v>
      </c>
      <c r="D112" s="5" t="s">
        <v>309</v>
      </c>
      <c r="E112" s="5" t="s">
        <v>297</v>
      </c>
      <c r="F112" s="21" t="n">
        <v>8.80000019073486</v>
      </c>
      <c r="G112" s="21" t="n">
        <v>0</v>
      </c>
      <c r="H112" s="22" t="n">
        <f aca="false">F112+G112</f>
        <v>8.80000019073486</v>
      </c>
      <c r="I112" s="13" t="n">
        <f aca="false">INDEX(RM_Rates!$F$5:$F$137,MATCH(C112,RM_Rates!$A$5:$A$137,0))</f>
        <v>1.40752077102661</v>
      </c>
      <c r="J112" s="22" t="n">
        <f aca="false">H112*I112</f>
        <v>12.3861830534974</v>
      </c>
    </row>
    <row r="113" customFormat="false" ht="15" hidden="false" customHeight="false" outlineLevel="0" collapsed="false">
      <c r="A113" s="5" t="s">
        <v>439</v>
      </c>
      <c r="B113" s="2" t="s">
        <v>646</v>
      </c>
      <c r="C113" s="5" t="s">
        <v>189</v>
      </c>
      <c r="D113" s="5" t="s">
        <v>190</v>
      </c>
      <c r="E113" s="5" t="s">
        <v>60</v>
      </c>
      <c r="F113" s="21" t="n">
        <v>0.879999995231628</v>
      </c>
      <c r="G113" s="21" t="n">
        <v>0</v>
      </c>
      <c r="H113" s="22" t="n">
        <f aca="false">F113+G113</f>
        <v>0.879999995231628</v>
      </c>
      <c r="I113" s="13" t="n">
        <f aca="false">INDEX(RM_Rates!$F$5:$F$137,MATCH(C113,RM_Rates!$A$5:$A$137,0))</f>
        <v>0.568400025367737</v>
      </c>
      <c r="J113" s="22" t="n">
        <f aca="false">H113*I113</f>
        <v>0.500192019613266</v>
      </c>
    </row>
    <row r="114" customFormat="false" ht="15" hidden="false" customHeight="false" outlineLevel="0" collapsed="false">
      <c r="A114" s="5" t="s">
        <v>441</v>
      </c>
      <c r="B114" s="2" t="s">
        <v>647</v>
      </c>
      <c r="C114" s="5" t="s">
        <v>108</v>
      </c>
      <c r="D114" s="5" t="s">
        <v>109</v>
      </c>
      <c r="E114" s="5" t="s">
        <v>72</v>
      </c>
      <c r="F114" s="21" t="n">
        <v>1038</v>
      </c>
      <c r="G114" s="21" t="n">
        <v>5.19000005722046</v>
      </c>
      <c r="H114" s="22" t="n">
        <f aca="false">F114+G114</f>
        <v>1043.19000005722</v>
      </c>
      <c r="I114" s="13" t="n">
        <f aca="false">INDEX(RM_Rates!$F$5:$F$137,MATCH(C114,RM_Rates!$A$5:$A$137,0))</f>
        <v>1.968214</v>
      </c>
      <c r="J114" s="22" t="n">
        <f aca="false">H114*I114</f>
        <v>2053.22116277262</v>
      </c>
    </row>
    <row r="115" customFormat="false" ht="15" hidden="false" customHeight="false" outlineLevel="0" collapsed="false">
      <c r="A115" s="5" t="s">
        <v>441</v>
      </c>
      <c r="B115" s="2" t="s">
        <v>647</v>
      </c>
      <c r="C115" s="5" t="s">
        <v>293</v>
      </c>
      <c r="D115" s="5" t="s">
        <v>294</v>
      </c>
      <c r="E115" s="5" t="s">
        <v>166</v>
      </c>
      <c r="F115" s="21" t="n">
        <v>1</v>
      </c>
      <c r="G115" s="21" t="n">
        <v>0</v>
      </c>
      <c r="H115" s="22" t="n">
        <f aca="false">F115+G115</f>
        <v>1</v>
      </c>
      <c r="I115" s="13" t="n">
        <f aca="false">INDEX(RM_Rates!$F$5:$F$137,MATCH(C115,RM_Rates!$A$5:$A$137,0))</f>
        <v>17.5683555603027</v>
      </c>
      <c r="J115" s="22" t="n">
        <f aca="false">H115*I115</f>
        <v>17.5683555603027</v>
      </c>
    </row>
    <row r="116" customFormat="false" ht="15" hidden="false" customHeight="false" outlineLevel="0" collapsed="false">
      <c r="A116" s="5" t="s">
        <v>441</v>
      </c>
      <c r="B116" s="2" t="s">
        <v>647</v>
      </c>
      <c r="C116" s="5" t="s">
        <v>167</v>
      </c>
      <c r="D116" s="5" t="s">
        <v>168</v>
      </c>
      <c r="E116" s="5" t="s">
        <v>166</v>
      </c>
      <c r="F116" s="21" t="n">
        <v>2</v>
      </c>
      <c r="G116" s="21" t="n">
        <v>0</v>
      </c>
      <c r="H116" s="22" t="n">
        <f aca="false">F116+G116</f>
        <v>2</v>
      </c>
      <c r="I116" s="13" t="n">
        <f aca="false">INDEX(RM_Rates!$F$5:$F$137,MATCH(C116,RM_Rates!$A$5:$A$137,0))</f>
        <v>0.124766282737255</v>
      </c>
      <c r="J116" s="22" t="n">
        <f aca="false">H116*I116</f>
        <v>0.24953256547451</v>
      </c>
    </row>
    <row r="117" customFormat="false" ht="15" hidden="false" customHeight="false" outlineLevel="0" collapsed="false">
      <c r="A117" s="5" t="s">
        <v>441</v>
      </c>
      <c r="B117" s="2" t="s">
        <v>647</v>
      </c>
      <c r="C117" s="5" t="s">
        <v>306</v>
      </c>
      <c r="D117" s="5" t="s">
        <v>307</v>
      </c>
      <c r="E117" s="5" t="s">
        <v>297</v>
      </c>
      <c r="F117" s="21" t="n">
        <v>2.79999995231628</v>
      </c>
      <c r="G117" s="21" t="n">
        <v>0</v>
      </c>
      <c r="H117" s="22" t="n">
        <f aca="false">F117+G117</f>
        <v>2.79999995231628</v>
      </c>
      <c r="I117" s="13" t="n">
        <f aca="false">INDEX(RM_Rates!$F$5:$F$137,MATCH(C117,RM_Rates!$A$5:$A$137,0))</f>
        <v>1.40752077102661</v>
      </c>
      <c r="J117" s="22" t="n">
        <f aca="false">H117*I117</f>
        <v>3.94105809175868</v>
      </c>
    </row>
    <row r="118" customFormat="false" ht="15" hidden="false" customHeight="false" outlineLevel="0" collapsed="false">
      <c r="A118" s="5" t="s">
        <v>441</v>
      </c>
      <c r="B118" s="2" t="s">
        <v>647</v>
      </c>
      <c r="C118" s="5" t="s">
        <v>189</v>
      </c>
      <c r="D118" s="5" t="s">
        <v>190</v>
      </c>
      <c r="E118" s="5" t="s">
        <v>60</v>
      </c>
      <c r="F118" s="21" t="n">
        <v>0.180000007152557</v>
      </c>
      <c r="G118" s="21" t="n">
        <v>0</v>
      </c>
      <c r="H118" s="22" t="n">
        <f aca="false">F118+G118</f>
        <v>0.180000007152557</v>
      </c>
      <c r="I118" s="13" t="n">
        <f aca="false">INDEX(RM_Rates!$F$5:$F$137,MATCH(C118,RM_Rates!$A$5:$A$137,0))</f>
        <v>0.568400025367737</v>
      </c>
      <c r="J118" s="22" t="n">
        <f aca="false">H118*I118</f>
        <v>0.102312008631706</v>
      </c>
    </row>
    <row r="119" customFormat="false" ht="15" hidden="false" customHeight="false" outlineLevel="0" collapsed="false">
      <c r="A119" s="5" t="s">
        <v>442</v>
      </c>
      <c r="B119" s="2" t="s">
        <v>648</v>
      </c>
      <c r="C119" s="5" t="s">
        <v>86</v>
      </c>
      <c r="D119" s="5" t="s">
        <v>87</v>
      </c>
      <c r="E119" s="5" t="s">
        <v>72</v>
      </c>
      <c r="F119" s="21" t="n">
        <v>260.711975097656</v>
      </c>
      <c r="G119" s="21" t="n">
        <v>0.10700000077486</v>
      </c>
      <c r="H119" s="22" t="n">
        <f aca="false">F119+G119</f>
        <v>260.818975098431</v>
      </c>
      <c r="I119" s="13" t="n">
        <f aca="false">INDEX(RM_Rates!$F$5:$F$137,MATCH(C119,RM_Rates!$A$5:$A$137,0))</f>
        <v>1.997936</v>
      </c>
      <c r="J119" s="22" t="n">
        <f aca="false">H119*I119</f>
        <v>521.099619832259</v>
      </c>
    </row>
    <row r="120" customFormat="false" ht="15" hidden="false" customHeight="false" outlineLevel="0" collapsed="false">
      <c r="A120" s="5" t="s">
        <v>442</v>
      </c>
      <c r="B120" s="2" t="s">
        <v>648</v>
      </c>
      <c r="C120" s="5" t="s">
        <v>326</v>
      </c>
      <c r="D120" s="5" t="s">
        <v>327</v>
      </c>
      <c r="E120" s="5" t="s">
        <v>72</v>
      </c>
      <c r="F120" s="21" t="n">
        <v>74.6639938354492</v>
      </c>
      <c r="G120" s="21" t="n">
        <v>0.305000007152557</v>
      </c>
      <c r="H120" s="22" t="n">
        <f aca="false">F120+G120</f>
        <v>74.9689938426018</v>
      </c>
      <c r="I120" s="13" t="n">
        <f aca="false">INDEX(RM_Rates!$F$5:$F$137,MATCH(C120,RM_Rates!$A$5:$A$137,0))</f>
        <v>0.596000015735626</v>
      </c>
      <c r="J120" s="22" t="n">
        <f aca="false">H120*I120</f>
        <v>44.6815215098747</v>
      </c>
    </row>
    <row r="121" customFormat="false" ht="15" hidden="false" customHeight="false" outlineLevel="0" collapsed="false">
      <c r="A121" s="5" t="s">
        <v>442</v>
      </c>
      <c r="B121" s="2" t="s">
        <v>648</v>
      </c>
      <c r="C121" s="5" t="s">
        <v>324</v>
      </c>
      <c r="D121" s="5" t="s">
        <v>325</v>
      </c>
      <c r="E121" s="5" t="s">
        <v>72</v>
      </c>
      <c r="F121" s="21" t="n">
        <v>4.10652017593384</v>
      </c>
      <c r="G121" s="21" t="n">
        <v>0.017000000923872</v>
      </c>
      <c r="H121" s="22" t="n">
        <f aca="false">F121+G121</f>
        <v>4.12352017685771</v>
      </c>
      <c r="I121" s="13" t="n">
        <f aca="false">INDEX(RM_Rates!$F$5:$F$137,MATCH(C121,RM_Rates!$A$5:$A$137,0))</f>
        <v>1.35229277610779</v>
      </c>
      <c r="J121" s="22" t="n">
        <f aca="false">H121*I121</f>
        <v>5.5762065472994</v>
      </c>
    </row>
    <row r="122" customFormat="false" ht="15" hidden="false" customHeight="false" outlineLevel="0" collapsed="false">
      <c r="A122" s="5" t="s">
        <v>442</v>
      </c>
      <c r="B122" s="2" t="s">
        <v>648</v>
      </c>
      <c r="C122" s="5" t="s">
        <v>320</v>
      </c>
      <c r="D122" s="5" t="s">
        <v>321</v>
      </c>
      <c r="E122" s="5" t="s">
        <v>72</v>
      </c>
      <c r="F122" s="21" t="n">
        <v>1.11995995044708</v>
      </c>
      <c r="G122" s="21" t="n">
        <v>0.00499999988824129</v>
      </c>
      <c r="H122" s="22" t="n">
        <f aca="false">F122+G122</f>
        <v>1.12495995033532</v>
      </c>
      <c r="I122" s="13" t="n">
        <f aca="false">INDEX(RM_Rates!$F$5:$F$137,MATCH(C122,RM_Rates!$A$5:$A$137,0))</f>
        <v>1.6441433429718</v>
      </c>
      <c r="J122" s="22" t="n">
        <f aca="false">H122*I122</f>
        <v>1.84959541345371</v>
      </c>
    </row>
    <row r="123" customFormat="false" ht="15" hidden="false" customHeight="false" outlineLevel="0" collapsed="false">
      <c r="A123" s="5" t="s">
        <v>442</v>
      </c>
      <c r="B123" s="2" t="s">
        <v>648</v>
      </c>
      <c r="C123" s="5" t="s">
        <v>210</v>
      </c>
      <c r="D123" s="5" t="s">
        <v>211</v>
      </c>
      <c r="E123" s="5" t="s">
        <v>72</v>
      </c>
      <c r="F123" s="21" t="n">
        <v>1.70000004768372</v>
      </c>
      <c r="G123" s="21" t="n">
        <v>0</v>
      </c>
      <c r="H123" s="22" t="n">
        <f aca="false">F123+G123</f>
        <v>1.70000004768372</v>
      </c>
      <c r="I123" s="13" t="n">
        <f aca="false">INDEX(RM_Rates!$F$5:$F$137,MATCH(C123,RM_Rates!$A$5:$A$137,0))</f>
        <v>0.750177025794983</v>
      </c>
      <c r="J123" s="22" t="n">
        <f aca="false">H123*I123</f>
        <v>1.2753009796227</v>
      </c>
    </row>
    <row r="124" customFormat="false" ht="15" hidden="false" customHeight="false" outlineLevel="0" collapsed="false">
      <c r="A124" s="5" t="s">
        <v>442</v>
      </c>
      <c r="B124" s="2" t="s">
        <v>648</v>
      </c>
      <c r="C124" s="5" t="s">
        <v>62</v>
      </c>
      <c r="D124" s="5" t="s">
        <v>63</v>
      </c>
      <c r="E124" s="5" t="s">
        <v>60</v>
      </c>
      <c r="F124" s="21" t="n">
        <v>3.01999998092651</v>
      </c>
      <c r="G124" s="21" t="n">
        <v>0.0299999993294477</v>
      </c>
      <c r="H124" s="22" t="n">
        <f aca="false">F124+G124</f>
        <v>3.04999998025596</v>
      </c>
      <c r="I124" s="13" t="n">
        <f aca="false">INDEX(RM_Rates!$F$5:$F$137,MATCH(C124,RM_Rates!$A$5:$A$137,0))</f>
        <v>1.83595955371857</v>
      </c>
      <c r="J124" s="22" t="n">
        <f aca="false">H124*I124</f>
        <v>5.59967660259238</v>
      </c>
    </row>
    <row r="125" customFormat="false" ht="15" hidden="false" customHeight="false" outlineLevel="0" collapsed="false">
      <c r="A125" s="5" t="s">
        <v>442</v>
      </c>
      <c r="B125" s="2" t="s">
        <v>648</v>
      </c>
      <c r="C125" s="5" t="s">
        <v>70</v>
      </c>
      <c r="D125" s="5" t="s">
        <v>71</v>
      </c>
      <c r="E125" s="5" t="s">
        <v>72</v>
      </c>
      <c r="F125" s="21" t="n">
        <v>4.5</v>
      </c>
      <c r="G125" s="21" t="n">
        <v>0</v>
      </c>
      <c r="H125" s="22" t="n">
        <f aca="false">F125+G125</f>
        <v>4.5</v>
      </c>
      <c r="I125" s="13" t="n">
        <f aca="false">INDEX(RM_Rates!$F$5:$F$137,MATCH(C125,RM_Rates!$A$5:$A$137,0))</f>
        <v>2.86922955513001</v>
      </c>
      <c r="J125" s="22" t="n">
        <f aca="false">H125*I125</f>
        <v>12.911532998085</v>
      </c>
    </row>
    <row r="126" customFormat="false" ht="15" hidden="false" customHeight="false" outlineLevel="0" collapsed="false">
      <c r="A126" s="5" t="s">
        <v>442</v>
      </c>
      <c r="B126" s="2" t="s">
        <v>648</v>
      </c>
      <c r="C126" s="5" t="s">
        <v>202</v>
      </c>
      <c r="D126" s="5" t="s">
        <v>203</v>
      </c>
      <c r="E126" s="5" t="s">
        <v>72</v>
      </c>
      <c r="F126" s="21" t="n">
        <v>1.44000005722046</v>
      </c>
      <c r="G126" s="21" t="n">
        <v>0</v>
      </c>
      <c r="H126" s="22" t="n">
        <f aca="false">F126+G126</f>
        <v>1.44000005722046</v>
      </c>
      <c r="I126" s="13" t="n">
        <f aca="false">INDEX(RM_Rates!$F$5:$F$137,MATCH(C126,RM_Rates!$A$5:$A$137,0))</f>
        <v>0.750177025794983</v>
      </c>
      <c r="J126" s="22" t="n">
        <f aca="false">H126*I126</f>
        <v>1.08025496007025</v>
      </c>
    </row>
    <row r="127" customFormat="false" ht="15" hidden="false" customHeight="false" outlineLevel="0" collapsed="false">
      <c r="A127" s="5" t="s">
        <v>442</v>
      </c>
      <c r="B127" s="2" t="s">
        <v>648</v>
      </c>
      <c r="C127" s="5" t="s">
        <v>193</v>
      </c>
      <c r="D127" s="5" t="s">
        <v>194</v>
      </c>
      <c r="E127" s="5" t="s">
        <v>72</v>
      </c>
      <c r="F127" s="21" t="n">
        <v>219.199996948242</v>
      </c>
      <c r="G127" s="21" t="n">
        <v>4.38399982452393</v>
      </c>
      <c r="H127" s="22" t="n">
        <f aca="false">F127+G127</f>
        <v>223.583996772766</v>
      </c>
      <c r="I127" s="13" t="n">
        <f aca="false">INDEX(RM_Rates!$F$5:$F$137,MATCH(C127,RM_Rates!$A$5:$A$137,0))</f>
        <v>0.769918501377106</v>
      </c>
      <c r="J127" s="22" t="n">
        <f aca="false">H127*I127</f>
        <v>172.141455727192</v>
      </c>
    </row>
    <row r="128" customFormat="false" ht="15" hidden="false" customHeight="false" outlineLevel="0" collapsed="false">
      <c r="A128" s="5" t="s">
        <v>442</v>
      </c>
      <c r="B128" s="2" t="s">
        <v>648</v>
      </c>
      <c r="C128" s="5" t="s">
        <v>191</v>
      </c>
      <c r="D128" s="5" t="s">
        <v>192</v>
      </c>
      <c r="E128" s="5" t="s">
        <v>72</v>
      </c>
      <c r="F128" s="21" t="n">
        <v>3.50720000267029</v>
      </c>
      <c r="G128" s="21" t="n">
        <v>0.0700000002980232</v>
      </c>
      <c r="H128" s="22" t="n">
        <f aca="false">F128+G128</f>
        <v>3.57720000296831</v>
      </c>
      <c r="I128" s="13" t="n">
        <f aca="false">INDEX(RM_Rates!$F$5:$F$137,MATCH(C128,RM_Rates!$A$5:$A$137,0))</f>
        <v>2.39035940170288</v>
      </c>
      <c r="J128" s="22" t="n">
        <f aca="false">H128*I128</f>
        <v>8.55079365886688</v>
      </c>
    </row>
    <row r="129" customFormat="false" ht="15" hidden="false" customHeight="false" outlineLevel="0" collapsed="false">
      <c r="A129" s="5" t="s">
        <v>442</v>
      </c>
      <c r="B129" s="2" t="s">
        <v>648</v>
      </c>
      <c r="C129" s="5" t="s">
        <v>269</v>
      </c>
      <c r="D129" s="5" t="s">
        <v>270</v>
      </c>
      <c r="E129" s="5" t="s">
        <v>72</v>
      </c>
      <c r="F129" s="21" t="n">
        <v>368.600006103516</v>
      </c>
      <c r="G129" s="21" t="n">
        <v>3.68600010871887</v>
      </c>
      <c r="H129" s="22" t="n">
        <f aca="false">F129+G129</f>
        <v>372.286006212235</v>
      </c>
      <c r="I129" s="13" t="n">
        <f aca="false">INDEX(RM_Rates!$F$5:$F$137,MATCH(C129,RM_Rates!$A$5:$A$137,0))</f>
        <v>0.452080339193344</v>
      </c>
      <c r="J129" s="22" t="n">
        <f aca="false">H129*I129</f>
        <v>168.303183965363</v>
      </c>
    </row>
    <row r="130" customFormat="false" ht="15" hidden="false" customHeight="false" outlineLevel="0" collapsed="false">
      <c r="A130" s="5" t="s">
        <v>442</v>
      </c>
      <c r="B130" s="2" t="s">
        <v>648</v>
      </c>
      <c r="C130" s="5" t="s">
        <v>283</v>
      </c>
      <c r="D130" s="5" t="s">
        <v>284</v>
      </c>
      <c r="E130" s="5" t="s">
        <v>166</v>
      </c>
      <c r="F130" s="21" t="n">
        <v>1</v>
      </c>
      <c r="G130" s="21" t="n">
        <v>0</v>
      </c>
      <c r="H130" s="22" t="n">
        <f aca="false">F130+G130</f>
        <v>1</v>
      </c>
      <c r="I130" s="13" t="n">
        <f aca="false">INDEX(RM_Rates!$F$5:$F$137,MATCH(C130,RM_Rates!$A$5:$A$137,0))</f>
        <v>31.1947288513184</v>
      </c>
      <c r="J130" s="22" t="n">
        <f aca="false">H130*I130</f>
        <v>31.1947288513184</v>
      </c>
    </row>
    <row r="131" customFormat="false" ht="15" hidden="false" customHeight="false" outlineLevel="0" collapsed="false">
      <c r="A131" s="5" t="s">
        <v>442</v>
      </c>
      <c r="B131" s="2" t="s">
        <v>648</v>
      </c>
      <c r="C131" s="5" t="s">
        <v>169</v>
      </c>
      <c r="D131" s="5" t="s">
        <v>170</v>
      </c>
      <c r="E131" s="5" t="s">
        <v>166</v>
      </c>
      <c r="F131" s="21" t="n">
        <v>2</v>
      </c>
      <c r="G131" s="21" t="n">
        <v>0</v>
      </c>
      <c r="H131" s="22" t="n">
        <f aca="false">F131+G131</f>
        <v>2</v>
      </c>
      <c r="I131" s="13" t="n">
        <f aca="false">INDEX(RM_Rates!$F$5:$F$137,MATCH(C131,RM_Rates!$A$5:$A$137,0))</f>
        <v>0.124766282737255</v>
      </c>
      <c r="J131" s="22" t="n">
        <f aca="false">H131*I131</f>
        <v>0.24953256547451</v>
      </c>
    </row>
    <row r="132" customFormat="false" ht="15" hidden="false" customHeight="false" outlineLevel="0" collapsed="false">
      <c r="A132" s="5" t="s">
        <v>442</v>
      </c>
      <c r="B132" s="2" t="s">
        <v>648</v>
      </c>
      <c r="C132" s="5" t="s">
        <v>308</v>
      </c>
      <c r="D132" s="5" t="s">
        <v>309</v>
      </c>
      <c r="E132" s="5" t="s">
        <v>297</v>
      </c>
      <c r="F132" s="21" t="n">
        <v>3.79999995231628</v>
      </c>
      <c r="G132" s="21" t="n">
        <v>0</v>
      </c>
      <c r="H132" s="22" t="n">
        <f aca="false">F132+G132</f>
        <v>3.79999995231628</v>
      </c>
      <c r="I132" s="13" t="n">
        <f aca="false">INDEX(RM_Rates!$F$5:$F$137,MATCH(C132,RM_Rates!$A$5:$A$137,0))</f>
        <v>1.40752077102661</v>
      </c>
      <c r="J132" s="22" t="n">
        <f aca="false">H132*I132</f>
        <v>5.34857886278529</v>
      </c>
    </row>
    <row r="133" customFormat="false" ht="15" hidden="false" customHeight="false" outlineLevel="0" collapsed="false">
      <c r="A133" s="5" t="s">
        <v>442</v>
      </c>
      <c r="B133" s="2" t="s">
        <v>648</v>
      </c>
      <c r="C133" s="5" t="s">
        <v>189</v>
      </c>
      <c r="D133" s="5" t="s">
        <v>190</v>
      </c>
      <c r="E133" s="5" t="s">
        <v>60</v>
      </c>
      <c r="F133" s="21" t="n">
        <v>0.379999995231628</v>
      </c>
      <c r="G133" s="21" t="n">
        <v>0</v>
      </c>
      <c r="H133" s="22" t="n">
        <f aca="false">F133+G133</f>
        <v>0.379999995231628</v>
      </c>
      <c r="I133" s="13" t="n">
        <f aca="false">INDEX(RM_Rates!$F$5:$F$137,MATCH(C133,RM_Rates!$A$5:$A$137,0))</f>
        <v>0.568400025367737</v>
      </c>
      <c r="J133" s="22" t="n">
        <f aca="false">H133*I133</f>
        <v>0.215992006929397</v>
      </c>
    </row>
    <row r="134" customFormat="false" ht="15" hidden="false" customHeight="false" outlineLevel="0" collapsed="false">
      <c r="A134" s="5" t="s">
        <v>449</v>
      </c>
      <c r="B134" s="2" t="s">
        <v>649</v>
      </c>
      <c r="C134" s="5" t="s">
        <v>86</v>
      </c>
      <c r="D134" s="5" t="s">
        <v>87</v>
      </c>
      <c r="E134" s="5" t="s">
        <v>72</v>
      </c>
      <c r="F134" s="21" t="n">
        <v>260.711975097656</v>
      </c>
      <c r="G134" s="21" t="n">
        <v>0.10700000077486</v>
      </c>
      <c r="H134" s="22" t="n">
        <f aca="false">F134+G134</f>
        <v>260.818975098431</v>
      </c>
      <c r="I134" s="13" t="n">
        <f aca="false">INDEX(RM_Rates!$F$5:$F$137,MATCH(C134,RM_Rates!$A$5:$A$137,0))</f>
        <v>1.997936</v>
      </c>
      <c r="J134" s="22" t="n">
        <f aca="false">H134*I134</f>
        <v>521.099619832259</v>
      </c>
    </row>
    <row r="135" customFormat="false" ht="15" hidden="false" customHeight="false" outlineLevel="0" collapsed="false">
      <c r="A135" s="5" t="s">
        <v>449</v>
      </c>
      <c r="B135" s="2" t="s">
        <v>649</v>
      </c>
      <c r="C135" s="5" t="s">
        <v>195</v>
      </c>
      <c r="D135" s="5" t="s">
        <v>196</v>
      </c>
      <c r="E135" s="5" t="s">
        <v>72</v>
      </c>
      <c r="F135" s="21" t="n">
        <v>55.0799980163574</v>
      </c>
      <c r="G135" s="21" t="n">
        <v>0</v>
      </c>
      <c r="H135" s="22" t="n">
        <f aca="false">F135+G135</f>
        <v>55.0799980163574</v>
      </c>
      <c r="I135" s="13" t="n">
        <f aca="false">INDEX(RM_Rates!$F$5:$F$137,MATCH(C135,RM_Rates!$A$5:$A$137,0))</f>
        <v>5.34994649887085</v>
      </c>
      <c r="J135" s="22" t="n">
        <f aca="false">H135*I135</f>
        <v>294.675042545425</v>
      </c>
    </row>
    <row r="136" customFormat="false" ht="15" hidden="false" customHeight="false" outlineLevel="0" collapsed="false">
      <c r="A136" s="5" t="s">
        <v>449</v>
      </c>
      <c r="B136" s="2" t="s">
        <v>649</v>
      </c>
      <c r="C136" s="5" t="s">
        <v>326</v>
      </c>
      <c r="D136" s="5" t="s">
        <v>327</v>
      </c>
      <c r="E136" s="5" t="s">
        <v>72</v>
      </c>
      <c r="F136" s="21" t="n">
        <v>96.6959991455078</v>
      </c>
      <c r="G136" s="21" t="n">
        <v>0.395000010728836</v>
      </c>
      <c r="H136" s="22" t="n">
        <f aca="false">F136+G136</f>
        <v>97.0909991562366</v>
      </c>
      <c r="I136" s="13" t="n">
        <f aca="false">INDEX(RM_Rates!$F$5:$F$137,MATCH(C136,RM_Rates!$A$5:$A$137,0))</f>
        <v>0.596000015735626</v>
      </c>
      <c r="J136" s="22" t="n">
        <f aca="false">H136*I136</f>
        <v>57.8662370249047</v>
      </c>
    </row>
    <row r="137" customFormat="false" ht="15" hidden="false" customHeight="false" outlineLevel="0" collapsed="false">
      <c r="A137" s="5" t="s">
        <v>449</v>
      </c>
      <c r="B137" s="2" t="s">
        <v>649</v>
      </c>
      <c r="C137" s="5" t="s">
        <v>324</v>
      </c>
      <c r="D137" s="5" t="s">
        <v>325</v>
      </c>
      <c r="E137" s="5" t="s">
        <v>72</v>
      </c>
      <c r="F137" s="21" t="n">
        <v>5.31828022003174</v>
      </c>
      <c r="G137" s="21" t="n">
        <v>0.0219999998807907</v>
      </c>
      <c r="H137" s="22" t="n">
        <f aca="false">F137+G137</f>
        <v>5.34028021991253</v>
      </c>
      <c r="I137" s="13" t="n">
        <f aca="false">INDEX(RM_Rates!$F$5:$F$137,MATCH(C137,RM_Rates!$A$5:$A$137,0))</f>
        <v>1.35229277610779</v>
      </c>
      <c r="J137" s="22" t="n">
        <f aca="false">H137*I137</f>
        <v>7.22162236377904</v>
      </c>
    </row>
    <row r="138" customFormat="false" ht="15" hidden="false" customHeight="false" outlineLevel="0" collapsed="false">
      <c r="A138" s="5" t="s">
        <v>449</v>
      </c>
      <c r="B138" s="2" t="s">
        <v>649</v>
      </c>
      <c r="C138" s="5" t="s">
        <v>320</v>
      </c>
      <c r="D138" s="5" t="s">
        <v>321</v>
      </c>
      <c r="E138" s="5" t="s">
        <v>72</v>
      </c>
      <c r="F138" s="21" t="n">
        <v>1.45044004917145</v>
      </c>
      <c r="G138" s="21" t="n">
        <v>0.00600000005215406</v>
      </c>
      <c r="H138" s="22" t="n">
        <f aca="false">F138+G138</f>
        <v>1.4564400492236</v>
      </c>
      <c r="I138" s="13" t="n">
        <f aca="false">INDEX(RM_Rates!$F$5:$F$137,MATCH(C138,RM_Rates!$A$5:$A$137,0))</f>
        <v>1.6441433429718</v>
      </c>
      <c r="J138" s="22" t="n">
        <f aca="false">H138*I138</f>
        <v>2.39459621136851</v>
      </c>
    </row>
    <row r="139" customFormat="false" ht="15" hidden="false" customHeight="false" outlineLevel="0" collapsed="false">
      <c r="A139" s="5" t="s">
        <v>449</v>
      </c>
      <c r="B139" s="2" t="s">
        <v>649</v>
      </c>
      <c r="C139" s="5" t="s">
        <v>210</v>
      </c>
      <c r="D139" s="5" t="s">
        <v>211</v>
      </c>
      <c r="E139" s="5" t="s">
        <v>72</v>
      </c>
      <c r="F139" s="21" t="n">
        <v>2.09999990463257</v>
      </c>
      <c r="G139" s="21" t="n">
        <v>0</v>
      </c>
      <c r="H139" s="22" t="n">
        <f aca="false">F139+G139</f>
        <v>2.09999990463257</v>
      </c>
      <c r="I139" s="13" t="n">
        <f aca="false">INDEX(RM_Rates!$F$5:$F$137,MATCH(C139,RM_Rates!$A$5:$A$137,0))</f>
        <v>0.750177025794983</v>
      </c>
      <c r="J139" s="22" t="n">
        <f aca="false">H139*I139</f>
        <v>1.57537168262701</v>
      </c>
    </row>
    <row r="140" customFormat="false" ht="15" hidden="false" customHeight="false" outlineLevel="0" collapsed="false">
      <c r="A140" s="5" t="s">
        <v>449</v>
      </c>
      <c r="B140" s="2" t="s">
        <v>649</v>
      </c>
      <c r="C140" s="5" t="s">
        <v>62</v>
      </c>
      <c r="D140" s="5" t="s">
        <v>63</v>
      </c>
      <c r="E140" s="5" t="s">
        <v>60</v>
      </c>
      <c r="F140" s="21" t="n">
        <v>3.74000000953674</v>
      </c>
      <c r="G140" s="21" t="n">
        <v>0.0370000004768372</v>
      </c>
      <c r="H140" s="22" t="n">
        <f aca="false">F140+G140</f>
        <v>3.77700001001358</v>
      </c>
      <c r="I140" s="13" t="n">
        <f aca="false">INDEX(RM_Rates!$F$5:$F$137,MATCH(C140,RM_Rates!$A$5:$A$137,0))</f>
        <v>1.83595955371857</v>
      </c>
      <c r="J140" s="22" t="n">
        <f aca="false">H140*I140</f>
        <v>6.93441925277956</v>
      </c>
    </row>
    <row r="141" customFormat="false" ht="15" hidden="false" customHeight="false" outlineLevel="0" collapsed="false">
      <c r="A141" s="5" t="s">
        <v>449</v>
      </c>
      <c r="B141" s="2" t="s">
        <v>649</v>
      </c>
      <c r="C141" s="5" t="s">
        <v>70</v>
      </c>
      <c r="D141" s="5" t="s">
        <v>71</v>
      </c>
      <c r="E141" s="5" t="s">
        <v>72</v>
      </c>
      <c r="F141" s="21" t="n">
        <v>4.5</v>
      </c>
      <c r="G141" s="21" t="n">
        <v>0</v>
      </c>
      <c r="H141" s="22" t="n">
        <f aca="false">F141+G141</f>
        <v>4.5</v>
      </c>
      <c r="I141" s="13" t="n">
        <f aca="false">INDEX(RM_Rates!$F$5:$F$137,MATCH(C141,RM_Rates!$A$5:$A$137,0))</f>
        <v>2.86922955513001</v>
      </c>
      <c r="J141" s="22" t="n">
        <f aca="false">H141*I141</f>
        <v>12.911532998085</v>
      </c>
    </row>
    <row r="142" customFormat="false" ht="15" hidden="false" customHeight="false" outlineLevel="0" collapsed="false">
      <c r="A142" s="5" t="s">
        <v>449</v>
      </c>
      <c r="B142" s="2" t="s">
        <v>649</v>
      </c>
      <c r="C142" s="5" t="s">
        <v>202</v>
      </c>
      <c r="D142" s="5" t="s">
        <v>203</v>
      </c>
      <c r="E142" s="5" t="s">
        <v>72</v>
      </c>
      <c r="F142" s="21" t="n">
        <v>1.77999997138977</v>
      </c>
      <c r="G142" s="21" t="n">
        <v>0</v>
      </c>
      <c r="H142" s="22" t="n">
        <f aca="false">F142+G142</f>
        <v>1.77999997138977</v>
      </c>
      <c r="I142" s="13" t="n">
        <f aca="false">INDEX(RM_Rates!$F$5:$F$137,MATCH(C142,RM_Rates!$A$5:$A$137,0))</f>
        <v>0.750177025794983</v>
      </c>
      <c r="J142" s="22" t="n">
        <f aca="false">H142*I142</f>
        <v>1.33531508445233</v>
      </c>
    </row>
    <row r="143" customFormat="false" ht="15" hidden="false" customHeight="false" outlineLevel="0" collapsed="false">
      <c r="A143" s="5" t="s">
        <v>449</v>
      </c>
      <c r="B143" s="2" t="s">
        <v>649</v>
      </c>
      <c r="C143" s="5" t="s">
        <v>193</v>
      </c>
      <c r="D143" s="5" t="s">
        <v>194</v>
      </c>
      <c r="E143" s="5" t="s">
        <v>72</v>
      </c>
      <c r="F143" s="21" t="n">
        <v>260</v>
      </c>
      <c r="G143" s="21" t="n">
        <v>5.19999980926514</v>
      </c>
      <c r="H143" s="22" t="n">
        <f aca="false">F143+G143</f>
        <v>265.199999809265</v>
      </c>
      <c r="I143" s="13" t="n">
        <f aca="false">INDEX(RM_Rates!$F$5:$F$137,MATCH(C143,RM_Rates!$A$5:$A$137,0))</f>
        <v>0.769918501377106</v>
      </c>
      <c r="J143" s="22" t="n">
        <f aca="false">H143*I143</f>
        <v>204.182386418358</v>
      </c>
    </row>
    <row r="144" customFormat="false" ht="15" hidden="false" customHeight="false" outlineLevel="0" collapsed="false">
      <c r="A144" s="5" t="s">
        <v>449</v>
      </c>
      <c r="B144" s="2" t="s">
        <v>649</v>
      </c>
      <c r="C144" s="5" t="s">
        <v>191</v>
      </c>
      <c r="D144" s="5" t="s">
        <v>192</v>
      </c>
      <c r="E144" s="5" t="s">
        <v>72</v>
      </c>
      <c r="F144" s="21" t="n">
        <v>4.15999984741211</v>
      </c>
      <c r="G144" s="21" t="n">
        <v>0.0839999988675118</v>
      </c>
      <c r="H144" s="22" t="n">
        <f aca="false">F144+G144</f>
        <v>4.24399984627962</v>
      </c>
      <c r="I144" s="13" t="n">
        <f aca="false">INDEX(RM_Rates!$F$5:$F$137,MATCH(C144,RM_Rates!$A$5:$A$137,0))</f>
        <v>2.39035940170288</v>
      </c>
      <c r="J144" s="22" t="n">
        <f aca="false">H144*I144</f>
        <v>10.1446849333801</v>
      </c>
    </row>
    <row r="145" customFormat="false" ht="15" hidden="false" customHeight="false" outlineLevel="0" collapsed="false">
      <c r="A145" s="5" t="s">
        <v>449</v>
      </c>
      <c r="B145" s="2" t="s">
        <v>649</v>
      </c>
      <c r="C145" s="5" t="s">
        <v>269</v>
      </c>
      <c r="D145" s="5" t="s">
        <v>270</v>
      </c>
      <c r="E145" s="5" t="s">
        <v>72</v>
      </c>
      <c r="F145" s="21" t="n">
        <v>455.899993896484</v>
      </c>
      <c r="G145" s="21" t="n">
        <v>4.55900001525879</v>
      </c>
      <c r="H145" s="22" t="n">
        <f aca="false">F145+G145</f>
        <v>460.458993911743</v>
      </c>
      <c r="I145" s="13" t="n">
        <f aca="false">INDEX(RM_Rates!$F$5:$F$137,MATCH(C145,RM_Rates!$A$5:$A$137,0))</f>
        <v>0.452080339193344</v>
      </c>
      <c r="J145" s="22" t="n">
        <f aca="false">H145*I145</f>
        <v>208.164458152247</v>
      </c>
    </row>
    <row r="146" customFormat="false" ht="15" hidden="false" customHeight="false" outlineLevel="0" collapsed="false">
      <c r="A146" s="5" t="s">
        <v>449</v>
      </c>
      <c r="B146" s="2" t="s">
        <v>649</v>
      </c>
      <c r="C146" s="5" t="s">
        <v>285</v>
      </c>
      <c r="D146" s="5" t="s">
        <v>286</v>
      </c>
      <c r="E146" s="5" t="s">
        <v>166</v>
      </c>
      <c r="F146" s="21" t="n">
        <v>1</v>
      </c>
      <c r="G146" s="21" t="n">
        <v>0</v>
      </c>
      <c r="H146" s="22" t="n">
        <f aca="false">F146+G146</f>
        <v>1</v>
      </c>
      <c r="I146" s="13" t="n">
        <f aca="false">INDEX(RM_Rates!$F$5:$F$137,MATCH(C146,RM_Rates!$A$5:$A$137,0))</f>
        <v>40.09814453125</v>
      </c>
      <c r="J146" s="22" t="n">
        <f aca="false">H146*I146</f>
        <v>40.09814453125</v>
      </c>
    </row>
    <row r="147" customFormat="false" ht="15" hidden="false" customHeight="false" outlineLevel="0" collapsed="false">
      <c r="A147" s="5" t="s">
        <v>449</v>
      </c>
      <c r="B147" s="2" t="s">
        <v>649</v>
      </c>
      <c r="C147" s="5" t="s">
        <v>169</v>
      </c>
      <c r="D147" s="5" t="s">
        <v>170</v>
      </c>
      <c r="E147" s="5" t="s">
        <v>166</v>
      </c>
      <c r="F147" s="21" t="n">
        <v>2</v>
      </c>
      <c r="G147" s="21" t="n">
        <v>0</v>
      </c>
      <c r="H147" s="22" t="n">
        <f aca="false">F147+G147</f>
        <v>2</v>
      </c>
      <c r="I147" s="13" t="n">
        <f aca="false">INDEX(RM_Rates!$F$5:$F$137,MATCH(C147,RM_Rates!$A$5:$A$137,0))</f>
        <v>0.124766282737255</v>
      </c>
      <c r="J147" s="22" t="n">
        <f aca="false">H147*I147</f>
        <v>0.24953256547451</v>
      </c>
    </row>
    <row r="148" customFormat="false" ht="15" hidden="false" customHeight="false" outlineLevel="0" collapsed="false">
      <c r="A148" s="5" t="s">
        <v>449</v>
      </c>
      <c r="B148" s="2" t="s">
        <v>649</v>
      </c>
      <c r="C148" s="5" t="s">
        <v>308</v>
      </c>
      <c r="D148" s="5" t="s">
        <v>309</v>
      </c>
      <c r="E148" s="5" t="s">
        <v>297</v>
      </c>
      <c r="F148" s="21" t="n">
        <v>4.40000009536743</v>
      </c>
      <c r="G148" s="21" t="n">
        <v>0</v>
      </c>
      <c r="H148" s="22" t="n">
        <f aca="false">F148+G148</f>
        <v>4.40000009536743</v>
      </c>
      <c r="I148" s="13" t="n">
        <f aca="false">INDEX(RM_Rates!$F$5:$F$137,MATCH(C148,RM_Rates!$A$5:$A$137,0))</f>
        <v>1.40752077102661</v>
      </c>
      <c r="J148" s="22" t="n">
        <f aca="false">H148*I148</f>
        <v>6.19309152674872</v>
      </c>
    </row>
    <row r="149" customFormat="false" ht="15" hidden="false" customHeight="false" outlineLevel="0" collapsed="false">
      <c r="A149" s="5" t="s">
        <v>449</v>
      </c>
      <c r="B149" s="2" t="s">
        <v>649</v>
      </c>
      <c r="C149" s="5" t="s">
        <v>189</v>
      </c>
      <c r="D149" s="5" t="s">
        <v>190</v>
      </c>
      <c r="E149" s="5" t="s">
        <v>60</v>
      </c>
      <c r="F149" s="21" t="n">
        <v>0.439999997615814</v>
      </c>
      <c r="G149" s="21" t="n">
        <v>0</v>
      </c>
      <c r="H149" s="22" t="n">
        <f aca="false">F149+G149</f>
        <v>0.439999997615814</v>
      </c>
      <c r="I149" s="13" t="n">
        <f aca="false">INDEX(RM_Rates!$F$5:$F$137,MATCH(C149,RM_Rates!$A$5:$A$137,0))</f>
        <v>0.568400025367737</v>
      </c>
      <c r="J149" s="22" t="n">
        <f aca="false">H149*I149</f>
        <v>0.250096009806633</v>
      </c>
    </row>
    <row r="150" customFormat="false" ht="15" hidden="false" customHeight="false" outlineLevel="0" collapsed="false">
      <c r="A150" s="5" t="s">
        <v>451</v>
      </c>
      <c r="B150" s="2" t="s">
        <v>650</v>
      </c>
      <c r="C150" s="5" t="s">
        <v>116</v>
      </c>
      <c r="D150" s="5" t="s">
        <v>117</v>
      </c>
      <c r="E150" s="5" t="s">
        <v>72</v>
      </c>
      <c r="F150" s="21" t="n">
        <v>2080</v>
      </c>
      <c r="G150" s="21" t="n">
        <v>10.3999996185303</v>
      </c>
      <c r="H150" s="22" t="n">
        <f aca="false">F150+G150</f>
        <v>2090.39999961853</v>
      </c>
      <c r="I150" s="13" t="n">
        <f aca="false">INDEX(RM_Rates!$F$5:$F$137,MATCH(C150,RM_Rates!$A$5:$A$137,0))</f>
        <v>1.968214</v>
      </c>
      <c r="J150" s="22" t="n">
        <f aca="false">H150*I150</f>
        <v>4114.35454484919</v>
      </c>
    </row>
    <row r="151" customFormat="false" ht="15" hidden="false" customHeight="false" outlineLevel="0" collapsed="false">
      <c r="A151" s="5" t="s">
        <v>451</v>
      </c>
      <c r="B151" s="2" t="s">
        <v>650</v>
      </c>
      <c r="C151" s="5" t="s">
        <v>326</v>
      </c>
      <c r="D151" s="5" t="s">
        <v>327</v>
      </c>
      <c r="E151" s="5" t="s">
        <v>72</v>
      </c>
      <c r="F151" s="21" t="n">
        <v>109.800003051758</v>
      </c>
      <c r="G151" s="21" t="n">
        <v>5.48999977111816</v>
      </c>
      <c r="H151" s="22" t="n">
        <f aca="false">F151+G151</f>
        <v>115.290002822876</v>
      </c>
      <c r="I151" s="13" t="n">
        <f aca="false">INDEX(RM_Rates!$F$5:$F$137,MATCH(C151,RM_Rates!$A$5:$A$137,0))</f>
        <v>0.596000015735626</v>
      </c>
      <c r="J151" s="22" t="n">
        <f aca="false">H151*I151</f>
        <v>68.7128434965946</v>
      </c>
    </row>
    <row r="152" customFormat="false" ht="15" hidden="false" customHeight="false" outlineLevel="0" collapsed="false">
      <c r="A152" s="5" t="s">
        <v>451</v>
      </c>
      <c r="B152" s="2" t="s">
        <v>650</v>
      </c>
      <c r="C152" s="5" t="s">
        <v>324</v>
      </c>
      <c r="D152" s="5" t="s">
        <v>325</v>
      </c>
      <c r="E152" s="5" t="s">
        <v>72</v>
      </c>
      <c r="F152" s="21" t="n">
        <v>6.03900003433228</v>
      </c>
      <c r="G152" s="21" t="n">
        <v>0.301999986171722</v>
      </c>
      <c r="H152" s="22" t="n">
        <f aca="false">F152+G152</f>
        <v>6.341000020504</v>
      </c>
      <c r="I152" s="13" t="n">
        <f aca="false">INDEX(RM_Rates!$F$5:$F$137,MATCH(C152,RM_Rates!$A$5:$A$137,0))</f>
        <v>1.35229277610779</v>
      </c>
      <c r="J152" s="22" t="n">
        <f aca="false">H152*I152</f>
        <v>8.57488852102691</v>
      </c>
    </row>
    <row r="153" customFormat="false" ht="15" hidden="false" customHeight="false" outlineLevel="0" collapsed="false">
      <c r="A153" s="5" t="s">
        <v>451</v>
      </c>
      <c r="B153" s="2" t="s">
        <v>650</v>
      </c>
      <c r="C153" s="5" t="s">
        <v>314</v>
      </c>
      <c r="D153" s="5" t="s">
        <v>315</v>
      </c>
      <c r="E153" s="5" t="s">
        <v>72</v>
      </c>
      <c r="F153" s="21" t="n">
        <v>1.64699995517731</v>
      </c>
      <c r="G153" s="21" t="n">
        <v>0.0820000022649765</v>
      </c>
      <c r="H153" s="22" t="n">
        <f aca="false">F153+G153</f>
        <v>1.72899995744229</v>
      </c>
      <c r="I153" s="13" t="n">
        <f aca="false">INDEX(RM_Rates!$F$5:$F$137,MATCH(C153,RM_Rates!$A$5:$A$137,0))</f>
        <v>1.6441433429718</v>
      </c>
      <c r="J153" s="22" t="n">
        <f aca="false">H153*I153</f>
        <v>2.84272377002726</v>
      </c>
    </row>
    <row r="154" customFormat="false" ht="15" hidden="false" customHeight="false" outlineLevel="0" collapsed="false">
      <c r="A154" s="5" t="s">
        <v>451</v>
      </c>
      <c r="B154" s="2" t="s">
        <v>650</v>
      </c>
      <c r="C154" s="5" t="s">
        <v>240</v>
      </c>
      <c r="D154" s="5" t="s">
        <v>241</v>
      </c>
      <c r="E154" s="5" t="s">
        <v>72</v>
      </c>
      <c r="F154" s="21" t="n">
        <v>323</v>
      </c>
      <c r="G154" s="21" t="n">
        <v>6.46000003814697</v>
      </c>
      <c r="H154" s="22" t="n">
        <f aca="false">F154+G154</f>
        <v>329.460000038147</v>
      </c>
      <c r="I154" s="13" t="n">
        <f aca="false">INDEX(RM_Rates!$F$5:$F$137,MATCH(C154,RM_Rates!$A$5:$A$137,0))</f>
        <v>0.363999992609024</v>
      </c>
      <c r="J154" s="22" t="n">
        <f aca="false">H154*I154</f>
        <v>119.923437578855</v>
      </c>
    </row>
    <row r="155" customFormat="false" ht="15" hidden="false" customHeight="false" outlineLevel="0" collapsed="false">
      <c r="A155" s="5" t="s">
        <v>451</v>
      </c>
      <c r="B155" s="2" t="s">
        <v>650</v>
      </c>
      <c r="C155" s="5" t="s">
        <v>73</v>
      </c>
      <c r="D155" s="5" t="s">
        <v>74</v>
      </c>
      <c r="E155" s="5" t="s">
        <v>72</v>
      </c>
      <c r="F155" s="21" t="n">
        <v>237.600006103516</v>
      </c>
      <c r="G155" s="21" t="n">
        <v>2.37599992752075</v>
      </c>
      <c r="H155" s="22" t="n">
        <f aca="false">F155+G155</f>
        <v>239.976006031037</v>
      </c>
      <c r="I155" s="13" t="n">
        <f aca="false">INDEX(RM_Rates!$F$5:$F$137,MATCH(C155,RM_Rates!$A$5:$A$137,0))</f>
        <v>0.967333495616913</v>
      </c>
      <c r="J155" s="22" t="n">
        <f aca="false">H155*I155</f>
        <v>232.136828778188</v>
      </c>
    </row>
    <row r="156" customFormat="false" ht="15" hidden="false" customHeight="false" outlineLevel="0" collapsed="false">
      <c r="A156" s="5" t="s">
        <v>451</v>
      </c>
      <c r="B156" s="2" t="s">
        <v>650</v>
      </c>
      <c r="C156" s="5" t="s">
        <v>287</v>
      </c>
      <c r="D156" s="5" t="s">
        <v>288</v>
      </c>
      <c r="E156" s="5" t="s">
        <v>166</v>
      </c>
      <c r="F156" s="21" t="n">
        <v>1</v>
      </c>
      <c r="G156" s="21" t="n">
        <v>0</v>
      </c>
      <c r="H156" s="22" t="n">
        <f aca="false">F156+G156</f>
        <v>1</v>
      </c>
      <c r="I156" s="13" t="n">
        <f aca="false">INDEX(RM_Rates!$F$5:$F$137,MATCH(C156,RM_Rates!$A$5:$A$137,0))</f>
        <v>57.848518371582</v>
      </c>
      <c r="J156" s="22" t="n">
        <f aca="false">H156*I156</f>
        <v>57.848518371582</v>
      </c>
    </row>
    <row r="157" customFormat="false" ht="15" hidden="false" customHeight="false" outlineLevel="0" collapsed="false">
      <c r="A157" s="5" t="s">
        <v>451</v>
      </c>
      <c r="B157" s="2" t="s">
        <v>650</v>
      </c>
      <c r="C157" s="5" t="s">
        <v>171</v>
      </c>
      <c r="D157" s="5" t="s">
        <v>172</v>
      </c>
      <c r="E157" s="5" t="s">
        <v>166</v>
      </c>
      <c r="F157" s="21" t="n">
        <v>2</v>
      </c>
      <c r="G157" s="21" t="n">
        <v>0</v>
      </c>
      <c r="H157" s="22" t="n">
        <f aca="false">F157+G157</f>
        <v>2</v>
      </c>
      <c r="I157" s="13" t="n">
        <f aca="false">INDEX(RM_Rates!$F$5:$F$137,MATCH(C157,RM_Rates!$A$5:$A$137,0))</f>
        <v>0.124766282737255</v>
      </c>
      <c r="J157" s="22" t="n">
        <f aca="false">H157*I157</f>
        <v>0.24953256547451</v>
      </c>
    </row>
    <row r="158" customFormat="false" ht="15" hidden="false" customHeight="false" outlineLevel="0" collapsed="false">
      <c r="A158" s="5" t="s">
        <v>451</v>
      </c>
      <c r="B158" s="2" t="s">
        <v>650</v>
      </c>
      <c r="C158" s="5" t="s">
        <v>308</v>
      </c>
      <c r="D158" s="5" t="s">
        <v>309</v>
      </c>
      <c r="E158" s="5" t="s">
        <v>297</v>
      </c>
      <c r="F158" s="21" t="n">
        <v>5</v>
      </c>
      <c r="G158" s="21" t="n">
        <v>0</v>
      </c>
      <c r="H158" s="22" t="n">
        <f aca="false">F158+G158</f>
        <v>5</v>
      </c>
      <c r="I158" s="13" t="n">
        <f aca="false">INDEX(RM_Rates!$F$5:$F$137,MATCH(C158,RM_Rates!$A$5:$A$137,0))</f>
        <v>1.40752077102661</v>
      </c>
      <c r="J158" s="22" t="n">
        <f aca="false">H158*I158</f>
        <v>7.03760385513305</v>
      </c>
    </row>
    <row r="159" customFormat="false" ht="15" hidden="false" customHeight="false" outlineLevel="0" collapsed="false">
      <c r="A159" s="5" t="s">
        <v>451</v>
      </c>
      <c r="B159" s="2" t="s">
        <v>650</v>
      </c>
      <c r="C159" s="5" t="s">
        <v>189</v>
      </c>
      <c r="D159" s="5" t="s">
        <v>190</v>
      </c>
      <c r="E159" s="5" t="s">
        <v>60</v>
      </c>
      <c r="F159" s="21" t="n">
        <v>0.5</v>
      </c>
      <c r="G159" s="21" t="n">
        <v>0</v>
      </c>
      <c r="H159" s="22" t="n">
        <f aca="false">F159+G159</f>
        <v>0.5</v>
      </c>
      <c r="I159" s="13" t="n">
        <f aca="false">INDEX(RM_Rates!$F$5:$F$137,MATCH(C159,RM_Rates!$A$5:$A$137,0))</f>
        <v>0.568400025367737</v>
      </c>
      <c r="J159" s="22" t="n">
        <f aca="false">H159*I159</f>
        <v>0.284200012683869</v>
      </c>
    </row>
    <row r="160" customFormat="false" ht="15" hidden="false" customHeight="false" outlineLevel="0" collapsed="false">
      <c r="A160" s="5" t="s">
        <v>455</v>
      </c>
      <c r="B160" s="2" t="s">
        <v>651</v>
      </c>
      <c r="C160" s="5" t="s">
        <v>118</v>
      </c>
      <c r="D160" s="5" t="s">
        <v>119</v>
      </c>
      <c r="E160" s="5" t="s">
        <v>72</v>
      </c>
      <c r="F160" s="21" t="n">
        <v>2610</v>
      </c>
      <c r="G160" s="21" t="n">
        <v>13.0500001907349</v>
      </c>
      <c r="H160" s="22" t="n">
        <f aca="false">F160+G160</f>
        <v>2623.05000019074</v>
      </c>
      <c r="I160" s="13" t="n">
        <f aca="false">INDEX(RM_Rates!$F$5:$F$137,MATCH(C160,RM_Rates!$A$5:$A$137,0))</f>
        <v>1.969372</v>
      </c>
      <c r="J160" s="22" t="n">
        <f aca="false">H160*I160</f>
        <v>5165.76122497563</v>
      </c>
    </row>
    <row r="161" customFormat="false" ht="15" hidden="false" customHeight="false" outlineLevel="0" collapsed="false">
      <c r="A161" s="5" t="s">
        <v>455</v>
      </c>
      <c r="B161" s="2" t="s">
        <v>651</v>
      </c>
      <c r="C161" s="5" t="s">
        <v>326</v>
      </c>
      <c r="D161" s="5" t="s">
        <v>327</v>
      </c>
      <c r="E161" s="5" t="s">
        <v>72</v>
      </c>
      <c r="F161" s="21" t="n">
        <v>129</v>
      </c>
      <c r="G161" s="21" t="n">
        <v>6.44999980926514</v>
      </c>
      <c r="H161" s="22" t="n">
        <f aca="false">F161+G161</f>
        <v>135.449999809265</v>
      </c>
      <c r="I161" s="13" t="n">
        <f aca="false">INDEX(RM_Rates!$F$5:$F$137,MATCH(C161,RM_Rates!$A$5:$A$137,0))</f>
        <v>0.596000015735626</v>
      </c>
      <c r="J161" s="22" t="n">
        <f aca="false">H161*I161</f>
        <v>80.7282020177126</v>
      </c>
    </row>
    <row r="162" customFormat="false" ht="15" hidden="false" customHeight="false" outlineLevel="0" collapsed="false">
      <c r="A162" s="5" t="s">
        <v>455</v>
      </c>
      <c r="B162" s="2" t="s">
        <v>651</v>
      </c>
      <c r="C162" s="5" t="s">
        <v>324</v>
      </c>
      <c r="D162" s="5" t="s">
        <v>325</v>
      </c>
      <c r="E162" s="5" t="s">
        <v>72</v>
      </c>
      <c r="F162" s="21" t="n">
        <v>7.09499979019165</v>
      </c>
      <c r="G162" s="21" t="n">
        <v>0.354999989271164</v>
      </c>
      <c r="H162" s="22" t="n">
        <f aca="false">F162+G162</f>
        <v>7.44999977946281</v>
      </c>
      <c r="I162" s="13" t="n">
        <f aca="false">INDEX(RM_Rates!$F$5:$F$137,MATCH(C162,RM_Rates!$A$5:$A$137,0))</f>
        <v>1.35229277610779</v>
      </c>
      <c r="J162" s="22" t="n">
        <f aca="false">H162*I162</f>
        <v>10.0745808837722</v>
      </c>
    </row>
    <row r="163" customFormat="false" ht="15" hidden="false" customHeight="false" outlineLevel="0" collapsed="false">
      <c r="A163" s="5" t="s">
        <v>455</v>
      </c>
      <c r="B163" s="2" t="s">
        <v>651</v>
      </c>
      <c r="C163" s="5" t="s">
        <v>314</v>
      </c>
      <c r="D163" s="5" t="s">
        <v>315</v>
      </c>
      <c r="E163" s="5" t="s">
        <v>72</v>
      </c>
      <c r="F163" s="21" t="n">
        <v>1.93499994277954</v>
      </c>
      <c r="G163" s="21" t="n">
        <v>0.097000002861023</v>
      </c>
      <c r="H163" s="22" t="n">
        <f aca="false">F163+G163</f>
        <v>2.03199994564056</v>
      </c>
      <c r="I163" s="13" t="n">
        <f aca="false">INDEX(RM_Rates!$F$5:$F$137,MATCH(C163,RM_Rates!$A$5:$A$137,0))</f>
        <v>1.6441433429718</v>
      </c>
      <c r="J163" s="22" t="n">
        <f aca="false">H163*I163</f>
        <v>3.34089918354399</v>
      </c>
    </row>
    <row r="164" customFormat="false" ht="15" hidden="false" customHeight="false" outlineLevel="0" collapsed="false">
      <c r="A164" s="5" t="s">
        <v>455</v>
      </c>
      <c r="B164" s="2" t="s">
        <v>651</v>
      </c>
      <c r="C164" s="5" t="s">
        <v>240</v>
      </c>
      <c r="D164" s="5" t="s">
        <v>241</v>
      </c>
      <c r="E164" s="5" t="s">
        <v>72</v>
      </c>
      <c r="F164" s="21" t="n">
        <v>351.299987792969</v>
      </c>
      <c r="G164" s="21" t="n">
        <v>7.02600002288818</v>
      </c>
      <c r="H164" s="22" t="n">
        <f aca="false">F164+G164</f>
        <v>358.325987815857</v>
      </c>
      <c r="I164" s="13" t="n">
        <f aca="false">INDEX(RM_Rates!$F$5:$F$137,MATCH(C164,RM_Rates!$A$5:$A$137,0))</f>
        <v>0.363999992609024</v>
      </c>
      <c r="J164" s="22" t="n">
        <f aca="false">H164*I164</f>
        <v>130.430656916593</v>
      </c>
    </row>
    <row r="165" customFormat="false" ht="15" hidden="false" customHeight="false" outlineLevel="0" collapsed="false">
      <c r="A165" s="5" t="s">
        <v>455</v>
      </c>
      <c r="B165" s="2" t="s">
        <v>651</v>
      </c>
      <c r="C165" s="5" t="s">
        <v>73</v>
      </c>
      <c r="D165" s="5" t="s">
        <v>74</v>
      </c>
      <c r="E165" s="5" t="s">
        <v>72</v>
      </c>
      <c r="F165" s="21" t="n">
        <v>259.200012207031</v>
      </c>
      <c r="G165" s="21" t="n">
        <v>2.59200000762939</v>
      </c>
      <c r="H165" s="22" t="n">
        <f aca="false">F165+G165</f>
        <v>261.79201221466</v>
      </c>
      <c r="I165" s="13" t="n">
        <f aca="false">INDEX(RM_Rates!$F$5:$F$137,MATCH(C165,RM_Rates!$A$5:$A$137,0))</f>
        <v>0.967333495616913</v>
      </c>
      <c r="J165" s="22" t="n">
        <f aca="false">H165*I165</f>
        <v>253.240182300193</v>
      </c>
    </row>
    <row r="166" customFormat="false" ht="15" hidden="false" customHeight="false" outlineLevel="0" collapsed="false">
      <c r="A166" s="5" t="s">
        <v>455</v>
      </c>
      <c r="B166" s="2" t="s">
        <v>651</v>
      </c>
      <c r="C166" s="5" t="s">
        <v>283</v>
      </c>
      <c r="D166" s="5" t="s">
        <v>284</v>
      </c>
      <c r="E166" s="5" t="s">
        <v>166</v>
      </c>
      <c r="F166" s="21" t="n">
        <v>2</v>
      </c>
      <c r="G166" s="21" t="n">
        <v>0</v>
      </c>
      <c r="H166" s="22" t="n">
        <f aca="false">F166+G166</f>
        <v>2</v>
      </c>
      <c r="I166" s="13" t="n">
        <f aca="false">INDEX(RM_Rates!$F$5:$F$137,MATCH(C166,RM_Rates!$A$5:$A$137,0))</f>
        <v>31.1947288513184</v>
      </c>
      <c r="J166" s="22" t="n">
        <f aca="false">H166*I166</f>
        <v>62.3894577026368</v>
      </c>
    </row>
    <row r="167" customFormat="false" ht="15" hidden="false" customHeight="false" outlineLevel="0" collapsed="false">
      <c r="A167" s="5" t="s">
        <v>455</v>
      </c>
      <c r="B167" s="2" t="s">
        <v>651</v>
      </c>
      <c r="C167" s="5" t="s">
        <v>171</v>
      </c>
      <c r="D167" s="5" t="s">
        <v>172</v>
      </c>
      <c r="E167" s="5" t="s">
        <v>166</v>
      </c>
      <c r="F167" s="21" t="n">
        <v>4</v>
      </c>
      <c r="G167" s="21" t="n">
        <v>0</v>
      </c>
      <c r="H167" s="22" t="n">
        <f aca="false">F167+G167</f>
        <v>4</v>
      </c>
      <c r="I167" s="13" t="n">
        <f aca="false">INDEX(RM_Rates!$F$5:$F$137,MATCH(C167,RM_Rates!$A$5:$A$137,0))</f>
        <v>0.124766282737255</v>
      </c>
      <c r="J167" s="22" t="n">
        <f aca="false">H167*I167</f>
        <v>0.49906513094902</v>
      </c>
    </row>
    <row r="168" customFormat="false" ht="15" hidden="false" customHeight="false" outlineLevel="0" collapsed="false">
      <c r="A168" s="5" t="s">
        <v>455</v>
      </c>
      <c r="B168" s="2" t="s">
        <v>651</v>
      </c>
      <c r="C168" s="5" t="s">
        <v>308</v>
      </c>
      <c r="D168" s="5" t="s">
        <v>309</v>
      </c>
      <c r="E168" s="5" t="s">
        <v>297</v>
      </c>
      <c r="F168" s="21" t="n">
        <v>7.59999990463257</v>
      </c>
      <c r="G168" s="21" t="n">
        <v>0</v>
      </c>
      <c r="H168" s="22" t="n">
        <f aca="false">F168+G168</f>
        <v>7.59999990463257</v>
      </c>
      <c r="I168" s="13" t="n">
        <f aca="false">INDEX(RM_Rates!$F$5:$F$137,MATCH(C168,RM_Rates!$A$5:$A$137,0))</f>
        <v>1.40752077102661</v>
      </c>
      <c r="J168" s="22" t="n">
        <f aca="false">H168*I168</f>
        <v>10.6971577255706</v>
      </c>
    </row>
    <row r="169" customFormat="false" ht="15" hidden="false" customHeight="false" outlineLevel="0" collapsed="false">
      <c r="A169" s="5" t="s">
        <v>455</v>
      </c>
      <c r="B169" s="2" t="s">
        <v>651</v>
      </c>
      <c r="C169" s="5" t="s">
        <v>189</v>
      </c>
      <c r="D169" s="5" t="s">
        <v>190</v>
      </c>
      <c r="E169" s="5" t="s">
        <v>60</v>
      </c>
      <c r="F169" s="21" t="n">
        <v>0.759999990463257</v>
      </c>
      <c r="G169" s="21" t="n">
        <v>0</v>
      </c>
      <c r="H169" s="22" t="n">
        <f aca="false">F169+G169</f>
        <v>0.759999990463257</v>
      </c>
      <c r="I169" s="13" t="n">
        <f aca="false">INDEX(RM_Rates!$F$5:$F$137,MATCH(C169,RM_Rates!$A$5:$A$137,0))</f>
        <v>0.568400025367737</v>
      </c>
      <c r="J169" s="22" t="n">
        <f aca="false">H169*I169</f>
        <v>0.431984013858795</v>
      </c>
    </row>
    <row r="170" customFormat="false" ht="15" hidden="false" customHeight="false" outlineLevel="0" collapsed="false">
      <c r="A170" s="5" t="s">
        <v>457</v>
      </c>
      <c r="B170" s="2" t="s">
        <v>652</v>
      </c>
      <c r="C170" s="5" t="s">
        <v>120</v>
      </c>
      <c r="D170" s="5" t="s">
        <v>121</v>
      </c>
      <c r="E170" s="5" t="s">
        <v>72</v>
      </c>
      <c r="F170" s="21" t="n">
        <v>3337</v>
      </c>
      <c r="G170" s="21" t="n">
        <v>16.6849994659424</v>
      </c>
      <c r="H170" s="22" t="n">
        <f aca="false">F170+G170</f>
        <v>3353.68499946594</v>
      </c>
      <c r="I170" s="13" t="n">
        <f aca="false">INDEX(RM_Rates!$F$5:$F$137,MATCH(C170,RM_Rates!$A$5:$A$137,0))</f>
        <v>1.967828</v>
      </c>
      <c r="J170" s="22" t="n">
        <f aca="false">H170*I170</f>
        <v>6599.47524512907</v>
      </c>
    </row>
    <row r="171" customFormat="false" ht="15" hidden="false" customHeight="false" outlineLevel="0" collapsed="false">
      <c r="A171" s="5" t="s">
        <v>457</v>
      </c>
      <c r="B171" s="2" t="s">
        <v>652</v>
      </c>
      <c r="C171" s="5" t="s">
        <v>326</v>
      </c>
      <c r="D171" s="5" t="s">
        <v>327</v>
      </c>
      <c r="E171" s="5" t="s">
        <v>72</v>
      </c>
      <c r="F171" s="21" t="n">
        <v>163.899993896484</v>
      </c>
      <c r="G171" s="21" t="n">
        <v>8.19499969482422</v>
      </c>
      <c r="H171" s="22" t="n">
        <f aca="false">F171+G171</f>
        <v>172.094993591308</v>
      </c>
      <c r="I171" s="13" t="n">
        <f aca="false">INDEX(RM_Rates!$F$5:$F$137,MATCH(C171,RM_Rates!$A$5:$A$137,0))</f>
        <v>0.596000015735626</v>
      </c>
      <c r="J171" s="22" t="n">
        <f aca="false">H171*I171</f>
        <v>102.568618888442</v>
      </c>
    </row>
    <row r="172" customFormat="false" ht="15" hidden="false" customHeight="false" outlineLevel="0" collapsed="false">
      <c r="A172" s="5" t="s">
        <v>457</v>
      </c>
      <c r="B172" s="2" t="s">
        <v>652</v>
      </c>
      <c r="C172" s="5" t="s">
        <v>324</v>
      </c>
      <c r="D172" s="5" t="s">
        <v>325</v>
      </c>
      <c r="E172" s="5" t="s">
        <v>72</v>
      </c>
      <c r="F172" s="21" t="n">
        <v>9.01449966430664</v>
      </c>
      <c r="G172" s="21" t="n">
        <v>0.45100000500679</v>
      </c>
      <c r="H172" s="22" t="n">
        <f aca="false">F172+G172</f>
        <v>9.46549966931343</v>
      </c>
      <c r="I172" s="13" t="n">
        <f aca="false">INDEX(RM_Rates!$F$5:$F$137,MATCH(C172,RM_Rates!$A$5:$A$137,0))</f>
        <v>1.35229277610779</v>
      </c>
      <c r="J172" s="22" t="n">
        <f aca="false">H172*I172</f>
        <v>12.8001268250632</v>
      </c>
    </row>
    <row r="173" customFormat="false" ht="15" hidden="false" customHeight="false" outlineLevel="0" collapsed="false">
      <c r="A173" s="5" t="s">
        <v>457</v>
      </c>
      <c r="B173" s="2" t="s">
        <v>652</v>
      </c>
      <c r="C173" s="5" t="s">
        <v>314</v>
      </c>
      <c r="D173" s="5" t="s">
        <v>315</v>
      </c>
      <c r="E173" s="5" t="s">
        <v>72</v>
      </c>
      <c r="F173" s="21" t="n">
        <v>1.63900005817413</v>
      </c>
      <c r="G173" s="21" t="n">
        <v>0.0820000022649765</v>
      </c>
      <c r="H173" s="22" t="n">
        <f aca="false">F173+G173</f>
        <v>1.72100006043911</v>
      </c>
      <c r="I173" s="13" t="n">
        <f aca="false">INDEX(RM_Rates!$F$5:$F$137,MATCH(C173,RM_Rates!$A$5:$A$137,0))</f>
        <v>1.6441433429718</v>
      </c>
      <c r="J173" s="22" t="n">
        <f aca="false">H173*I173</f>
        <v>2.82957079262502</v>
      </c>
    </row>
    <row r="174" customFormat="false" ht="15" hidden="false" customHeight="false" outlineLevel="0" collapsed="false">
      <c r="A174" s="5" t="s">
        <v>457</v>
      </c>
      <c r="B174" s="2" t="s">
        <v>652</v>
      </c>
      <c r="C174" s="5" t="s">
        <v>240</v>
      </c>
      <c r="D174" s="5" t="s">
        <v>241</v>
      </c>
      <c r="E174" s="5" t="s">
        <v>72</v>
      </c>
      <c r="F174" s="21" t="n">
        <v>465.099975585938</v>
      </c>
      <c r="G174" s="21" t="n">
        <v>9.30200004577637</v>
      </c>
      <c r="H174" s="22" t="n">
        <f aca="false">F174+G174</f>
        <v>474.401975631714</v>
      </c>
      <c r="I174" s="13" t="n">
        <f aca="false">INDEX(RM_Rates!$F$5:$F$137,MATCH(C174,RM_Rates!$A$5:$A$137,0))</f>
        <v>0.363999992609024</v>
      </c>
      <c r="J174" s="22" t="n">
        <f aca="false">H174*I174</f>
        <v>172.68231562365</v>
      </c>
    </row>
    <row r="175" customFormat="false" ht="15" hidden="false" customHeight="false" outlineLevel="0" collapsed="false">
      <c r="A175" s="5" t="s">
        <v>457</v>
      </c>
      <c r="B175" s="2" t="s">
        <v>652</v>
      </c>
      <c r="C175" s="5" t="s">
        <v>75</v>
      </c>
      <c r="D175" s="5" t="s">
        <v>76</v>
      </c>
      <c r="E175" s="5" t="s">
        <v>72</v>
      </c>
      <c r="F175" s="21" t="n">
        <v>374</v>
      </c>
      <c r="G175" s="21" t="n">
        <v>3.74000000953674</v>
      </c>
      <c r="H175" s="22" t="n">
        <f aca="false">F175+G175</f>
        <v>377.740000009537</v>
      </c>
      <c r="I175" s="13" t="n">
        <f aca="false">INDEX(RM_Rates!$F$5:$F$137,MATCH(C175,RM_Rates!$A$5:$A$137,0))</f>
        <v>0.967333495616913</v>
      </c>
      <c r="J175" s="22" t="n">
        <f aca="false">H175*I175</f>
        <v>365.400554643558</v>
      </c>
    </row>
    <row r="176" customFormat="false" ht="15" hidden="false" customHeight="false" outlineLevel="0" collapsed="false">
      <c r="A176" s="5" t="s">
        <v>457</v>
      </c>
      <c r="B176" s="2" t="s">
        <v>652</v>
      </c>
      <c r="C176" s="5" t="s">
        <v>285</v>
      </c>
      <c r="D176" s="5" t="s">
        <v>286</v>
      </c>
      <c r="E176" s="5" t="s">
        <v>166</v>
      </c>
      <c r="F176" s="21" t="n">
        <v>2</v>
      </c>
      <c r="G176" s="21" t="n">
        <v>0</v>
      </c>
      <c r="H176" s="22" t="n">
        <f aca="false">F176+G176</f>
        <v>2</v>
      </c>
      <c r="I176" s="13" t="n">
        <f aca="false">INDEX(RM_Rates!$F$5:$F$137,MATCH(C176,RM_Rates!$A$5:$A$137,0))</f>
        <v>40.09814453125</v>
      </c>
      <c r="J176" s="22" t="n">
        <f aca="false">H176*I176</f>
        <v>80.1962890625</v>
      </c>
    </row>
    <row r="177" customFormat="false" ht="15" hidden="false" customHeight="false" outlineLevel="0" collapsed="false">
      <c r="A177" s="5" t="s">
        <v>457</v>
      </c>
      <c r="B177" s="2" t="s">
        <v>652</v>
      </c>
      <c r="C177" s="5" t="s">
        <v>173</v>
      </c>
      <c r="D177" s="5" t="s">
        <v>174</v>
      </c>
      <c r="E177" s="5" t="s">
        <v>166</v>
      </c>
      <c r="F177" s="21" t="n">
        <v>4</v>
      </c>
      <c r="G177" s="21" t="n">
        <v>0</v>
      </c>
      <c r="H177" s="22" t="n">
        <f aca="false">F177+G177</f>
        <v>4</v>
      </c>
      <c r="I177" s="13" t="n">
        <f aca="false">INDEX(RM_Rates!$F$5:$F$137,MATCH(C177,RM_Rates!$A$5:$A$137,0))</f>
        <v>0.255849838256836</v>
      </c>
      <c r="J177" s="22" t="n">
        <f aca="false">H177*I177</f>
        <v>1.02339935302734</v>
      </c>
    </row>
    <row r="178" customFormat="false" ht="15" hidden="false" customHeight="false" outlineLevel="0" collapsed="false">
      <c r="A178" s="5" t="s">
        <v>457</v>
      </c>
      <c r="B178" s="2" t="s">
        <v>652</v>
      </c>
      <c r="C178" s="5" t="s">
        <v>308</v>
      </c>
      <c r="D178" s="5" t="s">
        <v>309</v>
      </c>
      <c r="E178" s="5" t="s">
        <v>297</v>
      </c>
      <c r="F178" s="21" t="n">
        <v>8.80000019073486</v>
      </c>
      <c r="G178" s="21" t="n">
        <v>0</v>
      </c>
      <c r="H178" s="22" t="n">
        <f aca="false">F178+G178</f>
        <v>8.80000019073486</v>
      </c>
      <c r="I178" s="13" t="n">
        <f aca="false">INDEX(RM_Rates!$F$5:$F$137,MATCH(C178,RM_Rates!$A$5:$A$137,0))</f>
        <v>1.40752077102661</v>
      </c>
      <c r="J178" s="22" t="n">
        <f aca="false">H178*I178</f>
        <v>12.3861830534974</v>
      </c>
    </row>
    <row r="179" customFormat="false" ht="15" hidden="false" customHeight="false" outlineLevel="0" collapsed="false">
      <c r="A179" s="5" t="s">
        <v>457</v>
      </c>
      <c r="B179" s="2" t="s">
        <v>652</v>
      </c>
      <c r="C179" s="5" t="s">
        <v>189</v>
      </c>
      <c r="D179" s="5" t="s">
        <v>190</v>
      </c>
      <c r="E179" s="5" t="s">
        <v>60</v>
      </c>
      <c r="F179" s="21" t="n">
        <v>0.879999995231628</v>
      </c>
      <c r="G179" s="21" t="n">
        <v>0</v>
      </c>
      <c r="H179" s="22" t="n">
        <f aca="false">F179+G179</f>
        <v>0.879999995231628</v>
      </c>
      <c r="I179" s="13" t="n">
        <f aca="false">INDEX(RM_Rates!$F$5:$F$137,MATCH(C179,RM_Rates!$A$5:$A$137,0))</f>
        <v>0.568400025367737</v>
      </c>
      <c r="J179" s="22" t="n">
        <f aca="false">H179*I179</f>
        <v>0.500192019613266</v>
      </c>
    </row>
    <row r="180" customFormat="false" ht="15" hidden="false" customHeight="false" outlineLevel="0" collapsed="false">
      <c r="A180" s="5" t="s">
        <v>459</v>
      </c>
      <c r="B180" s="2" t="s">
        <v>653</v>
      </c>
      <c r="C180" s="5" t="s">
        <v>122</v>
      </c>
      <c r="D180" s="5" t="s">
        <v>123</v>
      </c>
      <c r="E180" s="5" t="s">
        <v>72</v>
      </c>
      <c r="F180" s="21" t="n">
        <v>5540</v>
      </c>
      <c r="G180" s="21" t="n">
        <v>27.7000007629395</v>
      </c>
      <c r="H180" s="22" t="n">
        <f aca="false">F180+G180</f>
        <v>5567.70000076294</v>
      </c>
      <c r="I180" s="13" t="n">
        <f aca="false">INDEX(RM_Rates!$F$5:$F$137,MATCH(C180,RM_Rates!$A$5:$A$137,0))</f>
        <v>1.967442</v>
      </c>
      <c r="J180" s="22" t="n">
        <f aca="false">H180*I180</f>
        <v>10954.126824901</v>
      </c>
    </row>
    <row r="181" customFormat="false" ht="15" hidden="false" customHeight="false" outlineLevel="0" collapsed="false">
      <c r="A181" s="5" t="s">
        <v>459</v>
      </c>
      <c r="B181" s="2" t="s">
        <v>653</v>
      </c>
      <c r="C181" s="5" t="s">
        <v>326</v>
      </c>
      <c r="D181" s="5" t="s">
        <v>327</v>
      </c>
      <c r="E181" s="5" t="s">
        <v>72</v>
      </c>
      <c r="F181" s="21" t="n">
        <v>248.399993896484</v>
      </c>
      <c r="G181" s="21" t="n">
        <v>12.4200000762939</v>
      </c>
      <c r="H181" s="22" t="n">
        <f aca="false">F181+G181</f>
        <v>260.819993972778</v>
      </c>
      <c r="I181" s="13" t="n">
        <f aca="false">INDEX(RM_Rates!$F$5:$F$137,MATCH(C181,RM_Rates!$A$5:$A$137,0))</f>
        <v>0.596000015735626</v>
      </c>
      <c r="J181" s="22" t="n">
        <f aca="false">H181*I181</f>
        <v>155.448720511942</v>
      </c>
    </row>
    <row r="182" customFormat="false" ht="15" hidden="false" customHeight="false" outlineLevel="0" collapsed="false">
      <c r="A182" s="5" t="s">
        <v>459</v>
      </c>
      <c r="B182" s="2" t="s">
        <v>653</v>
      </c>
      <c r="C182" s="5" t="s">
        <v>324</v>
      </c>
      <c r="D182" s="5" t="s">
        <v>325</v>
      </c>
      <c r="E182" s="5" t="s">
        <v>72</v>
      </c>
      <c r="F182" s="21" t="n">
        <v>13.6619997024536</v>
      </c>
      <c r="G182" s="21" t="n">
        <v>0.683000028133392</v>
      </c>
      <c r="H182" s="22" t="n">
        <f aca="false">F182+G182</f>
        <v>14.344999730587</v>
      </c>
      <c r="I182" s="13" t="n">
        <f aca="false">INDEX(RM_Rates!$F$5:$F$137,MATCH(C182,RM_Rates!$A$5:$A$137,0))</f>
        <v>1.35229277610779</v>
      </c>
      <c r="J182" s="22" t="n">
        <f aca="false">H182*I182</f>
        <v>19.398639508941</v>
      </c>
    </row>
    <row r="183" customFormat="false" ht="15" hidden="false" customHeight="false" outlineLevel="0" collapsed="false">
      <c r="A183" s="5" t="s">
        <v>459</v>
      </c>
      <c r="B183" s="2" t="s">
        <v>653</v>
      </c>
      <c r="C183" s="5" t="s">
        <v>314</v>
      </c>
      <c r="D183" s="5" t="s">
        <v>315</v>
      </c>
      <c r="E183" s="5" t="s">
        <v>72</v>
      </c>
      <c r="F183" s="21" t="n">
        <v>3.7260000705719</v>
      </c>
      <c r="G183" s="21" t="n">
        <v>0.186000004410744</v>
      </c>
      <c r="H183" s="22" t="n">
        <f aca="false">F183+G183</f>
        <v>3.91200007498264</v>
      </c>
      <c r="I183" s="13" t="n">
        <f aca="false">INDEX(RM_Rates!$F$5:$F$137,MATCH(C183,RM_Rates!$A$5:$A$137,0))</f>
        <v>1.6441433429718</v>
      </c>
      <c r="J183" s="22" t="n">
        <f aca="false">H183*I183</f>
        <v>6.4318888809879</v>
      </c>
    </row>
    <row r="184" customFormat="false" ht="15" hidden="false" customHeight="false" outlineLevel="0" collapsed="false">
      <c r="A184" s="5" t="s">
        <v>459</v>
      </c>
      <c r="B184" s="2" t="s">
        <v>653</v>
      </c>
      <c r="C184" s="5" t="s">
        <v>240</v>
      </c>
      <c r="D184" s="5" t="s">
        <v>241</v>
      </c>
      <c r="E184" s="5" t="s">
        <v>72</v>
      </c>
      <c r="F184" s="21" t="n">
        <v>607.699951171875</v>
      </c>
      <c r="G184" s="21" t="n">
        <v>12.1539993286133</v>
      </c>
      <c r="H184" s="22" t="n">
        <f aca="false">F184+G184</f>
        <v>619.853950500488</v>
      </c>
      <c r="I184" s="13" t="n">
        <f aca="false">INDEX(RM_Rates!$F$5:$F$137,MATCH(C184,RM_Rates!$A$5:$A$137,0))</f>
        <v>0.363999992609024</v>
      </c>
      <c r="J184" s="22" t="n">
        <f aca="false">H184*I184</f>
        <v>225.626833400852</v>
      </c>
    </row>
    <row r="185" customFormat="false" ht="15" hidden="false" customHeight="false" outlineLevel="0" collapsed="false">
      <c r="A185" s="5" t="s">
        <v>459</v>
      </c>
      <c r="B185" s="2" t="s">
        <v>653</v>
      </c>
      <c r="C185" s="5" t="s">
        <v>75</v>
      </c>
      <c r="D185" s="5" t="s">
        <v>76</v>
      </c>
      <c r="E185" s="5" t="s">
        <v>72</v>
      </c>
      <c r="F185" s="21" t="n">
        <v>467.5</v>
      </c>
      <c r="G185" s="21" t="n">
        <v>4.67500019073486</v>
      </c>
      <c r="H185" s="22" t="n">
        <f aca="false">F185+G185</f>
        <v>472.175000190735</v>
      </c>
      <c r="I185" s="13" t="n">
        <f aca="false">INDEX(RM_Rates!$F$5:$F$137,MATCH(C185,RM_Rates!$A$5:$A$137,0))</f>
        <v>0.967333495616913</v>
      </c>
      <c r="J185" s="22" t="n">
        <f aca="false">H185*I185</f>
        <v>456.75069347742</v>
      </c>
    </row>
    <row r="186" customFormat="false" ht="15" hidden="false" customHeight="false" outlineLevel="0" collapsed="false">
      <c r="A186" s="5" t="s">
        <v>459</v>
      </c>
      <c r="B186" s="2" t="s">
        <v>653</v>
      </c>
      <c r="C186" s="5" t="s">
        <v>253</v>
      </c>
      <c r="D186" s="5" t="s">
        <v>254</v>
      </c>
      <c r="E186" s="5" t="s">
        <v>166</v>
      </c>
      <c r="F186" s="21" t="n">
        <v>2</v>
      </c>
      <c r="G186" s="21" t="n">
        <v>0</v>
      </c>
      <c r="H186" s="22" t="n">
        <f aca="false">F186+G186</f>
        <v>2</v>
      </c>
      <c r="I186" s="13" t="n">
        <f aca="false">INDEX(RM_Rates!$F$5:$F$137,MATCH(C186,RM_Rates!$A$5:$A$137,0))</f>
        <v>90.4160690307617</v>
      </c>
      <c r="J186" s="22" t="n">
        <f aca="false">H186*I186</f>
        <v>180.832138061523</v>
      </c>
    </row>
    <row r="187" customFormat="false" ht="15" hidden="false" customHeight="false" outlineLevel="0" collapsed="false">
      <c r="A187" s="5" t="s">
        <v>459</v>
      </c>
      <c r="B187" s="2" t="s">
        <v>653</v>
      </c>
      <c r="C187" s="5" t="s">
        <v>173</v>
      </c>
      <c r="D187" s="5" t="s">
        <v>174</v>
      </c>
      <c r="E187" s="5" t="s">
        <v>166</v>
      </c>
      <c r="F187" s="21" t="n">
        <v>4</v>
      </c>
      <c r="G187" s="21" t="n">
        <v>0</v>
      </c>
      <c r="H187" s="22" t="n">
        <f aca="false">F187+G187</f>
        <v>4</v>
      </c>
      <c r="I187" s="13" t="n">
        <f aca="false">INDEX(RM_Rates!$F$5:$F$137,MATCH(C187,RM_Rates!$A$5:$A$137,0))</f>
        <v>0.255849838256836</v>
      </c>
      <c r="J187" s="22" t="n">
        <f aca="false">H187*I187</f>
        <v>1.02339935302734</v>
      </c>
    </row>
    <row r="188" customFormat="false" ht="15" hidden="false" customHeight="false" outlineLevel="0" collapsed="false">
      <c r="A188" s="5" t="s">
        <v>459</v>
      </c>
      <c r="B188" s="2" t="s">
        <v>653</v>
      </c>
      <c r="C188" s="5" t="s">
        <v>310</v>
      </c>
      <c r="D188" s="5" t="s">
        <v>311</v>
      </c>
      <c r="E188" s="5" t="s">
        <v>297</v>
      </c>
      <c r="F188" s="21" t="n">
        <v>11.3999996185303</v>
      </c>
      <c r="G188" s="21" t="n">
        <v>0</v>
      </c>
      <c r="H188" s="22" t="n">
        <f aca="false">F188+G188</f>
        <v>11.3999996185303</v>
      </c>
      <c r="I188" s="13" t="n">
        <f aca="false">INDEX(RM_Rates!$F$5:$F$137,MATCH(C188,RM_Rates!$A$5:$A$137,0))</f>
        <v>1.40752077102661</v>
      </c>
      <c r="J188" s="22" t="n">
        <f aca="false">H188*I188</f>
        <v>16.0457362527768</v>
      </c>
    </row>
    <row r="189" customFormat="false" ht="15" hidden="false" customHeight="false" outlineLevel="0" collapsed="false">
      <c r="A189" s="5" t="s">
        <v>459</v>
      </c>
      <c r="B189" s="2" t="s">
        <v>653</v>
      </c>
      <c r="C189" s="5" t="s">
        <v>189</v>
      </c>
      <c r="D189" s="5" t="s">
        <v>190</v>
      </c>
      <c r="E189" s="5" t="s">
        <v>60</v>
      </c>
      <c r="F189" s="21" t="n">
        <v>1.17999994754791</v>
      </c>
      <c r="G189" s="21" t="n">
        <v>0</v>
      </c>
      <c r="H189" s="22" t="n">
        <f aca="false">F189+G189</f>
        <v>1.17999994754791</v>
      </c>
      <c r="I189" s="13" t="n">
        <f aca="false">INDEX(RM_Rates!$F$5:$F$137,MATCH(C189,RM_Rates!$A$5:$A$137,0))</f>
        <v>0.568400025367737</v>
      </c>
      <c r="J189" s="22" t="n">
        <f aca="false">H189*I189</f>
        <v>0.67071200012016</v>
      </c>
    </row>
    <row r="190" customFormat="false" ht="15" hidden="false" customHeight="false" outlineLevel="0" collapsed="false">
      <c r="A190" s="5" t="s">
        <v>461</v>
      </c>
      <c r="B190" s="2" t="s">
        <v>654</v>
      </c>
      <c r="C190" s="5" t="s">
        <v>120</v>
      </c>
      <c r="D190" s="5" t="s">
        <v>121</v>
      </c>
      <c r="E190" s="5" t="s">
        <v>72</v>
      </c>
      <c r="F190" s="21" t="n">
        <v>3337</v>
      </c>
      <c r="G190" s="21" t="n">
        <v>16.6849994659424</v>
      </c>
      <c r="H190" s="22" t="n">
        <f aca="false">F190+G190</f>
        <v>3353.68499946594</v>
      </c>
      <c r="I190" s="13" t="n">
        <f aca="false">INDEX(RM_Rates!$F$5:$F$137,MATCH(C190,RM_Rates!$A$5:$A$137,0))</f>
        <v>1.967828</v>
      </c>
      <c r="J190" s="22" t="n">
        <f aca="false">H190*I190</f>
        <v>6599.47524512907</v>
      </c>
    </row>
    <row r="191" customFormat="false" ht="15" hidden="false" customHeight="false" outlineLevel="0" collapsed="false">
      <c r="A191" s="5" t="s">
        <v>461</v>
      </c>
      <c r="B191" s="2" t="s">
        <v>654</v>
      </c>
      <c r="C191" s="5" t="s">
        <v>250</v>
      </c>
      <c r="D191" s="5" t="s">
        <v>251</v>
      </c>
      <c r="E191" s="5" t="s">
        <v>252</v>
      </c>
      <c r="F191" s="21" t="n">
        <v>150</v>
      </c>
      <c r="G191" s="21" t="n">
        <v>3.60500001907349</v>
      </c>
      <c r="H191" s="22" t="n">
        <f aca="false">F191+G191</f>
        <v>153.605000019074</v>
      </c>
      <c r="I191" s="13" t="n">
        <f aca="false">INDEX(RM_Rates!$F$5:$F$137,MATCH(C191,RM_Rates!$A$5:$A$137,0))</f>
        <v>0.493537485599518</v>
      </c>
      <c r="J191" s="22" t="n">
        <f aca="false">H191*I191</f>
        <v>75.8098254849274</v>
      </c>
    </row>
    <row r="192" customFormat="false" ht="15" hidden="false" customHeight="false" outlineLevel="0" collapsed="false">
      <c r="A192" s="5" t="s">
        <v>461</v>
      </c>
      <c r="B192" s="2" t="s">
        <v>654</v>
      </c>
      <c r="C192" s="5" t="s">
        <v>328</v>
      </c>
      <c r="D192" s="5" t="s">
        <v>329</v>
      </c>
      <c r="E192" s="5" t="s">
        <v>72</v>
      </c>
      <c r="F192" s="21" t="n">
        <v>172.785003662109</v>
      </c>
      <c r="G192" s="21" t="n">
        <v>8.63899993896484</v>
      </c>
      <c r="H192" s="22" t="n">
        <f aca="false">F192+G192</f>
        <v>181.424003601074</v>
      </c>
      <c r="I192" s="13" t="n">
        <f aca="false">INDEX(RM_Rates!$F$5:$F$137,MATCH(C192,RM_Rates!$A$5:$A$137,0))</f>
        <v>0.821246385574341</v>
      </c>
      <c r="J192" s="22" t="n">
        <f aca="false">H192*I192</f>
        <v>148.993807213808</v>
      </c>
    </row>
    <row r="193" customFormat="false" ht="15" hidden="false" customHeight="false" outlineLevel="0" collapsed="false">
      <c r="A193" s="5" t="s">
        <v>461</v>
      </c>
      <c r="B193" s="2" t="s">
        <v>654</v>
      </c>
      <c r="C193" s="5" t="s">
        <v>312</v>
      </c>
      <c r="D193" s="5" t="s">
        <v>313</v>
      </c>
      <c r="E193" s="5" t="s">
        <v>72</v>
      </c>
      <c r="F193" s="21" t="n">
        <v>817.299987792969</v>
      </c>
      <c r="G193" s="21" t="n">
        <v>40.8650016784668</v>
      </c>
      <c r="H193" s="22" t="n">
        <f aca="false">F193+G193</f>
        <v>858.164989471436</v>
      </c>
      <c r="I193" s="13" t="n">
        <f aca="false">INDEX(RM_Rates!$F$5:$F$137,MATCH(C193,RM_Rates!$A$5:$A$137,0))</f>
        <v>0.600000023841858</v>
      </c>
      <c r="J193" s="22" t="n">
        <f aca="false">H193*I193</f>
        <v>514.899014143109</v>
      </c>
    </row>
    <row r="194" customFormat="false" ht="15" hidden="false" customHeight="false" outlineLevel="0" collapsed="false">
      <c r="A194" s="5" t="s">
        <v>461</v>
      </c>
      <c r="B194" s="2" t="s">
        <v>654</v>
      </c>
      <c r="C194" s="5" t="s">
        <v>162</v>
      </c>
      <c r="D194" s="5" t="s">
        <v>163</v>
      </c>
      <c r="E194" s="5" t="s">
        <v>72</v>
      </c>
      <c r="F194" s="21" t="n">
        <v>65.6999969482422</v>
      </c>
      <c r="G194" s="21" t="n">
        <v>0.657000005245209</v>
      </c>
      <c r="H194" s="22" t="n">
        <f aca="false">F194+G194</f>
        <v>66.3569969534874</v>
      </c>
      <c r="I194" s="13" t="n">
        <f aca="false">INDEX(RM_Rates!$F$5:$F$137,MATCH(C194,RM_Rates!$A$5:$A$137,0))</f>
        <v>3.00841188430786</v>
      </c>
      <c r="J194" s="22" t="n">
        <f aca="false">H194*I194</f>
        <v>199.629178241852</v>
      </c>
    </row>
    <row r="195" customFormat="false" ht="15" hidden="false" customHeight="false" outlineLevel="0" collapsed="false">
      <c r="A195" s="5" t="s">
        <v>461</v>
      </c>
      <c r="B195" s="2" t="s">
        <v>654</v>
      </c>
      <c r="C195" s="5" t="s">
        <v>212</v>
      </c>
      <c r="D195" s="5" t="s">
        <v>213</v>
      </c>
      <c r="E195" s="5" t="s">
        <v>72</v>
      </c>
      <c r="F195" s="21" t="n">
        <v>15.3999996185303</v>
      </c>
      <c r="G195" s="21" t="n">
        <v>0</v>
      </c>
      <c r="H195" s="22" t="n">
        <f aca="false">F195+G195</f>
        <v>15.3999996185303</v>
      </c>
      <c r="I195" s="13" t="n">
        <f aca="false">INDEX(RM_Rates!$F$5:$F$137,MATCH(C195,RM_Rates!$A$5:$A$137,0))</f>
        <v>0.750177025794983</v>
      </c>
      <c r="J195" s="22" t="n">
        <f aca="false">H195*I195</f>
        <v>11.5527259110729</v>
      </c>
    </row>
    <row r="196" customFormat="false" ht="15" hidden="false" customHeight="false" outlineLevel="0" collapsed="false">
      <c r="A196" s="5" t="s">
        <v>461</v>
      </c>
      <c r="B196" s="2" t="s">
        <v>654</v>
      </c>
      <c r="C196" s="5" t="s">
        <v>246</v>
      </c>
      <c r="D196" s="5" t="s">
        <v>247</v>
      </c>
      <c r="E196" s="5" t="s">
        <v>72</v>
      </c>
      <c r="F196" s="21" t="n">
        <v>833.640014648438</v>
      </c>
      <c r="G196" s="21" t="n">
        <v>2.08400011062622</v>
      </c>
      <c r="H196" s="22" t="n">
        <f aca="false">F196+G196</f>
        <v>835.724014759064</v>
      </c>
      <c r="I196" s="13" t="n">
        <f aca="false">INDEX(RM_Rates!$F$5:$F$137,MATCH(C196,RM_Rates!$A$5:$A$137,0))</f>
        <v>0.420493960380554</v>
      </c>
      <c r="J196" s="22" t="n">
        <f aca="false">H196*I196</f>
        <v>351.416900751175</v>
      </c>
    </row>
    <row r="197" customFormat="false" ht="15" hidden="false" customHeight="false" outlineLevel="0" collapsed="false">
      <c r="A197" s="5" t="s">
        <v>461</v>
      </c>
      <c r="B197" s="2" t="s">
        <v>654</v>
      </c>
      <c r="C197" s="5" t="s">
        <v>232</v>
      </c>
      <c r="D197" s="5" t="s">
        <v>233</v>
      </c>
      <c r="E197" s="5" t="s">
        <v>72</v>
      </c>
      <c r="F197" s="21" t="n">
        <v>13.3382396697998</v>
      </c>
      <c r="G197" s="21" t="n">
        <v>0.0329999998211861</v>
      </c>
      <c r="H197" s="22" t="n">
        <f aca="false">F197+G197</f>
        <v>13.371239669621</v>
      </c>
      <c r="I197" s="13" t="n">
        <f aca="false">INDEX(RM_Rates!$F$5:$F$137,MATCH(C197,RM_Rates!$A$5:$A$137,0))</f>
        <v>1.45200002193451</v>
      </c>
      <c r="J197" s="22" t="n">
        <f aca="false">H197*I197</f>
        <v>19.4150402935813</v>
      </c>
    </row>
    <row r="198" customFormat="false" ht="15" hidden="false" customHeight="false" outlineLevel="0" collapsed="false">
      <c r="A198" s="5" t="s">
        <v>461</v>
      </c>
      <c r="B198" s="2" t="s">
        <v>654</v>
      </c>
      <c r="C198" s="5" t="s">
        <v>77</v>
      </c>
      <c r="D198" s="5" t="s">
        <v>78</v>
      </c>
      <c r="E198" s="5" t="s">
        <v>72</v>
      </c>
      <c r="F198" s="21" t="n">
        <v>725.400024414063</v>
      </c>
      <c r="G198" s="21" t="n">
        <v>7.25400018692017</v>
      </c>
      <c r="H198" s="22" t="n">
        <f aca="false">F198+G198</f>
        <v>732.654024600983</v>
      </c>
      <c r="I198" s="13" t="n">
        <f aca="false">INDEX(RM_Rates!$F$5:$F$137,MATCH(C198,RM_Rates!$A$5:$A$137,0))</f>
        <v>0.967333495616913</v>
      </c>
      <c r="J198" s="22" t="n">
        <f aca="false">H198*I198</f>
        <v>708.720778695069</v>
      </c>
    </row>
    <row r="199" customFormat="false" ht="15" hidden="false" customHeight="false" outlineLevel="0" collapsed="false">
      <c r="A199" s="5" t="s">
        <v>461</v>
      </c>
      <c r="B199" s="2" t="s">
        <v>654</v>
      </c>
      <c r="C199" s="5" t="s">
        <v>255</v>
      </c>
      <c r="D199" s="5" t="s">
        <v>256</v>
      </c>
      <c r="E199" s="5" t="s">
        <v>166</v>
      </c>
      <c r="F199" s="21" t="n">
        <v>2</v>
      </c>
      <c r="G199" s="21" t="n">
        <v>0</v>
      </c>
      <c r="H199" s="22" t="n">
        <f aca="false">F199+G199</f>
        <v>2</v>
      </c>
      <c r="I199" s="13" t="n">
        <f aca="false">INDEX(RM_Rates!$F$5:$F$137,MATCH(C199,RM_Rates!$A$5:$A$137,0))</f>
        <v>114.500701904297</v>
      </c>
      <c r="J199" s="22" t="n">
        <f aca="false">H199*I199</f>
        <v>229.001403808594</v>
      </c>
    </row>
    <row r="200" customFormat="false" ht="15" hidden="false" customHeight="false" outlineLevel="0" collapsed="false">
      <c r="A200" s="5" t="s">
        <v>461</v>
      </c>
      <c r="B200" s="2" t="s">
        <v>654</v>
      </c>
      <c r="C200" s="5" t="s">
        <v>175</v>
      </c>
      <c r="D200" s="5" t="s">
        <v>176</v>
      </c>
      <c r="E200" s="5" t="s">
        <v>166</v>
      </c>
      <c r="F200" s="21" t="n">
        <v>4</v>
      </c>
      <c r="G200" s="21" t="n">
        <v>0</v>
      </c>
      <c r="H200" s="22" t="n">
        <f aca="false">F200+G200</f>
        <v>4</v>
      </c>
      <c r="I200" s="13" t="n">
        <f aca="false">INDEX(RM_Rates!$F$5:$F$137,MATCH(C200,RM_Rates!$A$5:$A$137,0))</f>
        <v>0.39300000667572</v>
      </c>
      <c r="J200" s="22" t="n">
        <f aca="false">H200*I200</f>
        <v>1.57200002670288</v>
      </c>
    </row>
    <row r="201" customFormat="false" ht="15" hidden="false" customHeight="false" outlineLevel="0" collapsed="false">
      <c r="A201" s="5" t="s">
        <v>461</v>
      </c>
      <c r="B201" s="2" t="s">
        <v>654</v>
      </c>
      <c r="C201" s="5" t="s">
        <v>189</v>
      </c>
      <c r="D201" s="5" t="s">
        <v>190</v>
      </c>
      <c r="E201" s="5" t="s">
        <v>60</v>
      </c>
      <c r="F201" s="21" t="n">
        <v>1.53999996185303</v>
      </c>
      <c r="G201" s="21" t="n">
        <v>0</v>
      </c>
      <c r="H201" s="22" t="n">
        <f aca="false">F201+G201</f>
        <v>1.53999996185303</v>
      </c>
      <c r="I201" s="13" t="n">
        <f aca="false">INDEX(RM_Rates!$F$5:$F$137,MATCH(C201,RM_Rates!$A$5:$A$137,0))</f>
        <v>0.568400025367737</v>
      </c>
      <c r="J201" s="22" t="n">
        <f aca="false">H201*I201</f>
        <v>0.875336017383576</v>
      </c>
    </row>
    <row r="202" customFormat="false" ht="15" hidden="false" customHeight="false" outlineLevel="0" collapsed="false">
      <c r="A202" s="5" t="s">
        <v>461</v>
      </c>
      <c r="B202" s="2" t="s">
        <v>654</v>
      </c>
      <c r="C202" s="5" t="s">
        <v>295</v>
      </c>
      <c r="D202" s="5" t="s">
        <v>296</v>
      </c>
      <c r="E202" s="5" t="s">
        <v>297</v>
      </c>
      <c r="F202" s="21" t="n">
        <v>12.6000003814697</v>
      </c>
      <c r="G202" s="21" t="n">
        <v>0</v>
      </c>
      <c r="H202" s="22" t="n">
        <f aca="false">F202+G202</f>
        <v>12.6000003814697</v>
      </c>
      <c r="I202" s="13" t="n">
        <f aca="false">INDEX(RM_Rates!$F$5:$F$137,MATCH(C202,RM_Rates!$A$5:$A$137,0))</f>
        <v>1.40752077102661</v>
      </c>
      <c r="J202" s="22" t="n">
        <f aca="false">H202*I202</f>
        <v>17.7347622518618</v>
      </c>
    </row>
    <row r="203" customFormat="false" ht="15" hidden="false" customHeight="false" outlineLevel="0" collapsed="false">
      <c r="A203" s="5" t="s">
        <v>467</v>
      </c>
      <c r="B203" s="2" t="s">
        <v>655</v>
      </c>
      <c r="C203" s="5" t="s">
        <v>122</v>
      </c>
      <c r="D203" s="5" t="s">
        <v>123</v>
      </c>
      <c r="E203" s="5" t="s">
        <v>72</v>
      </c>
      <c r="F203" s="21" t="n">
        <v>5540</v>
      </c>
      <c r="G203" s="21" t="n">
        <v>27.7000007629395</v>
      </c>
      <c r="H203" s="22" t="n">
        <f aca="false">F203+G203</f>
        <v>5567.70000076294</v>
      </c>
      <c r="I203" s="13" t="n">
        <f aca="false">INDEX(RM_Rates!$F$5:$F$137,MATCH(C203,RM_Rates!$A$5:$A$137,0))</f>
        <v>1.967442</v>
      </c>
      <c r="J203" s="22" t="n">
        <f aca="false">H203*I203</f>
        <v>10954.126824901</v>
      </c>
    </row>
    <row r="204" customFormat="false" ht="15" hidden="false" customHeight="false" outlineLevel="0" collapsed="false">
      <c r="A204" s="5" t="s">
        <v>467</v>
      </c>
      <c r="B204" s="2" t="s">
        <v>655</v>
      </c>
      <c r="C204" s="5" t="s">
        <v>250</v>
      </c>
      <c r="D204" s="5" t="s">
        <v>251</v>
      </c>
      <c r="E204" s="5" t="s">
        <v>252</v>
      </c>
      <c r="F204" s="21" t="n">
        <v>191</v>
      </c>
      <c r="G204" s="21" t="n">
        <v>4.55499982833862</v>
      </c>
      <c r="H204" s="22" t="n">
        <f aca="false">F204+G204</f>
        <v>195.554999828339</v>
      </c>
      <c r="I204" s="13" t="n">
        <f aca="false">INDEX(RM_Rates!$F$5:$F$137,MATCH(C204,RM_Rates!$A$5:$A$137,0))</f>
        <v>0.493537485599518</v>
      </c>
      <c r="J204" s="22" t="n">
        <f aca="false">H204*I204</f>
        <v>96.5137229116924</v>
      </c>
    </row>
    <row r="205" customFormat="false" ht="15" hidden="false" customHeight="false" outlineLevel="0" collapsed="false">
      <c r="A205" s="5" t="s">
        <v>467</v>
      </c>
      <c r="B205" s="2" t="s">
        <v>655</v>
      </c>
      <c r="C205" s="5" t="s">
        <v>328</v>
      </c>
      <c r="D205" s="5" t="s">
        <v>329</v>
      </c>
      <c r="E205" s="5" t="s">
        <v>72</v>
      </c>
      <c r="F205" s="21" t="n">
        <v>206.81298828125</v>
      </c>
      <c r="G205" s="21" t="n">
        <v>10.3409996032715</v>
      </c>
      <c r="H205" s="22" t="n">
        <f aca="false">F205+G205</f>
        <v>217.153987884522</v>
      </c>
      <c r="I205" s="13" t="n">
        <f aca="false">INDEX(RM_Rates!$F$5:$F$137,MATCH(C205,RM_Rates!$A$5:$A$137,0))</f>
        <v>0.821246385574341</v>
      </c>
      <c r="J205" s="22" t="n">
        <f aca="false">H205*I205</f>
        <v>178.336927663218</v>
      </c>
    </row>
    <row r="206" customFormat="false" ht="15" hidden="false" customHeight="false" outlineLevel="0" collapsed="false">
      <c r="A206" s="5" t="s">
        <v>467</v>
      </c>
      <c r="B206" s="2" t="s">
        <v>655</v>
      </c>
      <c r="C206" s="5" t="s">
        <v>312</v>
      </c>
      <c r="D206" s="5" t="s">
        <v>313</v>
      </c>
      <c r="E206" s="5" t="s">
        <v>72</v>
      </c>
      <c r="F206" s="21" t="n">
        <v>976.799987792969</v>
      </c>
      <c r="G206" s="21" t="n">
        <v>48.8400001525879</v>
      </c>
      <c r="H206" s="22" t="n">
        <f aca="false">F206+G206</f>
        <v>1025.63998794556</v>
      </c>
      <c r="I206" s="13" t="n">
        <f aca="false">INDEX(RM_Rates!$F$5:$F$137,MATCH(C206,RM_Rates!$A$5:$A$137,0))</f>
        <v>0.600000023841858</v>
      </c>
      <c r="J206" s="22" t="n">
        <f aca="false">H206*I206</f>
        <v>615.384017220497</v>
      </c>
    </row>
    <row r="207" customFormat="false" ht="15" hidden="false" customHeight="false" outlineLevel="0" collapsed="false">
      <c r="A207" s="5" t="s">
        <v>467</v>
      </c>
      <c r="B207" s="2" t="s">
        <v>655</v>
      </c>
      <c r="C207" s="5" t="s">
        <v>162</v>
      </c>
      <c r="D207" s="5" t="s">
        <v>163</v>
      </c>
      <c r="E207" s="5" t="s">
        <v>72</v>
      </c>
      <c r="F207" s="21" t="n">
        <v>75.6999969482422</v>
      </c>
      <c r="G207" s="21" t="n">
        <v>0.757000029087067</v>
      </c>
      <c r="H207" s="22" t="n">
        <f aca="false">F207+G207</f>
        <v>76.4569969773293</v>
      </c>
      <c r="I207" s="13" t="n">
        <f aca="false">INDEX(RM_Rates!$F$5:$F$137,MATCH(C207,RM_Rates!$A$5:$A$137,0))</f>
        <v>3.00841188430786</v>
      </c>
      <c r="J207" s="22" t="n">
        <f aca="false">H207*I207</f>
        <v>230.014138345088</v>
      </c>
    </row>
    <row r="208" customFormat="false" ht="15" hidden="false" customHeight="false" outlineLevel="0" collapsed="false">
      <c r="A208" s="5" t="s">
        <v>467</v>
      </c>
      <c r="B208" s="2" t="s">
        <v>655</v>
      </c>
      <c r="C208" s="5" t="s">
        <v>212</v>
      </c>
      <c r="D208" s="5" t="s">
        <v>213</v>
      </c>
      <c r="E208" s="5" t="s">
        <v>72</v>
      </c>
      <c r="F208" s="21" t="n">
        <v>17.7000007629395</v>
      </c>
      <c r="G208" s="21" t="n">
        <v>0</v>
      </c>
      <c r="H208" s="22" t="n">
        <f aca="false">F208+G208</f>
        <v>17.7000007629395</v>
      </c>
      <c r="I208" s="13" t="n">
        <f aca="false">INDEX(RM_Rates!$F$5:$F$137,MATCH(C208,RM_Rates!$A$5:$A$137,0))</f>
        <v>0.750177025794983</v>
      </c>
      <c r="J208" s="22" t="n">
        <f aca="false">H208*I208</f>
        <v>13.2781339289109</v>
      </c>
    </row>
    <row r="209" customFormat="false" ht="15" hidden="false" customHeight="false" outlineLevel="0" collapsed="false">
      <c r="A209" s="5" t="s">
        <v>467</v>
      </c>
      <c r="B209" s="2" t="s">
        <v>655</v>
      </c>
      <c r="C209" s="5" t="s">
        <v>246</v>
      </c>
      <c r="D209" s="5" t="s">
        <v>247</v>
      </c>
      <c r="E209" s="5" t="s">
        <v>72</v>
      </c>
      <c r="F209" s="21" t="n">
        <v>1028.86999511719</v>
      </c>
      <c r="G209" s="21" t="n">
        <v>2.57200002670288</v>
      </c>
      <c r="H209" s="22" t="n">
        <f aca="false">F209+G209</f>
        <v>1031.44199514389</v>
      </c>
      <c r="I209" s="13" t="n">
        <f aca="false">INDEX(RM_Rates!$F$5:$F$137,MATCH(C209,RM_Rates!$A$5:$A$137,0))</f>
        <v>0.420493960380554</v>
      </c>
      <c r="J209" s="22" t="n">
        <f aca="false">H209*I209</f>
        <v>433.715129440876</v>
      </c>
    </row>
    <row r="210" customFormat="false" ht="15" hidden="false" customHeight="false" outlineLevel="0" collapsed="false">
      <c r="A210" s="5" t="s">
        <v>467</v>
      </c>
      <c r="B210" s="2" t="s">
        <v>655</v>
      </c>
      <c r="C210" s="5" t="s">
        <v>232</v>
      </c>
      <c r="D210" s="5" t="s">
        <v>233</v>
      </c>
      <c r="E210" s="5" t="s">
        <v>72</v>
      </c>
      <c r="F210" s="21" t="n">
        <v>16.4619197845459</v>
      </c>
      <c r="G210" s="21" t="n">
        <v>0.0410000011324883</v>
      </c>
      <c r="H210" s="22" t="n">
        <f aca="false">F210+G210</f>
        <v>16.5029197856784</v>
      </c>
      <c r="I210" s="13" t="n">
        <f aca="false">INDEX(RM_Rates!$F$5:$F$137,MATCH(C210,RM_Rates!$A$5:$A$137,0))</f>
        <v>1.45200002193451</v>
      </c>
      <c r="J210" s="22" t="n">
        <f aca="false">H210*I210</f>
        <v>23.9622398907885</v>
      </c>
    </row>
    <row r="211" customFormat="false" ht="15" hidden="false" customHeight="false" outlineLevel="0" collapsed="false">
      <c r="A211" s="5" t="s">
        <v>467</v>
      </c>
      <c r="B211" s="2" t="s">
        <v>655</v>
      </c>
      <c r="C211" s="5" t="s">
        <v>77</v>
      </c>
      <c r="D211" s="5" t="s">
        <v>78</v>
      </c>
      <c r="E211" s="5" t="s">
        <v>72</v>
      </c>
      <c r="F211" s="21" t="n">
        <v>832.799987792969</v>
      </c>
      <c r="G211" s="21" t="n">
        <v>8.32800006866455</v>
      </c>
      <c r="H211" s="22" t="n">
        <f aca="false">F211+G211</f>
        <v>841.127987861634</v>
      </c>
      <c r="I211" s="13" t="n">
        <f aca="false">INDEX(RM_Rates!$F$5:$F$137,MATCH(C211,RM_Rates!$A$5:$A$137,0))</f>
        <v>0.967333495616913</v>
      </c>
      <c r="J211" s="22" t="n">
        <f aca="false">H211*I211</f>
        <v>813.651276759414</v>
      </c>
    </row>
    <row r="212" customFormat="false" ht="15" hidden="false" customHeight="false" outlineLevel="0" collapsed="false">
      <c r="A212" s="5" t="s">
        <v>467</v>
      </c>
      <c r="B212" s="2" t="s">
        <v>655</v>
      </c>
      <c r="C212" s="5" t="s">
        <v>259</v>
      </c>
      <c r="D212" s="5" t="s">
        <v>260</v>
      </c>
      <c r="E212" s="5" t="s">
        <v>166</v>
      </c>
      <c r="F212" s="21" t="n">
        <v>2</v>
      </c>
      <c r="G212" s="21" t="n">
        <v>0</v>
      </c>
      <c r="H212" s="22" t="n">
        <f aca="false">F212+G212</f>
        <v>2</v>
      </c>
      <c r="I212" s="13" t="n">
        <f aca="false">INDEX(RM_Rates!$F$5:$F$137,MATCH(C212,RM_Rates!$A$5:$A$137,0))</f>
        <v>162</v>
      </c>
      <c r="J212" s="22" t="n">
        <f aca="false">H212*I212</f>
        <v>324</v>
      </c>
    </row>
    <row r="213" customFormat="false" ht="15" hidden="false" customHeight="false" outlineLevel="0" collapsed="false">
      <c r="A213" s="5" t="s">
        <v>467</v>
      </c>
      <c r="B213" s="2" t="s">
        <v>655</v>
      </c>
      <c r="C213" s="5" t="s">
        <v>175</v>
      </c>
      <c r="D213" s="5" t="s">
        <v>176</v>
      </c>
      <c r="E213" s="5" t="s">
        <v>166</v>
      </c>
      <c r="F213" s="21" t="n">
        <v>4</v>
      </c>
      <c r="G213" s="21" t="n">
        <v>0</v>
      </c>
      <c r="H213" s="22" t="n">
        <f aca="false">F213+G213</f>
        <v>4</v>
      </c>
      <c r="I213" s="13" t="n">
        <f aca="false">INDEX(RM_Rates!$F$5:$F$137,MATCH(C213,RM_Rates!$A$5:$A$137,0))</f>
        <v>0.39300000667572</v>
      </c>
      <c r="J213" s="22" t="n">
        <f aca="false">H213*I213</f>
        <v>1.57200002670288</v>
      </c>
    </row>
    <row r="214" customFormat="false" ht="15" hidden="false" customHeight="false" outlineLevel="0" collapsed="false">
      <c r="A214" s="5" t="s">
        <v>467</v>
      </c>
      <c r="B214" s="2" t="s">
        <v>655</v>
      </c>
      <c r="C214" s="5" t="s">
        <v>189</v>
      </c>
      <c r="D214" s="5" t="s">
        <v>190</v>
      </c>
      <c r="E214" s="5" t="s">
        <v>60</v>
      </c>
      <c r="F214" s="21" t="n">
        <v>2</v>
      </c>
      <c r="G214" s="21" t="n">
        <v>0</v>
      </c>
      <c r="H214" s="22" t="n">
        <f aca="false">F214+G214</f>
        <v>2</v>
      </c>
      <c r="I214" s="13" t="n">
        <f aca="false">INDEX(RM_Rates!$F$5:$F$137,MATCH(C214,RM_Rates!$A$5:$A$137,0))</f>
        <v>0.568400025367737</v>
      </c>
      <c r="J214" s="22" t="n">
        <f aca="false">H214*I214</f>
        <v>1.13680005073547</v>
      </c>
    </row>
    <row r="215" customFormat="false" ht="15" hidden="false" customHeight="false" outlineLevel="0" collapsed="false">
      <c r="A215" s="5" t="s">
        <v>467</v>
      </c>
      <c r="B215" s="2" t="s">
        <v>655</v>
      </c>
      <c r="C215" s="5" t="s">
        <v>300</v>
      </c>
      <c r="D215" s="5" t="s">
        <v>301</v>
      </c>
      <c r="E215" s="5" t="s">
        <v>297</v>
      </c>
      <c r="F215" s="21" t="n">
        <v>13.8000001907349</v>
      </c>
      <c r="G215" s="21" t="n">
        <v>0</v>
      </c>
      <c r="H215" s="22" t="n">
        <f aca="false">F215+G215</f>
        <v>13.8000001907349</v>
      </c>
      <c r="I215" s="13" t="n">
        <f aca="false">INDEX(RM_Rates!$F$5:$F$137,MATCH(C215,RM_Rates!$A$5:$A$137,0))</f>
        <v>1.40752077102661</v>
      </c>
      <c r="J215" s="22" t="n">
        <f aca="false">H215*I215</f>
        <v>19.4237869086306</v>
      </c>
    </row>
    <row r="216" customFormat="false" ht="15" hidden="false" customHeight="false" outlineLevel="0" collapsed="false">
      <c r="A216" s="5" t="s">
        <v>469</v>
      </c>
      <c r="B216" s="2" t="s">
        <v>656</v>
      </c>
      <c r="C216" s="5" t="s">
        <v>79</v>
      </c>
      <c r="D216" s="5" t="s">
        <v>80</v>
      </c>
      <c r="E216" s="5" t="s">
        <v>72</v>
      </c>
      <c r="F216" s="21" t="n">
        <v>26</v>
      </c>
      <c r="G216" s="21" t="n">
        <v>0.129999995231628</v>
      </c>
      <c r="H216" s="22" t="n">
        <f aca="false">F216+G216</f>
        <v>26.1299999952316</v>
      </c>
      <c r="I216" s="13" t="n">
        <f aca="false">INDEX(RM_Rates!$F$5:$F$137,MATCH(C216,RM_Rates!$A$5:$A$137,0))</f>
        <v>1.980566</v>
      </c>
      <c r="J216" s="22" t="n">
        <f aca="false">H216*I216</f>
        <v>51.7521895705559</v>
      </c>
    </row>
    <row r="217" customFormat="false" ht="15" hidden="false" customHeight="false" outlineLevel="0" collapsed="false">
      <c r="A217" s="5" t="s">
        <v>469</v>
      </c>
      <c r="B217" s="2" t="s">
        <v>656</v>
      </c>
      <c r="C217" s="5" t="s">
        <v>326</v>
      </c>
      <c r="D217" s="5" t="s">
        <v>327</v>
      </c>
      <c r="E217" s="5" t="s">
        <v>72</v>
      </c>
      <c r="F217" s="21" t="n">
        <v>7.80000019073486</v>
      </c>
      <c r="G217" s="21" t="n">
        <v>0.389999985694885</v>
      </c>
      <c r="H217" s="22" t="n">
        <f aca="false">F217+G217</f>
        <v>8.19000017642975</v>
      </c>
      <c r="I217" s="13" t="n">
        <f aca="false">INDEX(RM_Rates!$F$5:$F$137,MATCH(C217,RM_Rates!$A$5:$A$137,0))</f>
        <v>0.596000015735626</v>
      </c>
      <c r="J217" s="22" t="n">
        <f aca="false">H217*I217</f>
        <v>4.88124023402691</v>
      </c>
    </row>
    <row r="218" customFormat="false" ht="15" hidden="false" customHeight="false" outlineLevel="0" collapsed="false">
      <c r="A218" s="5" t="s">
        <v>469</v>
      </c>
      <c r="B218" s="2" t="s">
        <v>656</v>
      </c>
      <c r="C218" s="5" t="s">
        <v>324</v>
      </c>
      <c r="D218" s="5" t="s">
        <v>325</v>
      </c>
      <c r="E218" s="5" t="s">
        <v>72</v>
      </c>
      <c r="F218" s="21" t="n">
        <v>0.428999990224838</v>
      </c>
      <c r="G218" s="21" t="n">
        <v>0.0219999998807907</v>
      </c>
      <c r="H218" s="22" t="n">
        <f aca="false">F218+G218</f>
        <v>0.450999990105629</v>
      </c>
      <c r="I218" s="13" t="n">
        <f aca="false">INDEX(RM_Rates!$F$5:$F$137,MATCH(C218,RM_Rates!$A$5:$A$137,0))</f>
        <v>1.35229277610779</v>
      </c>
      <c r="J218" s="22" t="n">
        <f aca="false">H218*I218</f>
        <v>0.609884028644527</v>
      </c>
    </row>
    <row r="219" customFormat="false" ht="15" hidden="false" customHeight="false" outlineLevel="0" collapsed="false">
      <c r="A219" s="5" t="s">
        <v>469</v>
      </c>
      <c r="B219" s="2" t="s">
        <v>656</v>
      </c>
      <c r="C219" s="5" t="s">
        <v>314</v>
      </c>
      <c r="D219" s="5" t="s">
        <v>315</v>
      </c>
      <c r="E219" s="5" t="s">
        <v>72</v>
      </c>
      <c r="F219" s="21" t="n">
        <v>0.0584999993443489</v>
      </c>
      <c r="G219" s="21" t="n">
        <v>0.00300000002607703</v>
      </c>
      <c r="H219" s="22" t="n">
        <f aca="false">F219+G219</f>
        <v>0.0614999993704259</v>
      </c>
      <c r="I219" s="13" t="n">
        <f aca="false">INDEX(RM_Rates!$F$5:$F$137,MATCH(C219,RM_Rates!$A$5:$A$137,0))</f>
        <v>1.6441433429718</v>
      </c>
      <c r="J219" s="22" t="n">
        <f aca="false">H219*I219</f>
        <v>0.101114814557656</v>
      </c>
    </row>
    <row r="220" customFormat="false" ht="15" hidden="false" customHeight="false" outlineLevel="0" collapsed="false">
      <c r="A220" s="5" t="s">
        <v>469</v>
      </c>
      <c r="B220" s="2" t="s">
        <v>656</v>
      </c>
      <c r="C220" s="5" t="s">
        <v>320</v>
      </c>
      <c r="D220" s="5" t="s">
        <v>321</v>
      </c>
      <c r="E220" s="5" t="s">
        <v>72</v>
      </c>
      <c r="F220" s="21" t="n">
        <v>0.0584999993443489</v>
      </c>
      <c r="G220" s="21" t="n">
        <v>0.00300000002607703</v>
      </c>
      <c r="H220" s="22" t="n">
        <f aca="false">F220+G220</f>
        <v>0.0614999993704259</v>
      </c>
      <c r="I220" s="13" t="n">
        <f aca="false">INDEX(RM_Rates!$F$5:$F$137,MATCH(C220,RM_Rates!$A$5:$A$137,0))</f>
        <v>1.6441433429718</v>
      </c>
      <c r="J220" s="22" t="n">
        <f aca="false">H220*I220</f>
        <v>0.101114814557656</v>
      </c>
    </row>
    <row r="221" customFormat="false" ht="15" hidden="false" customHeight="false" outlineLevel="0" collapsed="false">
      <c r="A221" s="5" t="s">
        <v>469</v>
      </c>
      <c r="B221" s="2" t="s">
        <v>656</v>
      </c>
      <c r="C221" s="5" t="s">
        <v>200</v>
      </c>
      <c r="D221" s="5" t="s">
        <v>201</v>
      </c>
      <c r="E221" s="5" t="s">
        <v>72</v>
      </c>
      <c r="F221" s="21" t="n">
        <v>0.589999973773956</v>
      </c>
      <c r="G221" s="21" t="n">
        <v>0</v>
      </c>
      <c r="H221" s="22" t="n">
        <f aca="false">F221+G221</f>
        <v>0.589999973773956</v>
      </c>
      <c r="I221" s="13" t="n">
        <f aca="false">INDEX(RM_Rates!$F$5:$F$137,MATCH(C221,RM_Rates!$A$5:$A$137,0))</f>
        <v>0.750177025794983</v>
      </c>
      <c r="J221" s="22" t="n">
        <f aca="false">H221*I221</f>
        <v>0.442604425544864</v>
      </c>
    </row>
    <row r="222" customFormat="false" ht="15" hidden="false" customHeight="false" outlineLevel="0" collapsed="false">
      <c r="A222" s="5" t="s">
        <v>469</v>
      </c>
      <c r="B222" s="2" t="s">
        <v>656</v>
      </c>
      <c r="C222" s="5" t="s">
        <v>58</v>
      </c>
      <c r="D222" s="5" t="s">
        <v>59</v>
      </c>
      <c r="E222" s="5" t="s">
        <v>60</v>
      </c>
      <c r="F222" s="21" t="n">
        <v>1.25</v>
      </c>
      <c r="G222" s="21" t="n">
        <v>0.0130000002682209</v>
      </c>
      <c r="H222" s="22" t="n">
        <f aca="false">F222+G222</f>
        <v>1.26300000026822</v>
      </c>
      <c r="I222" s="13" t="n">
        <f aca="false">INDEX(RM_Rates!$F$5:$F$137,MATCH(C222,RM_Rates!$A$5:$A$137,0))</f>
        <v>1.83595955371857</v>
      </c>
      <c r="J222" s="22" t="n">
        <f aca="false">H222*I222</f>
        <v>2.318816916839</v>
      </c>
    </row>
    <row r="223" customFormat="false" ht="15" hidden="false" customHeight="false" outlineLevel="0" collapsed="false">
      <c r="A223" s="5" t="s">
        <v>469</v>
      </c>
      <c r="B223" s="2" t="s">
        <v>656</v>
      </c>
      <c r="C223" s="5" t="s">
        <v>70</v>
      </c>
      <c r="D223" s="5" t="s">
        <v>71</v>
      </c>
      <c r="E223" s="5" t="s">
        <v>72</v>
      </c>
      <c r="F223" s="21" t="n">
        <v>4.5</v>
      </c>
      <c r="G223" s="21" t="n">
        <v>0</v>
      </c>
      <c r="H223" s="22" t="n">
        <f aca="false">F223+G223</f>
        <v>4.5</v>
      </c>
      <c r="I223" s="13" t="n">
        <f aca="false">INDEX(RM_Rates!$F$5:$F$137,MATCH(C223,RM_Rates!$A$5:$A$137,0))</f>
        <v>2.86922955513001</v>
      </c>
      <c r="J223" s="22" t="n">
        <f aca="false">H223*I223</f>
        <v>12.911532998085</v>
      </c>
    </row>
    <row r="224" customFormat="false" ht="15" hidden="false" customHeight="false" outlineLevel="0" collapsed="false">
      <c r="A224" s="5" t="s">
        <v>469</v>
      </c>
      <c r="B224" s="2" t="s">
        <v>656</v>
      </c>
      <c r="C224" s="5" t="s">
        <v>206</v>
      </c>
      <c r="D224" s="5" t="s">
        <v>207</v>
      </c>
      <c r="E224" s="5" t="s">
        <v>72</v>
      </c>
      <c r="F224" s="21" t="n">
        <v>0.8299999833107</v>
      </c>
      <c r="G224" s="21" t="n">
        <v>0</v>
      </c>
      <c r="H224" s="22" t="n">
        <f aca="false">F224+G224</f>
        <v>0.8299999833107</v>
      </c>
      <c r="I224" s="13" t="n">
        <f aca="false">INDEX(RM_Rates!$F$5:$F$137,MATCH(C224,RM_Rates!$A$5:$A$137,0))</f>
        <v>0.750177025794983</v>
      </c>
      <c r="J224" s="22" t="n">
        <f aca="false">H224*I224</f>
        <v>0.622646918889907</v>
      </c>
    </row>
    <row r="225" customFormat="false" ht="15" hidden="false" customHeight="false" outlineLevel="0" collapsed="false">
      <c r="A225" s="5" t="s">
        <v>469</v>
      </c>
      <c r="B225" s="2" t="s">
        <v>656</v>
      </c>
      <c r="C225" s="5" t="s">
        <v>244</v>
      </c>
      <c r="D225" s="5" t="s">
        <v>245</v>
      </c>
      <c r="E225" s="5" t="s">
        <v>60</v>
      </c>
      <c r="F225" s="21" t="n">
        <v>83.0999984741211</v>
      </c>
      <c r="G225" s="21" t="n">
        <v>0.208000004291534</v>
      </c>
      <c r="H225" s="22" t="n">
        <f aca="false">F225+G225</f>
        <v>83.3079984784126</v>
      </c>
      <c r="I225" s="13" t="n">
        <f aca="false">INDEX(RM_Rates!$F$5:$F$137,MATCH(C225,RM_Rates!$A$5:$A$137,0))</f>
        <v>0.648000001907349</v>
      </c>
      <c r="J225" s="22" t="n">
        <f aca="false">H225*I225</f>
        <v>53.9835831729088</v>
      </c>
    </row>
    <row r="226" customFormat="false" ht="15" hidden="false" customHeight="false" outlineLevel="0" collapsed="false">
      <c r="A226" s="5" t="s">
        <v>469</v>
      </c>
      <c r="B226" s="2" t="s">
        <v>656</v>
      </c>
      <c r="C226" s="5" t="s">
        <v>232</v>
      </c>
      <c r="D226" s="5" t="s">
        <v>233</v>
      </c>
      <c r="E226" s="5" t="s">
        <v>72</v>
      </c>
      <c r="F226" s="21" t="n">
        <v>1.32959997653961</v>
      </c>
      <c r="G226" s="21" t="n">
        <v>0.00300000002607703</v>
      </c>
      <c r="H226" s="22" t="n">
        <f aca="false">F226+G226</f>
        <v>1.33259997656569</v>
      </c>
      <c r="I226" s="13" t="n">
        <f aca="false">INDEX(RM_Rates!$F$5:$F$137,MATCH(C226,RM_Rates!$A$5:$A$137,0))</f>
        <v>1.45200002193451</v>
      </c>
      <c r="J226" s="22" t="n">
        <f aca="false">H226*I226</f>
        <v>1.93493519520331</v>
      </c>
    </row>
    <row r="227" customFormat="false" ht="15" hidden="false" customHeight="false" outlineLevel="0" collapsed="false">
      <c r="A227" s="5" t="s">
        <v>469</v>
      </c>
      <c r="B227" s="2" t="s">
        <v>656</v>
      </c>
      <c r="C227" s="5" t="s">
        <v>267</v>
      </c>
      <c r="D227" s="5" t="s">
        <v>268</v>
      </c>
      <c r="E227" s="5" t="s">
        <v>72</v>
      </c>
      <c r="F227" s="21" t="n">
        <v>115</v>
      </c>
      <c r="G227" s="21" t="n">
        <v>1.14999997615814</v>
      </c>
      <c r="H227" s="22" t="n">
        <f aca="false">F227+G227</f>
        <v>116.149999976158</v>
      </c>
      <c r="I227" s="13" t="n">
        <f aca="false">INDEX(RM_Rates!$F$5:$F$137,MATCH(C227,RM_Rates!$A$5:$A$137,0))</f>
        <v>0.487615048885345</v>
      </c>
      <c r="J227" s="22" t="n">
        <f aca="false">H227*I227</f>
        <v>56.6364879164072</v>
      </c>
    </row>
    <row r="228" customFormat="false" ht="15" hidden="false" customHeight="false" outlineLevel="0" collapsed="false">
      <c r="A228" s="5" t="s">
        <v>469</v>
      </c>
      <c r="B228" s="2" t="s">
        <v>656</v>
      </c>
      <c r="C228" s="5" t="s">
        <v>291</v>
      </c>
      <c r="D228" s="5" t="s">
        <v>292</v>
      </c>
      <c r="E228" s="5" t="s">
        <v>166</v>
      </c>
      <c r="F228" s="21" t="n">
        <v>1</v>
      </c>
      <c r="G228" s="21" t="n">
        <v>0</v>
      </c>
      <c r="H228" s="22" t="n">
        <f aca="false">F228+G228</f>
        <v>1</v>
      </c>
      <c r="I228" s="13" t="n">
        <f aca="false">INDEX(RM_Rates!$F$5:$F$137,MATCH(C228,RM_Rates!$A$5:$A$137,0))</f>
        <v>11.2344932556152</v>
      </c>
      <c r="J228" s="22" t="n">
        <f aca="false">H228*I228</f>
        <v>11.2344932556152</v>
      </c>
    </row>
    <row r="229" customFormat="false" ht="15" hidden="false" customHeight="false" outlineLevel="0" collapsed="false">
      <c r="A229" s="5" t="s">
        <v>469</v>
      </c>
      <c r="B229" s="2" t="s">
        <v>656</v>
      </c>
      <c r="C229" s="5" t="s">
        <v>167</v>
      </c>
      <c r="D229" s="5" t="s">
        <v>168</v>
      </c>
      <c r="E229" s="5" t="s">
        <v>166</v>
      </c>
      <c r="F229" s="21" t="n">
        <v>2</v>
      </c>
      <c r="G229" s="21" t="n">
        <v>0</v>
      </c>
      <c r="H229" s="22" t="n">
        <f aca="false">F229+G229</f>
        <v>2</v>
      </c>
      <c r="I229" s="13" t="n">
        <f aca="false">INDEX(RM_Rates!$F$5:$F$137,MATCH(C229,RM_Rates!$A$5:$A$137,0))</f>
        <v>0.124766282737255</v>
      </c>
      <c r="J229" s="22" t="n">
        <f aca="false">H229*I229</f>
        <v>0.24953256547451</v>
      </c>
    </row>
    <row r="230" customFormat="false" ht="15" hidden="false" customHeight="false" outlineLevel="0" collapsed="false">
      <c r="A230" s="5" t="s">
        <v>469</v>
      </c>
      <c r="B230" s="2" t="s">
        <v>656</v>
      </c>
      <c r="C230" s="5" t="s">
        <v>306</v>
      </c>
      <c r="D230" s="5" t="s">
        <v>307</v>
      </c>
      <c r="E230" s="5" t="s">
        <v>297</v>
      </c>
      <c r="F230" s="21" t="n">
        <v>2.5</v>
      </c>
      <c r="G230" s="21" t="n">
        <v>0</v>
      </c>
      <c r="H230" s="22" t="n">
        <f aca="false">F230+G230</f>
        <v>2.5</v>
      </c>
      <c r="I230" s="13" t="n">
        <f aca="false">INDEX(RM_Rates!$F$5:$F$137,MATCH(C230,RM_Rates!$A$5:$A$137,0))</f>
        <v>1.40752077102661</v>
      </c>
      <c r="J230" s="22" t="n">
        <f aca="false">H230*I230</f>
        <v>3.51880192756652</v>
      </c>
    </row>
    <row r="231" customFormat="false" ht="15" hidden="false" customHeight="false" outlineLevel="0" collapsed="false">
      <c r="A231" s="5" t="s">
        <v>469</v>
      </c>
      <c r="B231" s="2" t="s">
        <v>656</v>
      </c>
      <c r="C231" s="5" t="s">
        <v>189</v>
      </c>
      <c r="D231" s="5" t="s">
        <v>190</v>
      </c>
      <c r="E231" s="5" t="s">
        <v>60</v>
      </c>
      <c r="F231" s="21" t="n">
        <v>0.159999996423721</v>
      </c>
      <c r="G231" s="21" t="n">
        <v>0</v>
      </c>
      <c r="H231" s="22" t="n">
        <f aca="false">F231+G231</f>
        <v>0.159999996423721</v>
      </c>
      <c r="I231" s="13" t="n">
        <f aca="false">INDEX(RM_Rates!$F$5:$F$137,MATCH(C231,RM_Rates!$A$5:$A$137,0))</f>
        <v>0.568400025367737</v>
      </c>
      <c r="J231" s="22" t="n">
        <f aca="false">H231*I231</f>
        <v>0.0909440020260809</v>
      </c>
    </row>
    <row r="232" customFormat="false" ht="15" hidden="false" customHeight="false" outlineLevel="0" collapsed="false">
      <c r="A232" s="5" t="s">
        <v>471</v>
      </c>
      <c r="B232" s="2" t="s">
        <v>657</v>
      </c>
      <c r="C232" s="5" t="s">
        <v>79</v>
      </c>
      <c r="D232" s="5" t="s">
        <v>80</v>
      </c>
      <c r="E232" s="5" t="s">
        <v>72</v>
      </c>
      <c r="F232" s="21" t="n">
        <v>26</v>
      </c>
      <c r="G232" s="21" t="n">
        <v>0.129999995231628</v>
      </c>
      <c r="H232" s="22" t="n">
        <f aca="false">F232+G232</f>
        <v>26.1299999952316</v>
      </c>
      <c r="I232" s="13" t="n">
        <f aca="false">INDEX(RM_Rates!$F$5:$F$137,MATCH(C232,RM_Rates!$A$5:$A$137,0))</f>
        <v>1.980566</v>
      </c>
      <c r="J232" s="22" t="n">
        <f aca="false">H232*I232</f>
        <v>51.7521895705559</v>
      </c>
    </row>
    <row r="233" customFormat="false" ht="15" hidden="false" customHeight="false" outlineLevel="0" collapsed="false">
      <c r="A233" s="5" t="s">
        <v>471</v>
      </c>
      <c r="B233" s="2" t="s">
        <v>657</v>
      </c>
      <c r="C233" s="5" t="s">
        <v>197</v>
      </c>
      <c r="D233" s="5" t="s">
        <v>196</v>
      </c>
      <c r="E233" s="5" t="s">
        <v>72</v>
      </c>
      <c r="F233" s="21" t="n">
        <v>6.94000005722046</v>
      </c>
      <c r="G233" s="21" t="n">
        <v>0</v>
      </c>
      <c r="H233" s="22" t="n">
        <f aca="false">F233+G233</f>
        <v>6.94000005722046</v>
      </c>
      <c r="I233" s="13" t="n">
        <f aca="false">INDEX(RM_Rates!$F$5:$F$137,MATCH(C233,RM_Rates!$A$5:$A$137,0))</f>
        <v>5.34994649887085</v>
      </c>
      <c r="J233" s="22" t="n">
        <f aca="false">H233*I233</f>
        <v>37.1286290082901</v>
      </c>
    </row>
    <row r="234" customFormat="false" ht="15" hidden="false" customHeight="false" outlineLevel="0" collapsed="false">
      <c r="A234" s="5" t="s">
        <v>471</v>
      </c>
      <c r="B234" s="2" t="s">
        <v>657</v>
      </c>
      <c r="C234" s="5" t="s">
        <v>326</v>
      </c>
      <c r="D234" s="5" t="s">
        <v>327</v>
      </c>
      <c r="E234" s="5" t="s">
        <v>72</v>
      </c>
      <c r="F234" s="21" t="n">
        <v>11</v>
      </c>
      <c r="G234" s="21" t="n">
        <v>0.550000011920929</v>
      </c>
      <c r="H234" s="22" t="n">
        <f aca="false">F234+G234</f>
        <v>11.5500000119209</v>
      </c>
      <c r="I234" s="13" t="n">
        <f aca="false">INDEX(RM_Rates!$F$5:$F$137,MATCH(C234,RM_Rates!$A$5:$A$137,0))</f>
        <v>0.596000015735626</v>
      </c>
      <c r="J234" s="22" t="n">
        <f aca="false">H234*I234</f>
        <v>6.88380018885135</v>
      </c>
    </row>
    <row r="235" customFormat="false" ht="15" hidden="false" customHeight="false" outlineLevel="0" collapsed="false">
      <c r="A235" s="5" t="s">
        <v>471</v>
      </c>
      <c r="B235" s="2" t="s">
        <v>657</v>
      </c>
      <c r="C235" s="5" t="s">
        <v>324</v>
      </c>
      <c r="D235" s="5" t="s">
        <v>325</v>
      </c>
      <c r="E235" s="5" t="s">
        <v>72</v>
      </c>
      <c r="F235" s="21" t="n">
        <v>0.605000019073486</v>
      </c>
      <c r="G235" s="21" t="n">
        <v>0.0299999993294477</v>
      </c>
      <c r="H235" s="22" t="n">
        <f aca="false">F235+G235</f>
        <v>0.635000018402934</v>
      </c>
      <c r="I235" s="13" t="n">
        <f aca="false">INDEX(RM_Rates!$F$5:$F$137,MATCH(C235,RM_Rates!$A$5:$A$137,0))</f>
        <v>1.35229277610779</v>
      </c>
      <c r="J235" s="22" t="n">
        <f aca="false">H235*I235</f>
        <v>0.858705937714601</v>
      </c>
    </row>
    <row r="236" customFormat="false" ht="15" hidden="false" customHeight="false" outlineLevel="0" collapsed="false">
      <c r="A236" s="5" t="s">
        <v>471</v>
      </c>
      <c r="B236" s="2" t="s">
        <v>657</v>
      </c>
      <c r="C236" s="5" t="s">
        <v>314</v>
      </c>
      <c r="D236" s="5" t="s">
        <v>315</v>
      </c>
      <c r="E236" s="5" t="s">
        <v>72</v>
      </c>
      <c r="F236" s="21" t="n">
        <v>0.0825000032782555</v>
      </c>
      <c r="G236" s="21" t="n">
        <v>0.00400000018998981</v>
      </c>
      <c r="H236" s="22" t="n">
        <f aca="false">F236+G236</f>
        <v>0.0865000034682453</v>
      </c>
      <c r="I236" s="13" t="n">
        <f aca="false">INDEX(RM_Rates!$F$5:$F$137,MATCH(C236,RM_Rates!$A$5:$A$137,0))</f>
        <v>1.6441433429718</v>
      </c>
      <c r="J236" s="22" t="n">
        <f aca="false">H236*I236</f>
        <v>0.142218404869353</v>
      </c>
    </row>
    <row r="237" customFormat="false" ht="15" hidden="false" customHeight="false" outlineLevel="0" collapsed="false">
      <c r="A237" s="5" t="s">
        <v>471</v>
      </c>
      <c r="B237" s="2" t="s">
        <v>657</v>
      </c>
      <c r="C237" s="5" t="s">
        <v>320</v>
      </c>
      <c r="D237" s="5" t="s">
        <v>321</v>
      </c>
      <c r="E237" s="5" t="s">
        <v>72</v>
      </c>
      <c r="F237" s="21" t="n">
        <v>0.0825000032782555</v>
      </c>
      <c r="G237" s="21" t="n">
        <v>0.00400000018998981</v>
      </c>
      <c r="H237" s="22" t="n">
        <f aca="false">F237+G237</f>
        <v>0.0865000034682453</v>
      </c>
      <c r="I237" s="13" t="n">
        <f aca="false">INDEX(RM_Rates!$F$5:$F$137,MATCH(C237,RM_Rates!$A$5:$A$137,0))</f>
        <v>1.6441433429718</v>
      </c>
      <c r="J237" s="22" t="n">
        <f aca="false">H237*I237</f>
        <v>0.142218404869353</v>
      </c>
    </row>
    <row r="238" customFormat="false" ht="15" hidden="false" customHeight="false" outlineLevel="0" collapsed="false">
      <c r="A238" s="5" t="s">
        <v>471</v>
      </c>
      <c r="B238" s="2" t="s">
        <v>657</v>
      </c>
      <c r="C238" s="5" t="s">
        <v>202</v>
      </c>
      <c r="D238" s="5" t="s">
        <v>203</v>
      </c>
      <c r="E238" s="5" t="s">
        <v>72</v>
      </c>
      <c r="F238" s="21" t="n">
        <v>0.709999978542328</v>
      </c>
      <c r="G238" s="21" t="n">
        <v>0</v>
      </c>
      <c r="H238" s="22" t="n">
        <f aca="false">F238+G238</f>
        <v>0.709999978542328</v>
      </c>
      <c r="I238" s="13" t="n">
        <f aca="false">INDEX(RM_Rates!$F$5:$F$137,MATCH(C238,RM_Rates!$A$5:$A$137,0))</f>
        <v>0.750177025794983</v>
      </c>
      <c r="J238" s="22" t="n">
        <f aca="false">H238*I238</f>
        <v>0.532625672217385</v>
      </c>
    </row>
    <row r="239" customFormat="false" ht="15" hidden="false" customHeight="false" outlineLevel="0" collapsed="false">
      <c r="A239" s="5" t="s">
        <v>471</v>
      </c>
      <c r="B239" s="2" t="s">
        <v>657</v>
      </c>
      <c r="C239" s="5" t="s">
        <v>62</v>
      </c>
      <c r="D239" s="5" t="s">
        <v>63</v>
      </c>
      <c r="E239" s="5" t="s">
        <v>60</v>
      </c>
      <c r="F239" s="21" t="n">
        <v>1.5</v>
      </c>
      <c r="G239" s="21" t="n">
        <v>0.0149999996647239</v>
      </c>
      <c r="H239" s="22" t="n">
        <f aca="false">F239+G239</f>
        <v>1.51499999966472</v>
      </c>
      <c r="I239" s="13" t="n">
        <f aca="false">INDEX(RM_Rates!$F$5:$F$137,MATCH(C239,RM_Rates!$A$5:$A$137,0))</f>
        <v>1.83595955371857</v>
      </c>
      <c r="J239" s="22" t="n">
        <f aca="false">H239*I239</f>
        <v>2.78147872326808</v>
      </c>
    </row>
    <row r="240" customFormat="false" ht="15" hidden="false" customHeight="false" outlineLevel="0" collapsed="false">
      <c r="A240" s="5" t="s">
        <v>471</v>
      </c>
      <c r="B240" s="2" t="s">
        <v>657</v>
      </c>
      <c r="C240" s="5" t="s">
        <v>70</v>
      </c>
      <c r="D240" s="5" t="s">
        <v>71</v>
      </c>
      <c r="E240" s="5" t="s">
        <v>72</v>
      </c>
      <c r="F240" s="21" t="n">
        <v>4.5</v>
      </c>
      <c r="G240" s="21" t="n">
        <v>0</v>
      </c>
      <c r="H240" s="22" t="n">
        <f aca="false">F240+G240</f>
        <v>4.5</v>
      </c>
      <c r="I240" s="13" t="n">
        <f aca="false">INDEX(RM_Rates!$F$5:$F$137,MATCH(C240,RM_Rates!$A$5:$A$137,0))</f>
        <v>2.86922955513001</v>
      </c>
      <c r="J240" s="22" t="n">
        <f aca="false">H240*I240</f>
        <v>12.911532998085</v>
      </c>
    </row>
    <row r="241" customFormat="false" ht="15" hidden="false" customHeight="false" outlineLevel="0" collapsed="false">
      <c r="A241" s="5" t="s">
        <v>471</v>
      </c>
      <c r="B241" s="2" t="s">
        <v>657</v>
      </c>
      <c r="C241" s="5" t="s">
        <v>210</v>
      </c>
      <c r="D241" s="5" t="s">
        <v>211</v>
      </c>
      <c r="E241" s="5" t="s">
        <v>72</v>
      </c>
      <c r="F241" s="21" t="n">
        <v>1.19000005722046</v>
      </c>
      <c r="G241" s="21" t="n">
        <v>0</v>
      </c>
      <c r="H241" s="22" t="n">
        <f aca="false">F241+G241</f>
        <v>1.19000005722046</v>
      </c>
      <c r="I241" s="13" t="n">
        <f aca="false">INDEX(RM_Rates!$F$5:$F$137,MATCH(C241,RM_Rates!$A$5:$A$137,0))</f>
        <v>0.750177025794983</v>
      </c>
      <c r="J241" s="22" t="n">
        <f aca="false">H241*I241</f>
        <v>0.892710703621504</v>
      </c>
    </row>
    <row r="242" customFormat="false" ht="15" hidden="false" customHeight="false" outlineLevel="0" collapsed="false">
      <c r="A242" s="5" t="s">
        <v>471</v>
      </c>
      <c r="B242" s="2" t="s">
        <v>657</v>
      </c>
      <c r="C242" s="5" t="s">
        <v>244</v>
      </c>
      <c r="D242" s="5" t="s">
        <v>245</v>
      </c>
      <c r="E242" s="5" t="s">
        <v>60</v>
      </c>
      <c r="F242" s="21" t="n">
        <v>98.9000015258789</v>
      </c>
      <c r="G242" s="21" t="n">
        <v>0.246999993920326</v>
      </c>
      <c r="H242" s="22" t="n">
        <f aca="false">F242+G242</f>
        <v>99.1470015197992</v>
      </c>
      <c r="I242" s="13" t="n">
        <f aca="false">INDEX(RM_Rates!$F$5:$F$137,MATCH(C242,RM_Rates!$A$5:$A$137,0))</f>
        <v>0.648000001907349</v>
      </c>
      <c r="J242" s="22" t="n">
        <f aca="false">H242*I242</f>
        <v>64.2472571739378</v>
      </c>
    </row>
    <row r="243" customFormat="false" ht="15" hidden="false" customHeight="false" outlineLevel="0" collapsed="false">
      <c r="A243" s="5" t="s">
        <v>471</v>
      </c>
      <c r="B243" s="2" t="s">
        <v>657</v>
      </c>
      <c r="C243" s="5" t="s">
        <v>232</v>
      </c>
      <c r="D243" s="5" t="s">
        <v>233</v>
      </c>
      <c r="E243" s="5" t="s">
        <v>72</v>
      </c>
      <c r="F243" s="21" t="n">
        <v>1.58239996433258</v>
      </c>
      <c r="G243" s="21" t="n">
        <v>0.00400000018998981</v>
      </c>
      <c r="H243" s="22" t="n">
        <f aca="false">F243+G243</f>
        <v>1.58639996452257</v>
      </c>
      <c r="I243" s="13" t="n">
        <f aca="false">INDEX(RM_Rates!$F$5:$F$137,MATCH(C243,RM_Rates!$A$5:$A$137,0))</f>
        <v>1.45200002193451</v>
      </c>
      <c r="J243" s="22" t="n">
        <f aca="false">H243*I243</f>
        <v>2.30345278328368</v>
      </c>
    </row>
    <row r="244" customFormat="false" ht="15" hidden="false" customHeight="false" outlineLevel="0" collapsed="false">
      <c r="A244" s="5" t="s">
        <v>471</v>
      </c>
      <c r="B244" s="2" t="s">
        <v>657</v>
      </c>
      <c r="C244" s="5" t="s">
        <v>267</v>
      </c>
      <c r="D244" s="5" t="s">
        <v>268</v>
      </c>
      <c r="E244" s="5" t="s">
        <v>72</v>
      </c>
      <c r="F244" s="21" t="n">
        <v>140</v>
      </c>
      <c r="G244" s="21" t="n">
        <v>1.39999997615814</v>
      </c>
      <c r="H244" s="22" t="n">
        <f aca="false">F244+G244</f>
        <v>141.399999976158</v>
      </c>
      <c r="I244" s="13" t="n">
        <f aca="false">INDEX(RM_Rates!$F$5:$F$137,MATCH(C244,RM_Rates!$A$5:$A$137,0))</f>
        <v>0.487615048885345</v>
      </c>
      <c r="J244" s="22" t="n">
        <f aca="false">H244*I244</f>
        <v>68.9487679007621</v>
      </c>
    </row>
    <row r="245" customFormat="false" ht="15" hidden="false" customHeight="false" outlineLevel="0" collapsed="false">
      <c r="A245" s="5" t="s">
        <v>471</v>
      </c>
      <c r="B245" s="2" t="s">
        <v>657</v>
      </c>
      <c r="C245" s="5" t="s">
        <v>293</v>
      </c>
      <c r="D245" s="5" t="s">
        <v>294</v>
      </c>
      <c r="E245" s="5" t="s">
        <v>166</v>
      </c>
      <c r="F245" s="21" t="n">
        <v>1</v>
      </c>
      <c r="G245" s="21" t="n">
        <v>0</v>
      </c>
      <c r="H245" s="22" t="n">
        <f aca="false">F245+G245</f>
        <v>1</v>
      </c>
      <c r="I245" s="13" t="n">
        <f aca="false">INDEX(RM_Rates!$F$5:$F$137,MATCH(C245,RM_Rates!$A$5:$A$137,0))</f>
        <v>17.5683555603027</v>
      </c>
      <c r="J245" s="22" t="n">
        <f aca="false">H245*I245</f>
        <v>17.5683555603027</v>
      </c>
    </row>
    <row r="246" customFormat="false" ht="15" hidden="false" customHeight="false" outlineLevel="0" collapsed="false">
      <c r="A246" s="5" t="s">
        <v>471</v>
      </c>
      <c r="B246" s="2" t="s">
        <v>657</v>
      </c>
      <c r="C246" s="5" t="s">
        <v>167</v>
      </c>
      <c r="D246" s="5" t="s">
        <v>168</v>
      </c>
      <c r="E246" s="5" t="s">
        <v>166</v>
      </c>
      <c r="F246" s="21" t="n">
        <v>2</v>
      </c>
      <c r="G246" s="21" t="n">
        <v>0</v>
      </c>
      <c r="H246" s="22" t="n">
        <f aca="false">F246+G246</f>
        <v>2</v>
      </c>
      <c r="I246" s="13" t="n">
        <f aca="false">INDEX(RM_Rates!$F$5:$F$137,MATCH(C246,RM_Rates!$A$5:$A$137,0))</f>
        <v>0.124766282737255</v>
      </c>
      <c r="J246" s="22" t="n">
        <f aca="false">H246*I246</f>
        <v>0.24953256547451</v>
      </c>
    </row>
    <row r="247" customFormat="false" ht="15" hidden="false" customHeight="false" outlineLevel="0" collapsed="false">
      <c r="A247" s="5" t="s">
        <v>471</v>
      </c>
      <c r="B247" s="2" t="s">
        <v>657</v>
      </c>
      <c r="C247" s="5" t="s">
        <v>306</v>
      </c>
      <c r="D247" s="5" t="s">
        <v>307</v>
      </c>
      <c r="E247" s="5" t="s">
        <v>297</v>
      </c>
      <c r="F247" s="21" t="n">
        <v>2.79999995231628</v>
      </c>
      <c r="G247" s="21" t="n">
        <v>0</v>
      </c>
      <c r="H247" s="22" t="n">
        <f aca="false">F247+G247</f>
        <v>2.79999995231628</v>
      </c>
      <c r="I247" s="13" t="n">
        <f aca="false">INDEX(RM_Rates!$F$5:$F$137,MATCH(C247,RM_Rates!$A$5:$A$137,0))</f>
        <v>1.40752077102661</v>
      </c>
      <c r="J247" s="22" t="n">
        <f aca="false">H247*I247</f>
        <v>3.94105809175868</v>
      </c>
    </row>
    <row r="248" customFormat="false" ht="15" hidden="false" customHeight="false" outlineLevel="0" collapsed="false">
      <c r="A248" s="5" t="s">
        <v>471</v>
      </c>
      <c r="B248" s="2" t="s">
        <v>657</v>
      </c>
      <c r="C248" s="5" t="s">
        <v>189</v>
      </c>
      <c r="D248" s="5" t="s">
        <v>190</v>
      </c>
      <c r="E248" s="5" t="s">
        <v>60</v>
      </c>
      <c r="F248" s="21" t="n">
        <v>0.180000007152557</v>
      </c>
      <c r="G248" s="21" t="n">
        <v>0</v>
      </c>
      <c r="H248" s="22" t="n">
        <f aca="false">F248+G248</f>
        <v>0.180000007152557</v>
      </c>
      <c r="I248" s="13" t="n">
        <f aca="false">INDEX(RM_Rates!$F$5:$F$137,MATCH(C248,RM_Rates!$A$5:$A$137,0))</f>
        <v>0.568400025367737</v>
      </c>
      <c r="J248" s="22" t="n">
        <f aca="false">H248*I248</f>
        <v>0.102312008631706</v>
      </c>
    </row>
    <row r="249" customFormat="false" ht="15" hidden="false" customHeight="false" outlineLevel="0" collapsed="false">
      <c r="A249" s="5" t="s">
        <v>473</v>
      </c>
      <c r="B249" s="2" t="s">
        <v>658</v>
      </c>
      <c r="C249" s="5" t="s">
        <v>108</v>
      </c>
      <c r="D249" s="5" t="s">
        <v>109</v>
      </c>
      <c r="E249" s="5" t="s">
        <v>72</v>
      </c>
      <c r="F249" s="21" t="n">
        <v>1038</v>
      </c>
      <c r="G249" s="21" t="n">
        <v>5.19000005722046</v>
      </c>
      <c r="H249" s="22" t="n">
        <f aca="false">F249+G249</f>
        <v>1043.19000005722</v>
      </c>
      <c r="I249" s="13" t="n">
        <f aca="false">INDEX(RM_Rates!$F$5:$F$137,MATCH(C249,RM_Rates!$A$5:$A$137,0))</f>
        <v>1.968214</v>
      </c>
      <c r="J249" s="22" t="n">
        <f aca="false">H249*I249</f>
        <v>2053.22116277262</v>
      </c>
    </row>
    <row r="250" customFormat="false" ht="15" hidden="false" customHeight="false" outlineLevel="0" collapsed="false">
      <c r="A250" s="5" t="s">
        <v>473</v>
      </c>
      <c r="B250" s="2" t="s">
        <v>658</v>
      </c>
      <c r="C250" s="5" t="s">
        <v>248</v>
      </c>
      <c r="D250" s="5" t="s">
        <v>249</v>
      </c>
      <c r="E250" s="5" t="s">
        <v>60</v>
      </c>
      <c r="F250" s="21" t="n">
        <v>122.400001525879</v>
      </c>
      <c r="G250" s="21" t="n">
        <v>2.44799995422363</v>
      </c>
      <c r="H250" s="22" t="n">
        <f aca="false">F250+G250</f>
        <v>124.848001480103</v>
      </c>
      <c r="I250" s="13" t="n">
        <f aca="false">INDEX(RM_Rates!$F$5:$F$137,MATCH(C250,RM_Rates!$A$5:$A$137,0))</f>
        <v>0.402726590633392</v>
      </c>
      <c r="J250" s="22" t="n">
        <f aca="false">H250*I250</f>
        <v>50.2796099834744</v>
      </c>
    </row>
    <row r="251" customFormat="false" ht="15" hidden="false" customHeight="false" outlineLevel="0" collapsed="false">
      <c r="A251" s="5" t="s">
        <v>473</v>
      </c>
      <c r="B251" s="2" t="s">
        <v>658</v>
      </c>
      <c r="C251" s="5" t="s">
        <v>238</v>
      </c>
      <c r="D251" s="5" t="s">
        <v>239</v>
      </c>
      <c r="E251" s="5" t="s">
        <v>60</v>
      </c>
      <c r="F251" s="21" t="n">
        <v>1.28519999980927</v>
      </c>
      <c r="G251" s="21" t="n">
        <v>0.0260000005364418</v>
      </c>
      <c r="H251" s="22" t="n">
        <f aca="false">F251+G251</f>
        <v>1.31120000034571</v>
      </c>
      <c r="I251" s="13" t="n">
        <f aca="false">INDEX(RM_Rates!$F$5:$F$137,MATCH(C251,RM_Rates!$A$5:$A$137,0))</f>
        <v>1.45200002193451</v>
      </c>
      <c r="J251" s="22" t="n">
        <f aca="false">H251*I251</f>
        <v>1.9038624292625</v>
      </c>
    </row>
    <row r="252" customFormat="false" ht="15" hidden="false" customHeight="false" outlineLevel="0" collapsed="false">
      <c r="A252" s="5" t="s">
        <v>473</v>
      </c>
      <c r="B252" s="2" t="s">
        <v>658</v>
      </c>
      <c r="C252" s="5" t="s">
        <v>234</v>
      </c>
      <c r="D252" s="5" t="s">
        <v>235</v>
      </c>
      <c r="E252" s="5" t="s">
        <v>60</v>
      </c>
      <c r="F252" s="21" t="n">
        <v>0.550800025463104</v>
      </c>
      <c r="G252" s="21" t="n">
        <v>0.0109999999403954</v>
      </c>
      <c r="H252" s="22" t="n">
        <f aca="false">F252+G252</f>
        <v>0.561800025403499</v>
      </c>
      <c r="I252" s="13" t="n">
        <f aca="false">INDEX(RM_Rates!$F$5:$F$137,MATCH(C252,RM_Rates!$A$5:$A$137,0))</f>
        <v>1.45200002193451</v>
      </c>
      <c r="J252" s="22" t="n">
        <f aca="false">H252*I252</f>
        <v>0.815733649208689</v>
      </c>
    </row>
    <row r="253" customFormat="false" ht="15" hidden="false" customHeight="false" outlineLevel="0" collapsed="false">
      <c r="A253" s="5" t="s">
        <v>473</v>
      </c>
      <c r="B253" s="2" t="s">
        <v>658</v>
      </c>
      <c r="C253" s="5" t="s">
        <v>281</v>
      </c>
      <c r="D253" s="5" t="s">
        <v>282</v>
      </c>
      <c r="E253" s="5" t="s">
        <v>166</v>
      </c>
      <c r="F253" s="21" t="n">
        <v>1</v>
      </c>
      <c r="G253" s="21" t="n">
        <v>0</v>
      </c>
      <c r="H253" s="22" t="n">
        <f aca="false">F253+G253</f>
        <v>1</v>
      </c>
      <c r="I253" s="13" t="n">
        <f aca="false">INDEX(RM_Rates!$F$5:$F$137,MATCH(C253,RM_Rates!$A$5:$A$137,0))</f>
        <v>31.1947288513184</v>
      </c>
      <c r="J253" s="22" t="n">
        <f aca="false">H253*I253</f>
        <v>31.1947288513184</v>
      </c>
    </row>
    <row r="254" customFormat="false" ht="15" hidden="false" customHeight="false" outlineLevel="0" collapsed="false">
      <c r="A254" s="5" t="s">
        <v>473</v>
      </c>
      <c r="B254" s="2" t="s">
        <v>658</v>
      </c>
      <c r="C254" s="5" t="s">
        <v>167</v>
      </c>
      <c r="D254" s="5" t="s">
        <v>168</v>
      </c>
      <c r="E254" s="5" t="s">
        <v>166</v>
      </c>
      <c r="F254" s="21" t="n">
        <v>2</v>
      </c>
      <c r="G254" s="21" t="n">
        <v>0</v>
      </c>
      <c r="H254" s="22" t="n">
        <f aca="false">F254+G254</f>
        <v>2</v>
      </c>
      <c r="I254" s="13" t="n">
        <f aca="false">INDEX(RM_Rates!$F$5:$F$137,MATCH(C254,RM_Rates!$A$5:$A$137,0))</f>
        <v>0.124766282737255</v>
      </c>
      <c r="J254" s="22" t="n">
        <f aca="false">H254*I254</f>
        <v>0.24953256547451</v>
      </c>
    </row>
    <row r="255" customFormat="false" ht="15" hidden="false" customHeight="false" outlineLevel="0" collapsed="false">
      <c r="A255" s="5" t="s">
        <v>473</v>
      </c>
      <c r="B255" s="2" t="s">
        <v>658</v>
      </c>
      <c r="C255" s="5" t="s">
        <v>308</v>
      </c>
      <c r="D255" s="5" t="s">
        <v>309</v>
      </c>
      <c r="E255" s="5" t="s">
        <v>297</v>
      </c>
      <c r="F255" s="21" t="n">
        <v>3.5</v>
      </c>
      <c r="G255" s="21" t="n">
        <v>0</v>
      </c>
      <c r="H255" s="22" t="n">
        <f aca="false">F255+G255</f>
        <v>3.5</v>
      </c>
      <c r="I255" s="13" t="n">
        <f aca="false">INDEX(RM_Rates!$F$5:$F$137,MATCH(C255,RM_Rates!$A$5:$A$137,0))</f>
        <v>1.40752077102661</v>
      </c>
      <c r="J255" s="22" t="n">
        <f aca="false">H255*I255</f>
        <v>4.92632269859314</v>
      </c>
    </row>
    <row r="256" customFormat="false" ht="15" hidden="false" customHeight="false" outlineLevel="0" collapsed="false">
      <c r="A256" s="5" t="s">
        <v>473</v>
      </c>
      <c r="B256" s="2" t="s">
        <v>658</v>
      </c>
      <c r="C256" s="5" t="s">
        <v>189</v>
      </c>
      <c r="D256" s="5" t="s">
        <v>190</v>
      </c>
      <c r="E256" s="5" t="s">
        <v>60</v>
      </c>
      <c r="F256" s="21" t="n">
        <v>0.349999994039536</v>
      </c>
      <c r="G256" s="21" t="n">
        <v>0</v>
      </c>
      <c r="H256" s="22" t="n">
        <f aca="false">F256+G256</f>
        <v>0.349999994039536</v>
      </c>
      <c r="I256" s="13" t="n">
        <f aca="false">INDEX(RM_Rates!$F$5:$F$137,MATCH(C256,RM_Rates!$A$5:$A$137,0))</f>
        <v>0.568400025367737</v>
      </c>
      <c r="J256" s="22" t="n">
        <f aca="false">H256*I256</f>
        <v>0.19894000549078</v>
      </c>
    </row>
    <row r="257" customFormat="false" ht="15" hidden="false" customHeight="false" outlineLevel="0" collapsed="false">
      <c r="A257" s="5" t="s">
        <v>475</v>
      </c>
      <c r="B257" s="2" t="s">
        <v>659</v>
      </c>
      <c r="C257" s="5" t="s">
        <v>120</v>
      </c>
      <c r="D257" s="5" t="s">
        <v>121</v>
      </c>
      <c r="E257" s="5" t="s">
        <v>72</v>
      </c>
      <c r="F257" s="21" t="n">
        <v>3337</v>
      </c>
      <c r="G257" s="21" t="n">
        <v>16.6849994659424</v>
      </c>
      <c r="H257" s="22" t="n">
        <f aca="false">F257+G257</f>
        <v>3353.68499946594</v>
      </c>
      <c r="I257" s="13" t="n">
        <f aca="false">INDEX(RM_Rates!$F$5:$F$137,MATCH(C257,RM_Rates!$A$5:$A$137,0))</f>
        <v>1.967828</v>
      </c>
      <c r="J257" s="22" t="n">
        <f aca="false">H257*I257</f>
        <v>6599.47524512907</v>
      </c>
    </row>
    <row r="258" customFormat="false" ht="15" hidden="false" customHeight="false" outlineLevel="0" collapsed="false">
      <c r="A258" s="5" t="s">
        <v>475</v>
      </c>
      <c r="B258" s="2" t="s">
        <v>659</v>
      </c>
      <c r="C258" s="5" t="s">
        <v>250</v>
      </c>
      <c r="D258" s="5" t="s">
        <v>251</v>
      </c>
      <c r="E258" s="5" t="s">
        <v>252</v>
      </c>
      <c r="F258" s="21" t="n">
        <v>150</v>
      </c>
      <c r="G258" s="21" t="n">
        <v>3.60500001907349</v>
      </c>
      <c r="H258" s="22" t="n">
        <f aca="false">F258+G258</f>
        <v>153.605000019074</v>
      </c>
      <c r="I258" s="13" t="n">
        <f aca="false">INDEX(RM_Rates!$F$5:$F$137,MATCH(C258,RM_Rates!$A$5:$A$137,0))</f>
        <v>0.493537485599518</v>
      </c>
      <c r="J258" s="22" t="n">
        <f aca="false">H258*I258</f>
        <v>75.8098254849274</v>
      </c>
    </row>
    <row r="259" customFormat="false" ht="15" hidden="false" customHeight="false" outlineLevel="0" collapsed="false">
      <c r="A259" s="5" t="s">
        <v>475</v>
      </c>
      <c r="B259" s="2" t="s">
        <v>659</v>
      </c>
      <c r="C259" s="5" t="s">
        <v>328</v>
      </c>
      <c r="D259" s="5" t="s">
        <v>329</v>
      </c>
      <c r="E259" s="5" t="s">
        <v>72</v>
      </c>
      <c r="F259" s="21" t="n">
        <v>132.044998168945</v>
      </c>
      <c r="G259" s="21" t="n">
        <v>6.60200023651123</v>
      </c>
      <c r="H259" s="22" t="n">
        <f aca="false">F259+G259</f>
        <v>138.646998405456</v>
      </c>
      <c r="I259" s="13" t="n">
        <f aca="false">INDEX(RM_Rates!$F$5:$F$137,MATCH(C259,RM_Rates!$A$5:$A$137,0))</f>
        <v>0.821246385574341</v>
      </c>
      <c r="J259" s="22" t="n">
        <f aca="false">H259*I259</f>
        <v>113.863346311212</v>
      </c>
    </row>
    <row r="260" customFormat="false" ht="15" hidden="false" customHeight="false" outlineLevel="0" collapsed="false">
      <c r="A260" s="5" t="s">
        <v>475</v>
      </c>
      <c r="B260" s="2" t="s">
        <v>659</v>
      </c>
      <c r="C260" s="5" t="s">
        <v>312</v>
      </c>
      <c r="D260" s="5" t="s">
        <v>313</v>
      </c>
      <c r="E260" s="5" t="s">
        <v>72</v>
      </c>
      <c r="F260" s="21" t="n">
        <v>408.600006103516</v>
      </c>
      <c r="G260" s="21" t="n">
        <v>20.4300003051758</v>
      </c>
      <c r="H260" s="22" t="n">
        <f aca="false">F260+G260</f>
        <v>429.030006408692</v>
      </c>
      <c r="I260" s="13" t="n">
        <f aca="false">INDEX(RM_Rates!$F$5:$F$137,MATCH(C260,RM_Rates!$A$5:$A$137,0))</f>
        <v>0.600000023841858</v>
      </c>
      <c r="J260" s="22" t="n">
        <f aca="false">H260*I260</f>
        <v>257.418014074088</v>
      </c>
    </row>
    <row r="261" customFormat="false" ht="15" hidden="false" customHeight="false" outlineLevel="0" collapsed="false">
      <c r="A261" s="5" t="s">
        <v>475</v>
      </c>
      <c r="B261" s="2" t="s">
        <v>659</v>
      </c>
      <c r="C261" s="5" t="s">
        <v>162</v>
      </c>
      <c r="D261" s="5" t="s">
        <v>163</v>
      </c>
      <c r="E261" s="5" t="s">
        <v>72</v>
      </c>
      <c r="F261" s="21" t="n">
        <v>54.2999992370606</v>
      </c>
      <c r="G261" s="21" t="n">
        <v>0.542999982833862</v>
      </c>
      <c r="H261" s="22" t="n">
        <f aca="false">F261+G261</f>
        <v>54.8429992198945</v>
      </c>
      <c r="I261" s="13" t="n">
        <f aca="false">INDEX(RM_Rates!$F$5:$F$137,MATCH(C261,RM_Rates!$A$5:$A$137,0))</f>
        <v>3.00841188430786</v>
      </c>
      <c r="J261" s="22" t="n">
        <f aca="false">H261*I261</f>
        <v>164.990330624217</v>
      </c>
    </row>
    <row r="262" customFormat="false" ht="15" hidden="false" customHeight="false" outlineLevel="0" collapsed="false">
      <c r="A262" s="5" t="s">
        <v>475</v>
      </c>
      <c r="B262" s="2" t="s">
        <v>659</v>
      </c>
      <c r="C262" s="5" t="s">
        <v>246</v>
      </c>
      <c r="D262" s="5" t="s">
        <v>247</v>
      </c>
      <c r="E262" s="5" t="s">
        <v>72</v>
      </c>
      <c r="F262" s="21" t="n">
        <v>663.160034179688</v>
      </c>
      <c r="G262" s="21" t="n">
        <v>1.65799999237061</v>
      </c>
      <c r="H262" s="22" t="n">
        <f aca="false">F262+G262</f>
        <v>664.818034172059</v>
      </c>
      <c r="I262" s="13" t="n">
        <f aca="false">INDEX(RM_Rates!$F$5:$F$137,MATCH(C262,RM_Rates!$A$5:$A$137,0))</f>
        <v>0.420493960380554</v>
      </c>
      <c r="J262" s="22" t="n">
        <f aca="false">H262*I262</f>
        <v>279.551968121423</v>
      </c>
    </row>
    <row r="263" customFormat="false" ht="15" hidden="false" customHeight="false" outlineLevel="0" collapsed="false">
      <c r="A263" s="5" t="s">
        <v>475</v>
      </c>
      <c r="B263" s="2" t="s">
        <v>659</v>
      </c>
      <c r="C263" s="5" t="s">
        <v>232</v>
      </c>
      <c r="D263" s="5" t="s">
        <v>233</v>
      </c>
      <c r="E263" s="5" t="s">
        <v>72</v>
      </c>
      <c r="F263" s="21" t="n">
        <v>10.6105604171753</v>
      </c>
      <c r="G263" s="21" t="n">
        <v>0.0269999988377094</v>
      </c>
      <c r="H263" s="22" t="n">
        <f aca="false">F263+G263</f>
        <v>10.637560416013</v>
      </c>
      <c r="I263" s="13" t="n">
        <f aca="false">INDEX(RM_Rates!$F$5:$F$137,MATCH(C263,RM_Rates!$A$5:$A$137,0))</f>
        <v>1.45200002193451</v>
      </c>
      <c r="J263" s="22" t="n">
        <f aca="false">H263*I263</f>
        <v>15.4457379573806</v>
      </c>
    </row>
    <row r="264" customFormat="false" ht="15" hidden="false" customHeight="false" outlineLevel="0" collapsed="false">
      <c r="A264" s="5" t="s">
        <v>475</v>
      </c>
      <c r="B264" s="2" t="s">
        <v>659</v>
      </c>
      <c r="C264" s="5" t="s">
        <v>77</v>
      </c>
      <c r="D264" s="5" t="s">
        <v>78</v>
      </c>
      <c r="E264" s="5" t="s">
        <v>72</v>
      </c>
      <c r="F264" s="21" t="n">
        <v>591.099975585938</v>
      </c>
      <c r="G264" s="21" t="n">
        <v>5.91099977493286</v>
      </c>
      <c r="H264" s="22" t="n">
        <f aca="false">F264+G264</f>
        <v>597.010975360871</v>
      </c>
      <c r="I264" s="13" t="n">
        <f aca="false">INDEX(RM_Rates!$F$5:$F$137,MATCH(C264,RM_Rates!$A$5:$A$137,0))</f>
        <v>0.967333495616913</v>
      </c>
      <c r="J264" s="22" t="n">
        <f aca="false">H264*I264</f>
        <v>577.508713717494</v>
      </c>
    </row>
    <row r="265" customFormat="false" ht="15" hidden="false" customHeight="false" outlineLevel="0" collapsed="false">
      <c r="A265" s="5" t="s">
        <v>475</v>
      </c>
      <c r="B265" s="2" t="s">
        <v>659</v>
      </c>
      <c r="C265" s="5" t="s">
        <v>255</v>
      </c>
      <c r="D265" s="5" t="s">
        <v>256</v>
      </c>
      <c r="E265" s="5" t="s">
        <v>166</v>
      </c>
      <c r="F265" s="21" t="n">
        <v>2</v>
      </c>
      <c r="G265" s="21" t="n">
        <v>0</v>
      </c>
      <c r="H265" s="22" t="n">
        <f aca="false">F265+G265</f>
        <v>2</v>
      </c>
      <c r="I265" s="13" t="n">
        <f aca="false">INDEX(RM_Rates!$F$5:$F$137,MATCH(C265,RM_Rates!$A$5:$A$137,0))</f>
        <v>114.500701904297</v>
      </c>
      <c r="J265" s="22" t="n">
        <f aca="false">H265*I265</f>
        <v>229.001403808594</v>
      </c>
    </row>
    <row r="266" customFormat="false" ht="15" hidden="false" customHeight="false" outlineLevel="0" collapsed="false">
      <c r="A266" s="5" t="s">
        <v>475</v>
      </c>
      <c r="B266" s="2" t="s">
        <v>659</v>
      </c>
      <c r="C266" s="5" t="s">
        <v>173</v>
      </c>
      <c r="D266" s="5" t="s">
        <v>174</v>
      </c>
      <c r="E266" s="5" t="s">
        <v>166</v>
      </c>
      <c r="F266" s="21" t="n">
        <v>4</v>
      </c>
      <c r="G266" s="21" t="n">
        <v>0</v>
      </c>
      <c r="H266" s="22" t="n">
        <f aca="false">F266+G266</f>
        <v>4</v>
      </c>
      <c r="I266" s="13" t="n">
        <f aca="false">INDEX(RM_Rates!$F$5:$F$137,MATCH(C266,RM_Rates!$A$5:$A$137,0))</f>
        <v>0.255849838256836</v>
      </c>
      <c r="J266" s="22" t="n">
        <f aca="false">H266*I266</f>
        <v>1.02339935302734</v>
      </c>
    </row>
    <row r="267" customFormat="false" ht="15" hidden="false" customHeight="false" outlineLevel="0" collapsed="false">
      <c r="A267" s="5" t="s">
        <v>475</v>
      </c>
      <c r="B267" s="2" t="s">
        <v>659</v>
      </c>
      <c r="C267" s="5" t="s">
        <v>189</v>
      </c>
      <c r="D267" s="5" t="s">
        <v>190</v>
      </c>
      <c r="E267" s="5" t="s">
        <v>60</v>
      </c>
      <c r="F267" s="21" t="n">
        <v>1.53999996185303</v>
      </c>
      <c r="G267" s="21" t="n">
        <v>0</v>
      </c>
      <c r="H267" s="22" t="n">
        <f aca="false">F267+G267</f>
        <v>1.53999996185303</v>
      </c>
      <c r="I267" s="13" t="n">
        <f aca="false">INDEX(RM_Rates!$F$5:$F$137,MATCH(C267,RM_Rates!$A$5:$A$137,0))</f>
        <v>0.568400025367737</v>
      </c>
      <c r="J267" s="22" t="n">
        <f aca="false">H267*I267</f>
        <v>0.875336017383576</v>
      </c>
    </row>
    <row r="268" customFormat="false" ht="15" hidden="false" customHeight="false" outlineLevel="0" collapsed="false">
      <c r="A268" s="5" t="s">
        <v>475</v>
      </c>
      <c r="B268" s="2" t="s">
        <v>659</v>
      </c>
      <c r="C268" s="5" t="s">
        <v>295</v>
      </c>
      <c r="D268" s="5" t="s">
        <v>296</v>
      </c>
      <c r="E268" s="5" t="s">
        <v>297</v>
      </c>
      <c r="F268" s="21" t="n">
        <v>12.6000003814697</v>
      </c>
      <c r="G268" s="21" t="n">
        <v>0</v>
      </c>
      <c r="H268" s="22" t="n">
        <f aca="false">F268+G268</f>
        <v>12.6000003814697</v>
      </c>
      <c r="I268" s="13" t="n">
        <f aca="false">INDEX(RM_Rates!$F$5:$F$137,MATCH(C268,RM_Rates!$A$5:$A$137,0))</f>
        <v>1.40752077102661</v>
      </c>
      <c r="J268" s="22" t="n">
        <f aca="false">H268*I268</f>
        <v>17.7347622518618</v>
      </c>
    </row>
    <row r="269" customFormat="false" ht="15" hidden="false" customHeight="false" outlineLevel="0" collapsed="false">
      <c r="A269" s="5" t="s">
        <v>478</v>
      </c>
      <c r="B269" s="2" t="s">
        <v>660</v>
      </c>
      <c r="C269" s="5" t="s">
        <v>122</v>
      </c>
      <c r="D269" s="5" t="s">
        <v>123</v>
      </c>
      <c r="E269" s="5" t="s">
        <v>72</v>
      </c>
      <c r="F269" s="21" t="n">
        <v>5540</v>
      </c>
      <c r="G269" s="21" t="n">
        <v>27.7000007629395</v>
      </c>
      <c r="H269" s="22" t="n">
        <f aca="false">F269+G269</f>
        <v>5567.70000076294</v>
      </c>
      <c r="I269" s="13" t="n">
        <f aca="false">INDEX(RM_Rates!$F$5:$F$137,MATCH(C269,RM_Rates!$A$5:$A$137,0))</f>
        <v>1.967442</v>
      </c>
      <c r="J269" s="22" t="n">
        <f aca="false">H269*I269</f>
        <v>10954.126824901</v>
      </c>
    </row>
    <row r="270" customFormat="false" ht="15" hidden="false" customHeight="false" outlineLevel="0" collapsed="false">
      <c r="A270" s="5" t="s">
        <v>478</v>
      </c>
      <c r="B270" s="2" t="s">
        <v>660</v>
      </c>
      <c r="C270" s="5" t="s">
        <v>250</v>
      </c>
      <c r="D270" s="5" t="s">
        <v>251</v>
      </c>
      <c r="E270" s="5" t="s">
        <v>252</v>
      </c>
      <c r="F270" s="21" t="n">
        <v>191</v>
      </c>
      <c r="G270" s="21" t="n">
        <v>4.55499982833862</v>
      </c>
      <c r="H270" s="22" t="n">
        <f aca="false">F270+G270</f>
        <v>195.554999828339</v>
      </c>
      <c r="I270" s="13" t="n">
        <f aca="false">INDEX(RM_Rates!$F$5:$F$137,MATCH(C270,RM_Rates!$A$5:$A$137,0))</f>
        <v>0.493537485599518</v>
      </c>
      <c r="J270" s="22" t="n">
        <f aca="false">H270*I270</f>
        <v>96.5137229116924</v>
      </c>
    </row>
    <row r="271" customFormat="false" ht="15" hidden="false" customHeight="false" outlineLevel="0" collapsed="false">
      <c r="A271" s="5" t="s">
        <v>478</v>
      </c>
      <c r="B271" s="2" t="s">
        <v>660</v>
      </c>
      <c r="C271" s="5" t="s">
        <v>328</v>
      </c>
      <c r="D271" s="5" t="s">
        <v>329</v>
      </c>
      <c r="E271" s="5" t="s">
        <v>72</v>
      </c>
      <c r="F271" s="21" t="n">
        <v>161.212005615234</v>
      </c>
      <c r="G271" s="21" t="n">
        <v>8.0600004196167</v>
      </c>
      <c r="H271" s="22" t="n">
        <f aca="false">F271+G271</f>
        <v>169.272006034851</v>
      </c>
      <c r="I271" s="13" t="n">
        <f aca="false">INDEX(RM_Rates!$F$5:$F$137,MATCH(C271,RM_Rates!$A$5:$A$137,0))</f>
        <v>0.821246385574341</v>
      </c>
      <c r="J271" s="22" t="n">
        <f aca="false">H271*I271</f>
        <v>139.014023135039</v>
      </c>
    </row>
    <row r="272" customFormat="false" ht="15" hidden="false" customHeight="false" outlineLevel="0" collapsed="false">
      <c r="A272" s="5" t="s">
        <v>478</v>
      </c>
      <c r="B272" s="2" t="s">
        <v>660</v>
      </c>
      <c r="C272" s="5" t="s">
        <v>312</v>
      </c>
      <c r="D272" s="5" t="s">
        <v>313</v>
      </c>
      <c r="E272" s="5" t="s">
        <v>72</v>
      </c>
      <c r="F272" s="21" t="n">
        <v>498.399993896484</v>
      </c>
      <c r="G272" s="21" t="n">
        <v>24.9200000762939</v>
      </c>
      <c r="H272" s="22" t="n">
        <f aca="false">F272+G272</f>
        <v>523.319993972778</v>
      </c>
      <c r="I272" s="13" t="n">
        <f aca="false">INDEX(RM_Rates!$F$5:$F$137,MATCH(C272,RM_Rates!$A$5:$A$137,0))</f>
        <v>0.600000023841858</v>
      </c>
      <c r="J272" s="22" t="n">
        <f aca="false">H272*I272</f>
        <v>313.992008860588</v>
      </c>
    </row>
    <row r="273" customFormat="false" ht="15" hidden="false" customHeight="false" outlineLevel="0" collapsed="false">
      <c r="A273" s="5" t="s">
        <v>478</v>
      </c>
      <c r="B273" s="2" t="s">
        <v>660</v>
      </c>
      <c r="C273" s="5" t="s">
        <v>162</v>
      </c>
      <c r="D273" s="5" t="s">
        <v>163</v>
      </c>
      <c r="E273" s="5" t="s">
        <v>72</v>
      </c>
      <c r="F273" s="21" t="n">
        <v>64.3000030517578</v>
      </c>
      <c r="G273" s="21" t="n">
        <v>0.64300000667572</v>
      </c>
      <c r="H273" s="22" t="n">
        <f aca="false">F273+G273</f>
        <v>64.9430030584335</v>
      </c>
      <c r="I273" s="13" t="n">
        <f aca="false">INDEX(RM_Rates!$F$5:$F$137,MATCH(C273,RM_Rates!$A$5:$A$137,0))</f>
        <v>3.00841188430786</v>
      </c>
      <c r="J273" s="22" t="n">
        <f aca="false">H273*I273</f>
        <v>195.375302203633</v>
      </c>
    </row>
    <row r="274" customFormat="false" ht="15" hidden="false" customHeight="false" outlineLevel="0" collapsed="false">
      <c r="A274" s="5" t="s">
        <v>478</v>
      </c>
      <c r="B274" s="2" t="s">
        <v>660</v>
      </c>
      <c r="C274" s="5" t="s">
        <v>212</v>
      </c>
      <c r="D274" s="5" t="s">
        <v>213</v>
      </c>
      <c r="E274" s="5" t="s">
        <v>72</v>
      </c>
      <c r="F274" s="21" t="n">
        <v>15.1000003814697</v>
      </c>
      <c r="G274" s="21" t="n">
        <v>0</v>
      </c>
      <c r="H274" s="22" t="n">
        <f aca="false">F274+G274</f>
        <v>15.1000003814697</v>
      </c>
      <c r="I274" s="13" t="n">
        <f aca="false">INDEX(RM_Rates!$F$5:$F$137,MATCH(C274,RM_Rates!$A$5:$A$137,0))</f>
        <v>0.750177025794983</v>
      </c>
      <c r="J274" s="22" t="n">
        <f aca="false">H274*I274</f>
        <v>11.327673375674</v>
      </c>
    </row>
    <row r="275" customFormat="false" ht="15" hidden="false" customHeight="false" outlineLevel="0" collapsed="false">
      <c r="A275" s="5" t="s">
        <v>478</v>
      </c>
      <c r="B275" s="2" t="s">
        <v>660</v>
      </c>
      <c r="C275" s="5" t="s">
        <v>246</v>
      </c>
      <c r="D275" s="5" t="s">
        <v>247</v>
      </c>
      <c r="E275" s="5" t="s">
        <v>72</v>
      </c>
      <c r="F275" s="21" t="n">
        <v>818.5</v>
      </c>
      <c r="G275" s="21" t="n">
        <v>2.04699993133545</v>
      </c>
      <c r="H275" s="22" t="n">
        <f aca="false">F275+G275</f>
        <v>820.546999931335</v>
      </c>
      <c r="I275" s="13" t="n">
        <f aca="false">INDEX(RM_Rates!$F$5:$F$137,MATCH(C275,RM_Rates!$A$5:$A$137,0))</f>
        <v>0.420493960380554</v>
      </c>
      <c r="J275" s="22" t="n">
        <f aca="false">H275*I275</f>
        <v>345.035057679509</v>
      </c>
    </row>
    <row r="276" customFormat="false" ht="15" hidden="false" customHeight="false" outlineLevel="0" collapsed="false">
      <c r="A276" s="5" t="s">
        <v>478</v>
      </c>
      <c r="B276" s="2" t="s">
        <v>660</v>
      </c>
      <c r="C276" s="5" t="s">
        <v>232</v>
      </c>
      <c r="D276" s="5" t="s">
        <v>233</v>
      </c>
      <c r="E276" s="5" t="s">
        <v>72</v>
      </c>
      <c r="F276" s="21" t="n">
        <v>13.0959997177124</v>
      </c>
      <c r="G276" s="21" t="n">
        <v>0.0319999977946281</v>
      </c>
      <c r="H276" s="22" t="n">
        <f aca="false">F276+G276</f>
        <v>13.127999715507</v>
      </c>
      <c r="I276" s="13" t="n">
        <f aca="false">INDEX(RM_Rates!$F$5:$F$137,MATCH(C276,RM_Rates!$A$5:$A$137,0))</f>
        <v>1.45200002193451</v>
      </c>
      <c r="J276" s="22" t="n">
        <f aca="false">H276*I276</f>
        <v>19.0618558748724</v>
      </c>
    </row>
    <row r="277" customFormat="false" ht="15" hidden="false" customHeight="false" outlineLevel="0" collapsed="false">
      <c r="A277" s="5" t="s">
        <v>478</v>
      </c>
      <c r="B277" s="2" t="s">
        <v>660</v>
      </c>
      <c r="C277" s="5" t="s">
        <v>77</v>
      </c>
      <c r="D277" s="5" t="s">
        <v>78</v>
      </c>
      <c r="E277" s="5" t="s">
        <v>72</v>
      </c>
      <c r="F277" s="21" t="n">
        <v>711.900024414063</v>
      </c>
      <c r="G277" s="21" t="n">
        <v>7.11899995803833</v>
      </c>
      <c r="H277" s="22" t="n">
        <f aca="false">F277+G277</f>
        <v>719.019024372101</v>
      </c>
      <c r="I277" s="13" t="n">
        <f aca="false">INDEX(RM_Rates!$F$5:$F$137,MATCH(C277,RM_Rates!$A$5:$A$137,0))</f>
        <v>0.967333495616913</v>
      </c>
      <c r="J277" s="22" t="n">
        <f aca="false">H277*I277</f>
        <v>695.531186260927</v>
      </c>
    </row>
    <row r="278" customFormat="false" ht="15" hidden="false" customHeight="false" outlineLevel="0" collapsed="false">
      <c r="A278" s="5" t="s">
        <v>478</v>
      </c>
      <c r="B278" s="2" t="s">
        <v>660</v>
      </c>
      <c r="C278" s="5" t="s">
        <v>255</v>
      </c>
      <c r="D278" s="5" t="s">
        <v>256</v>
      </c>
      <c r="E278" s="5" t="s">
        <v>166</v>
      </c>
      <c r="F278" s="21" t="n">
        <v>2</v>
      </c>
      <c r="G278" s="21" t="n">
        <v>0</v>
      </c>
      <c r="H278" s="22" t="n">
        <f aca="false">F278+G278</f>
        <v>2</v>
      </c>
      <c r="I278" s="13" t="n">
        <f aca="false">INDEX(RM_Rates!$F$5:$F$137,MATCH(C278,RM_Rates!$A$5:$A$137,0))</f>
        <v>114.500701904297</v>
      </c>
      <c r="J278" s="22" t="n">
        <f aca="false">H278*I278</f>
        <v>229.001403808594</v>
      </c>
    </row>
    <row r="279" customFormat="false" ht="15" hidden="false" customHeight="false" outlineLevel="0" collapsed="false">
      <c r="A279" s="5" t="s">
        <v>478</v>
      </c>
      <c r="B279" s="2" t="s">
        <v>660</v>
      </c>
      <c r="C279" s="5" t="s">
        <v>175</v>
      </c>
      <c r="D279" s="5" t="s">
        <v>176</v>
      </c>
      <c r="E279" s="5" t="s">
        <v>166</v>
      </c>
      <c r="F279" s="21" t="n">
        <v>4</v>
      </c>
      <c r="G279" s="21" t="n">
        <v>0</v>
      </c>
      <c r="H279" s="22" t="n">
        <f aca="false">F279+G279</f>
        <v>4</v>
      </c>
      <c r="I279" s="13" t="n">
        <f aca="false">INDEX(RM_Rates!$F$5:$F$137,MATCH(C279,RM_Rates!$A$5:$A$137,0))</f>
        <v>0.39300000667572</v>
      </c>
      <c r="J279" s="22" t="n">
        <f aca="false">H279*I279</f>
        <v>1.57200002670288</v>
      </c>
    </row>
    <row r="280" customFormat="false" ht="15" hidden="false" customHeight="false" outlineLevel="0" collapsed="false">
      <c r="A280" s="5" t="s">
        <v>478</v>
      </c>
      <c r="B280" s="2" t="s">
        <v>660</v>
      </c>
      <c r="C280" s="5" t="s">
        <v>189</v>
      </c>
      <c r="D280" s="5" t="s">
        <v>190</v>
      </c>
      <c r="E280" s="5" t="s">
        <v>60</v>
      </c>
      <c r="F280" s="21" t="n">
        <v>1.53999996185303</v>
      </c>
      <c r="G280" s="21" t="n">
        <v>0</v>
      </c>
      <c r="H280" s="22" t="n">
        <f aca="false">F280+G280</f>
        <v>1.53999996185303</v>
      </c>
      <c r="I280" s="13" t="n">
        <f aca="false">INDEX(RM_Rates!$F$5:$F$137,MATCH(C280,RM_Rates!$A$5:$A$137,0))</f>
        <v>0.568400025367737</v>
      </c>
      <c r="J280" s="22" t="n">
        <f aca="false">H280*I280</f>
        <v>0.875336017383576</v>
      </c>
    </row>
    <row r="281" customFormat="false" ht="15" hidden="false" customHeight="false" outlineLevel="0" collapsed="false">
      <c r="A281" s="5" t="s">
        <v>478</v>
      </c>
      <c r="B281" s="2" t="s">
        <v>660</v>
      </c>
      <c r="C281" s="5" t="s">
        <v>295</v>
      </c>
      <c r="D281" s="5" t="s">
        <v>296</v>
      </c>
      <c r="E281" s="5" t="s">
        <v>297</v>
      </c>
      <c r="F281" s="21" t="n">
        <v>12.6000003814697</v>
      </c>
      <c r="G281" s="21" t="n">
        <v>0</v>
      </c>
      <c r="H281" s="22" t="n">
        <f aca="false">F281+G281</f>
        <v>12.6000003814697</v>
      </c>
      <c r="I281" s="13" t="n">
        <f aca="false">INDEX(RM_Rates!$F$5:$F$137,MATCH(C281,RM_Rates!$A$5:$A$137,0))</f>
        <v>1.40752077102661</v>
      </c>
      <c r="J281" s="22" t="n">
        <f aca="false">H281*I281</f>
        <v>17.7347622518618</v>
      </c>
    </row>
    <row r="282" customFormat="false" ht="15" hidden="false" customHeight="false" outlineLevel="0" collapsed="false">
      <c r="A282" s="5" t="s">
        <v>480</v>
      </c>
      <c r="B282" s="2" t="s">
        <v>661</v>
      </c>
      <c r="C282" s="5" t="s">
        <v>122</v>
      </c>
      <c r="D282" s="5" t="s">
        <v>123</v>
      </c>
      <c r="E282" s="5" t="s">
        <v>72</v>
      </c>
      <c r="F282" s="21" t="n">
        <v>5540</v>
      </c>
      <c r="G282" s="21" t="n">
        <v>27.7000007629395</v>
      </c>
      <c r="H282" s="22" t="n">
        <f aca="false">F282+G282</f>
        <v>5567.70000076294</v>
      </c>
      <c r="I282" s="13" t="n">
        <f aca="false">INDEX(RM_Rates!$F$5:$F$137,MATCH(C282,RM_Rates!$A$5:$A$137,0))</f>
        <v>1.967442</v>
      </c>
      <c r="J282" s="22" t="n">
        <f aca="false">H282*I282</f>
        <v>10954.126824901</v>
      </c>
    </row>
    <row r="283" customFormat="false" ht="15" hidden="false" customHeight="false" outlineLevel="0" collapsed="false">
      <c r="A283" s="5" t="s">
        <v>480</v>
      </c>
      <c r="B283" s="2" t="s">
        <v>661</v>
      </c>
      <c r="C283" s="5" t="s">
        <v>250</v>
      </c>
      <c r="D283" s="5" t="s">
        <v>251</v>
      </c>
      <c r="E283" s="5" t="s">
        <v>252</v>
      </c>
      <c r="F283" s="21" t="n">
        <v>191</v>
      </c>
      <c r="G283" s="21" t="n">
        <v>4.55499982833862</v>
      </c>
      <c r="H283" s="22" t="n">
        <f aca="false">F283+G283</f>
        <v>195.554999828339</v>
      </c>
      <c r="I283" s="13" t="n">
        <f aca="false">INDEX(RM_Rates!$F$5:$F$137,MATCH(C283,RM_Rates!$A$5:$A$137,0))</f>
        <v>0.493537485599518</v>
      </c>
      <c r="J283" s="22" t="n">
        <f aca="false">H283*I283</f>
        <v>96.5137229116924</v>
      </c>
    </row>
    <row r="284" customFormat="false" ht="15" hidden="false" customHeight="false" outlineLevel="0" collapsed="false">
      <c r="A284" s="5" t="s">
        <v>480</v>
      </c>
      <c r="B284" s="2" t="s">
        <v>661</v>
      </c>
      <c r="C284" s="5" t="s">
        <v>328</v>
      </c>
      <c r="D284" s="5" t="s">
        <v>329</v>
      </c>
      <c r="E284" s="5" t="s">
        <v>72</v>
      </c>
      <c r="F284" s="21" t="n">
        <v>128.912002563477</v>
      </c>
      <c r="G284" s="21" t="n">
        <v>6.44500017166138</v>
      </c>
      <c r="H284" s="22" t="n">
        <f aca="false">F284+G284</f>
        <v>135.357002735138</v>
      </c>
      <c r="I284" s="13" t="n">
        <f aca="false">INDEX(RM_Rates!$F$5:$F$137,MATCH(C284,RM_Rates!$A$5:$A$137,0))</f>
        <v>0.821246385574341</v>
      </c>
      <c r="J284" s="22" t="n">
        <f aca="false">H284*I284</f>
        <v>111.161449258409</v>
      </c>
    </row>
    <row r="285" customFormat="false" ht="15" hidden="false" customHeight="false" outlineLevel="0" collapsed="false">
      <c r="A285" s="5" t="s">
        <v>480</v>
      </c>
      <c r="B285" s="2" t="s">
        <v>661</v>
      </c>
      <c r="C285" s="5" t="s">
        <v>312</v>
      </c>
      <c r="D285" s="5" t="s">
        <v>313</v>
      </c>
      <c r="E285" s="5" t="s">
        <v>72</v>
      </c>
      <c r="F285" s="21" t="n">
        <v>339.700012207031</v>
      </c>
      <c r="G285" s="21" t="n">
        <v>16.9850006103516</v>
      </c>
      <c r="H285" s="22" t="n">
        <f aca="false">F285+G285</f>
        <v>356.685012817383</v>
      </c>
      <c r="I285" s="13" t="n">
        <f aca="false">INDEX(RM_Rates!$F$5:$F$137,MATCH(C285,RM_Rates!$A$5:$A$137,0))</f>
        <v>0.600000023841858</v>
      </c>
      <c r="J285" s="22" t="n">
        <f aca="false">H285*I285</f>
        <v>214.011016194463</v>
      </c>
    </row>
    <row r="286" customFormat="false" ht="15" hidden="false" customHeight="false" outlineLevel="0" collapsed="false">
      <c r="A286" s="5" t="s">
        <v>480</v>
      </c>
      <c r="B286" s="2" t="s">
        <v>661</v>
      </c>
      <c r="C286" s="5" t="s">
        <v>162</v>
      </c>
      <c r="D286" s="5" t="s">
        <v>163</v>
      </c>
      <c r="E286" s="5" t="s">
        <v>72</v>
      </c>
      <c r="F286" s="21" t="n">
        <v>59.7000007629395</v>
      </c>
      <c r="G286" s="21" t="n">
        <v>0.597000002861023</v>
      </c>
      <c r="H286" s="22" t="n">
        <f aca="false">F286+G286</f>
        <v>60.2970007658005</v>
      </c>
      <c r="I286" s="13" t="n">
        <f aca="false">INDEX(RM_Rates!$F$5:$F$137,MATCH(C286,RM_Rates!$A$5:$A$137,0))</f>
        <v>3.00841188430786</v>
      </c>
      <c r="J286" s="22" t="n">
        <f aca="false">H286*I286</f>
        <v>181.398213691954</v>
      </c>
    </row>
    <row r="287" customFormat="false" ht="15" hidden="false" customHeight="false" outlineLevel="0" collapsed="false">
      <c r="A287" s="5" t="s">
        <v>480</v>
      </c>
      <c r="B287" s="2" t="s">
        <v>661</v>
      </c>
      <c r="C287" s="5" t="s">
        <v>212</v>
      </c>
      <c r="D287" s="5" t="s">
        <v>213</v>
      </c>
      <c r="E287" s="5" t="s">
        <v>72</v>
      </c>
      <c r="F287" s="21" t="n">
        <v>14</v>
      </c>
      <c r="G287" s="21" t="n">
        <v>0</v>
      </c>
      <c r="H287" s="22" t="n">
        <f aca="false">F287+G287</f>
        <v>14</v>
      </c>
      <c r="I287" s="13" t="n">
        <f aca="false">INDEX(RM_Rates!$F$5:$F$137,MATCH(C287,RM_Rates!$A$5:$A$137,0))</f>
        <v>0.750177025794983</v>
      </c>
      <c r="J287" s="22" t="n">
        <f aca="false">H287*I287</f>
        <v>10.5024783611298</v>
      </c>
    </row>
    <row r="288" customFormat="false" ht="15" hidden="false" customHeight="false" outlineLevel="0" collapsed="false">
      <c r="A288" s="5" t="s">
        <v>480</v>
      </c>
      <c r="B288" s="2" t="s">
        <v>661</v>
      </c>
      <c r="C288" s="5" t="s">
        <v>246</v>
      </c>
      <c r="D288" s="5" t="s">
        <v>247</v>
      </c>
      <c r="E288" s="5" t="s">
        <v>72</v>
      </c>
      <c r="F288" s="21" t="n">
        <v>744.190002441406</v>
      </c>
      <c r="G288" s="21" t="n">
        <v>1.85999989509583</v>
      </c>
      <c r="H288" s="22" t="n">
        <f aca="false">F288+G288</f>
        <v>746.050002336502</v>
      </c>
      <c r="I288" s="13" t="n">
        <f aca="false">INDEX(RM_Rates!$F$5:$F$137,MATCH(C288,RM_Rates!$A$5:$A$137,0))</f>
        <v>0.420493960380554</v>
      </c>
      <c r="J288" s="22" t="n">
        <f aca="false">H288*I288</f>
        <v>313.709520124397</v>
      </c>
    </row>
    <row r="289" customFormat="false" ht="15" hidden="false" customHeight="false" outlineLevel="0" collapsed="false">
      <c r="A289" s="5" t="s">
        <v>480</v>
      </c>
      <c r="B289" s="2" t="s">
        <v>661</v>
      </c>
      <c r="C289" s="5" t="s">
        <v>232</v>
      </c>
      <c r="D289" s="5" t="s">
        <v>233</v>
      </c>
      <c r="E289" s="5" t="s">
        <v>72</v>
      </c>
      <c r="F289" s="21" t="n">
        <v>11.907039642334</v>
      </c>
      <c r="G289" s="21" t="n">
        <v>0.0299999993294477</v>
      </c>
      <c r="H289" s="22" t="n">
        <f aca="false">F289+G289</f>
        <v>11.9370396416634</v>
      </c>
      <c r="I289" s="13" t="n">
        <f aca="false">INDEX(RM_Rates!$F$5:$F$137,MATCH(C289,RM_Rates!$A$5:$A$137,0))</f>
        <v>1.45200002193451</v>
      </c>
      <c r="J289" s="22" t="n">
        <f aca="false">H289*I289</f>
        <v>17.3325818215284</v>
      </c>
    </row>
    <row r="290" customFormat="false" ht="15" hidden="false" customHeight="false" outlineLevel="0" collapsed="false">
      <c r="A290" s="5" t="s">
        <v>480</v>
      </c>
      <c r="B290" s="2" t="s">
        <v>661</v>
      </c>
      <c r="C290" s="5" t="s">
        <v>77</v>
      </c>
      <c r="D290" s="5" t="s">
        <v>78</v>
      </c>
      <c r="E290" s="5" t="s">
        <v>72</v>
      </c>
      <c r="F290" s="21" t="n">
        <v>658.200012207031</v>
      </c>
      <c r="G290" s="21" t="n">
        <v>6.58199977874756</v>
      </c>
      <c r="H290" s="22" t="n">
        <f aca="false">F290+G290</f>
        <v>664.782011985779</v>
      </c>
      <c r="I290" s="13" t="n">
        <f aca="false">INDEX(RM_Rates!$F$5:$F$137,MATCH(C290,RM_Rates!$A$5:$A$137,0))</f>
        <v>0.967333495616913</v>
      </c>
      <c r="J290" s="22" t="n">
        <f aca="false">H290*I290</f>
        <v>643.065907477448</v>
      </c>
    </row>
    <row r="291" customFormat="false" ht="15" hidden="false" customHeight="false" outlineLevel="0" collapsed="false">
      <c r="A291" s="5" t="s">
        <v>480</v>
      </c>
      <c r="B291" s="2" t="s">
        <v>661</v>
      </c>
      <c r="C291" s="5" t="s">
        <v>255</v>
      </c>
      <c r="D291" s="5" t="s">
        <v>256</v>
      </c>
      <c r="E291" s="5" t="s">
        <v>166</v>
      </c>
      <c r="F291" s="21" t="n">
        <v>2</v>
      </c>
      <c r="G291" s="21" t="n">
        <v>0</v>
      </c>
      <c r="H291" s="22" t="n">
        <f aca="false">F291+G291</f>
        <v>2</v>
      </c>
      <c r="I291" s="13" t="n">
        <f aca="false">INDEX(RM_Rates!$F$5:$F$137,MATCH(C291,RM_Rates!$A$5:$A$137,0))</f>
        <v>114.500701904297</v>
      </c>
      <c r="J291" s="22" t="n">
        <f aca="false">H291*I291</f>
        <v>229.001403808594</v>
      </c>
    </row>
    <row r="292" customFormat="false" ht="15" hidden="false" customHeight="false" outlineLevel="0" collapsed="false">
      <c r="A292" s="5" t="s">
        <v>480</v>
      </c>
      <c r="B292" s="2" t="s">
        <v>661</v>
      </c>
      <c r="C292" s="5" t="s">
        <v>175</v>
      </c>
      <c r="D292" s="5" t="s">
        <v>176</v>
      </c>
      <c r="E292" s="5" t="s">
        <v>166</v>
      </c>
      <c r="F292" s="21" t="n">
        <v>4</v>
      </c>
      <c r="G292" s="21" t="n">
        <v>0</v>
      </c>
      <c r="H292" s="22" t="n">
        <f aca="false">F292+G292</f>
        <v>4</v>
      </c>
      <c r="I292" s="13" t="n">
        <f aca="false">INDEX(RM_Rates!$F$5:$F$137,MATCH(C292,RM_Rates!$A$5:$A$137,0))</f>
        <v>0.39300000667572</v>
      </c>
      <c r="J292" s="22" t="n">
        <f aca="false">H292*I292</f>
        <v>1.57200002670288</v>
      </c>
    </row>
    <row r="293" customFormat="false" ht="15" hidden="false" customHeight="false" outlineLevel="0" collapsed="false">
      <c r="A293" s="5" t="s">
        <v>480</v>
      </c>
      <c r="B293" s="2" t="s">
        <v>661</v>
      </c>
      <c r="C293" s="5" t="s">
        <v>189</v>
      </c>
      <c r="D293" s="5" t="s">
        <v>190</v>
      </c>
      <c r="E293" s="5" t="s">
        <v>60</v>
      </c>
      <c r="F293" s="21" t="n">
        <v>1.53999996185303</v>
      </c>
      <c r="G293" s="21" t="n">
        <v>0</v>
      </c>
      <c r="H293" s="22" t="n">
        <f aca="false">F293+G293</f>
        <v>1.53999996185303</v>
      </c>
      <c r="I293" s="13" t="n">
        <f aca="false">INDEX(RM_Rates!$F$5:$F$137,MATCH(C293,RM_Rates!$A$5:$A$137,0))</f>
        <v>0.568400025367737</v>
      </c>
      <c r="J293" s="22" t="n">
        <f aca="false">H293*I293</f>
        <v>0.875336017383576</v>
      </c>
    </row>
    <row r="294" customFormat="false" ht="15" hidden="false" customHeight="false" outlineLevel="0" collapsed="false">
      <c r="A294" s="5" t="s">
        <v>480</v>
      </c>
      <c r="B294" s="2" t="s">
        <v>661</v>
      </c>
      <c r="C294" s="5" t="s">
        <v>295</v>
      </c>
      <c r="D294" s="5" t="s">
        <v>296</v>
      </c>
      <c r="E294" s="5" t="s">
        <v>297</v>
      </c>
      <c r="F294" s="21" t="n">
        <v>12.6000003814697</v>
      </c>
      <c r="G294" s="21" t="n">
        <v>0</v>
      </c>
      <c r="H294" s="22" t="n">
        <f aca="false">F294+G294</f>
        <v>12.6000003814697</v>
      </c>
      <c r="I294" s="13" t="n">
        <f aca="false">INDEX(RM_Rates!$F$5:$F$137,MATCH(C294,RM_Rates!$A$5:$A$137,0))</f>
        <v>1.40752077102661</v>
      </c>
      <c r="J294" s="22" t="n">
        <f aca="false">H294*I294</f>
        <v>17.7347622518618</v>
      </c>
    </row>
    <row r="295" customFormat="false" ht="15" hidden="false" customHeight="false" outlineLevel="0" collapsed="false">
      <c r="A295" s="5" t="s">
        <v>483</v>
      </c>
      <c r="B295" s="2" t="s">
        <v>662</v>
      </c>
      <c r="C295" s="5" t="s">
        <v>86</v>
      </c>
      <c r="D295" s="5" t="s">
        <v>87</v>
      </c>
      <c r="E295" s="5" t="s">
        <v>72</v>
      </c>
      <c r="F295" s="21" t="n">
        <v>21.2999992370605</v>
      </c>
      <c r="G295" s="21" t="n">
        <v>0.10700000077486</v>
      </c>
      <c r="H295" s="22" t="n">
        <f aca="false">F295+G295</f>
        <v>21.4069992378354</v>
      </c>
      <c r="I295" s="13" t="n">
        <f aca="false">INDEX(RM_Rates!$F$5:$F$137,MATCH(C295,RM_Rates!$A$5:$A$137,0))</f>
        <v>1.997936</v>
      </c>
      <c r="J295" s="22" t="n">
        <f aca="false">H295*I295</f>
        <v>42.7698144292438</v>
      </c>
    </row>
    <row r="296" customFormat="false" ht="15" hidden="false" customHeight="false" outlineLevel="0" collapsed="false">
      <c r="A296" s="5" t="s">
        <v>483</v>
      </c>
      <c r="B296" s="2" t="s">
        <v>662</v>
      </c>
      <c r="C296" s="5" t="s">
        <v>248</v>
      </c>
      <c r="D296" s="5" t="s">
        <v>249</v>
      </c>
      <c r="E296" s="5" t="s">
        <v>60</v>
      </c>
      <c r="F296" s="21" t="n">
        <v>11.8999996185303</v>
      </c>
      <c r="G296" s="21" t="n">
        <v>0.238000005483627</v>
      </c>
      <c r="H296" s="22" t="n">
        <f aca="false">F296+G296</f>
        <v>12.1379996240139</v>
      </c>
      <c r="I296" s="13" t="n">
        <f aca="false">INDEX(RM_Rates!$F$5:$F$137,MATCH(C296,RM_Rates!$A$5:$A$137,0))</f>
        <v>0.402726590633392</v>
      </c>
      <c r="J296" s="22" t="n">
        <f aca="false">H296*I296</f>
        <v>4.88829520568852</v>
      </c>
    </row>
    <row r="297" customFormat="false" ht="15" hidden="false" customHeight="false" outlineLevel="0" collapsed="false">
      <c r="A297" s="5" t="s">
        <v>483</v>
      </c>
      <c r="B297" s="2" t="s">
        <v>662</v>
      </c>
      <c r="C297" s="5" t="s">
        <v>238</v>
      </c>
      <c r="D297" s="5" t="s">
        <v>239</v>
      </c>
      <c r="E297" s="5" t="s">
        <v>60</v>
      </c>
      <c r="F297" s="21" t="n">
        <v>0.124949999153614</v>
      </c>
      <c r="G297" s="21" t="n">
        <v>0.0020000000949949</v>
      </c>
      <c r="H297" s="22" t="n">
        <f aca="false">F297+G297</f>
        <v>0.126949999248609</v>
      </c>
      <c r="I297" s="13" t="n">
        <f aca="false">INDEX(RM_Rates!$F$5:$F$137,MATCH(C297,RM_Rates!$A$5:$A$137,0))</f>
        <v>1.45200002193451</v>
      </c>
      <c r="J297" s="22" t="n">
        <f aca="false">H297*I297</f>
        <v>0.184331401693566</v>
      </c>
    </row>
    <row r="298" customFormat="false" ht="15" hidden="false" customHeight="false" outlineLevel="0" collapsed="false">
      <c r="A298" s="5" t="s">
        <v>483</v>
      </c>
      <c r="B298" s="2" t="s">
        <v>662</v>
      </c>
      <c r="C298" s="5" t="s">
        <v>234</v>
      </c>
      <c r="D298" s="5" t="s">
        <v>235</v>
      </c>
      <c r="E298" s="5" t="s">
        <v>60</v>
      </c>
      <c r="F298" s="21" t="n">
        <v>0.0535500012338162</v>
      </c>
      <c r="G298" s="21" t="n">
        <v>0.00100000004749745</v>
      </c>
      <c r="H298" s="22" t="n">
        <f aca="false">F298+G298</f>
        <v>0.0545500012813137</v>
      </c>
      <c r="I298" s="13" t="n">
        <f aca="false">INDEX(RM_Rates!$F$5:$F$137,MATCH(C298,RM_Rates!$A$5:$A$137,0))</f>
        <v>1.45200002193451</v>
      </c>
      <c r="J298" s="22" t="n">
        <f aca="false">H298*I298</f>
        <v>0.079206603056995</v>
      </c>
    </row>
    <row r="299" customFormat="false" ht="15" hidden="false" customHeight="false" outlineLevel="0" collapsed="false">
      <c r="A299" s="5" t="s">
        <v>483</v>
      </c>
      <c r="B299" s="2" t="s">
        <v>662</v>
      </c>
      <c r="C299" s="5" t="s">
        <v>265</v>
      </c>
      <c r="D299" s="5" t="s">
        <v>266</v>
      </c>
      <c r="E299" s="5" t="s">
        <v>60</v>
      </c>
      <c r="F299" s="21" t="n">
        <v>0.0179999992251396</v>
      </c>
      <c r="G299" s="21" t="n">
        <v>0</v>
      </c>
      <c r="H299" s="22" t="n">
        <f aca="false">F299+G299</f>
        <v>0.0179999992251396</v>
      </c>
      <c r="I299" s="13" t="n">
        <f aca="false">INDEX(RM_Rates!$F$5:$F$137,MATCH(C299,RM_Rates!$A$5:$A$137,0))</f>
        <v>0.747224986553192</v>
      </c>
      <c r="J299" s="22" t="n">
        <f aca="false">H299*I299</f>
        <v>0.0134500491789624</v>
      </c>
    </row>
    <row r="300" customFormat="false" ht="15" hidden="false" customHeight="false" outlineLevel="0" collapsed="false">
      <c r="A300" s="5" t="s">
        <v>483</v>
      </c>
      <c r="B300" s="2" t="s">
        <v>662</v>
      </c>
      <c r="C300" s="5" t="s">
        <v>181</v>
      </c>
      <c r="D300" s="5" t="s">
        <v>182</v>
      </c>
      <c r="E300" s="5" t="s">
        <v>60</v>
      </c>
      <c r="F300" s="21" t="n">
        <v>0.0450000017881393</v>
      </c>
      <c r="G300" s="21" t="n">
        <v>0</v>
      </c>
      <c r="H300" s="22" t="n">
        <f aca="false">F300+G300</f>
        <v>0.0450000017881393</v>
      </c>
      <c r="I300" s="13" t="n">
        <f aca="false">INDEX(RM_Rates!$F$5:$F$137,MATCH(C300,RM_Rates!$A$5:$A$137,0))</f>
        <v>0.675000011920929</v>
      </c>
      <c r="J300" s="22" t="n">
        <f aca="false">H300*I300</f>
        <v>0.0303750017434359</v>
      </c>
    </row>
    <row r="301" customFormat="false" ht="15" hidden="false" customHeight="false" outlineLevel="0" collapsed="false">
      <c r="A301" s="5" t="s">
        <v>483</v>
      </c>
      <c r="B301" s="2" t="s">
        <v>662</v>
      </c>
      <c r="C301" s="5" t="s">
        <v>185</v>
      </c>
      <c r="D301" s="5" t="s">
        <v>186</v>
      </c>
      <c r="E301" s="5" t="s">
        <v>60</v>
      </c>
      <c r="F301" s="21" t="n">
        <v>0.104000002145767</v>
      </c>
      <c r="G301" s="21" t="n">
        <v>0</v>
      </c>
      <c r="H301" s="22" t="n">
        <f aca="false">F301+G301</f>
        <v>0.104000002145767</v>
      </c>
      <c r="I301" s="13" t="n">
        <f aca="false">INDEX(RM_Rates!$F$5:$F$137,MATCH(C301,RM_Rates!$A$5:$A$137,0))</f>
        <v>0.675000011920929</v>
      </c>
      <c r="J301" s="22" t="n">
        <f aca="false">H301*I301</f>
        <v>0.0702000026881694</v>
      </c>
    </row>
    <row r="302" customFormat="false" ht="15" hidden="false" customHeight="false" outlineLevel="0" collapsed="false">
      <c r="A302" s="5" t="s">
        <v>483</v>
      </c>
      <c r="B302" s="2" t="s">
        <v>662</v>
      </c>
      <c r="C302" s="5" t="s">
        <v>198</v>
      </c>
      <c r="D302" s="5" t="s">
        <v>199</v>
      </c>
      <c r="E302" s="5" t="s">
        <v>166</v>
      </c>
      <c r="F302" s="21" t="n">
        <v>0.046000000089407</v>
      </c>
      <c r="G302" s="21" t="n">
        <v>0</v>
      </c>
      <c r="H302" s="22" t="n">
        <f aca="false">F302+G302</f>
        <v>0.046000000089407</v>
      </c>
      <c r="I302" s="13" t="n">
        <f aca="false">INDEX(RM_Rates!$F$5:$F$137,MATCH(C302,RM_Rates!$A$5:$A$137,0))</f>
        <v>3.43300008773804</v>
      </c>
      <c r="J302" s="22" t="n">
        <f aca="false">H302*I302</f>
        <v>0.157918004342884</v>
      </c>
    </row>
    <row r="303" customFormat="false" ht="15" hidden="false" customHeight="false" outlineLevel="0" collapsed="false">
      <c r="A303" s="5" t="s">
        <v>485</v>
      </c>
      <c r="B303" s="2" t="s">
        <v>663</v>
      </c>
      <c r="C303" s="5" t="s">
        <v>79</v>
      </c>
      <c r="D303" s="5" t="s">
        <v>80</v>
      </c>
      <c r="E303" s="5" t="s">
        <v>72</v>
      </c>
      <c r="F303" s="21" t="n">
        <v>535.600036621094</v>
      </c>
      <c r="G303" s="21" t="n">
        <v>0.129999995231628</v>
      </c>
      <c r="H303" s="22" t="n">
        <f aca="false">F303+G303</f>
        <v>535.730036616326</v>
      </c>
      <c r="I303" s="13" t="n">
        <f aca="false">INDEX(RM_Rates!$F$5:$F$137,MATCH(C303,RM_Rates!$A$5:$A$137,0))</f>
        <v>1.980566</v>
      </c>
      <c r="J303" s="22" t="n">
        <f aca="false">H303*I303</f>
        <v>1061.04869570105</v>
      </c>
    </row>
    <row r="304" customFormat="false" ht="15" hidden="false" customHeight="false" outlineLevel="0" collapsed="false">
      <c r="A304" s="5" t="s">
        <v>485</v>
      </c>
      <c r="B304" s="2" t="s">
        <v>663</v>
      </c>
      <c r="C304" s="5" t="s">
        <v>197</v>
      </c>
      <c r="D304" s="5" t="s">
        <v>196</v>
      </c>
      <c r="E304" s="5" t="s">
        <v>72</v>
      </c>
      <c r="F304" s="21" t="n">
        <v>142.964004516602</v>
      </c>
      <c r="G304" s="21" t="n">
        <v>0</v>
      </c>
      <c r="H304" s="22" t="n">
        <f aca="false">F304+G304</f>
        <v>142.964004516602</v>
      </c>
      <c r="I304" s="13" t="n">
        <f aca="false">INDEX(RM_Rates!$F$5:$F$137,MATCH(C304,RM_Rates!$A$5:$A$137,0))</f>
        <v>5.34994649887085</v>
      </c>
      <c r="J304" s="22" t="n">
        <f aca="false">H304*I304</f>
        <v>764.849775428151</v>
      </c>
    </row>
    <row r="305" customFormat="false" ht="15" hidden="false" customHeight="false" outlineLevel="0" collapsed="false">
      <c r="A305" s="5" t="s">
        <v>485</v>
      </c>
      <c r="B305" s="2" t="s">
        <v>663</v>
      </c>
      <c r="C305" s="5" t="s">
        <v>326</v>
      </c>
      <c r="D305" s="5" t="s">
        <v>327</v>
      </c>
      <c r="E305" s="5" t="s">
        <v>72</v>
      </c>
      <c r="F305" s="21" t="n">
        <v>226.600006103516</v>
      </c>
      <c r="G305" s="21" t="n">
        <v>0.550000011920929</v>
      </c>
      <c r="H305" s="22" t="n">
        <f aca="false">F305+G305</f>
        <v>227.150006115437</v>
      </c>
      <c r="I305" s="13" t="n">
        <f aca="false">INDEX(RM_Rates!$F$5:$F$137,MATCH(C305,RM_Rates!$A$5:$A$137,0))</f>
        <v>0.596000015735626</v>
      </c>
      <c r="J305" s="22" t="n">
        <f aca="false">H305*I305</f>
        <v>135.381407219148</v>
      </c>
    </row>
    <row r="306" customFormat="false" ht="15" hidden="false" customHeight="false" outlineLevel="0" collapsed="false">
      <c r="A306" s="5" t="s">
        <v>485</v>
      </c>
      <c r="B306" s="2" t="s">
        <v>663</v>
      </c>
      <c r="C306" s="5" t="s">
        <v>324</v>
      </c>
      <c r="D306" s="5" t="s">
        <v>325</v>
      </c>
      <c r="E306" s="5" t="s">
        <v>72</v>
      </c>
      <c r="F306" s="21" t="n">
        <v>12.4630002975464</v>
      </c>
      <c r="G306" s="21" t="n">
        <v>0.0299999993294477</v>
      </c>
      <c r="H306" s="22" t="n">
        <f aca="false">F306+G306</f>
        <v>12.4930002968758</v>
      </c>
      <c r="I306" s="13" t="n">
        <f aca="false">INDEX(RM_Rates!$F$5:$F$137,MATCH(C306,RM_Rates!$A$5:$A$137,0))</f>
        <v>1.35229277610779</v>
      </c>
      <c r="J306" s="22" t="n">
        <f aca="false">H306*I306</f>
        <v>16.8941940533777</v>
      </c>
    </row>
    <row r="307" customFormat="false" ht="15" hidden="false" customHeight="false" outlineLevel="0" collapsed="false">
      <c r="A307" s="5" t="s">
        <v>485</v>
      </c>
      <c r="B307" s="2" t="s">
        <v>663</v>
      </c>
      <c r="C307" s="5" t="s">
        <v>314</v>
      </c>
      <c r="D307" s="5" t="s">
        <v>315</v>
      </c>
      <c r="E307" s="5" t="s">
        <v>72</v>
      </c>
      <c r="F307" s="21" t="n">
        <v>1.69950008392334</v>
      </c>
      <c r="G307" s="21" t="n">
        <v>0.00400000018998981</v>
      </c>
      <c r="H307" s="22" t="n">
        <f aca="false">F307+G307</f>
        <v>1.70350008411333</v>
      </c>
      <c r="I307" s="13" t="n">
        <f aca="false">INDEX(RM_Rates!$F$5:$F$137,MATCH(C307,RM_Rates!$A$5:$A$137,0))</f>
        <v>1.6441433429718</v>
      </c>
      <c r="J307" s="22" t="n">
        <f aca="false">H307*I307</f>
        <v>2.80079832304683</v>
      </c>
    </row>
    <row r="308" customFormat="false" ht="15" hidden="false" customHeight="false" outlineLevel="0" collapsed="false">
      <c r="A308" s="5" t="s">
        <v>485</v>
      </c>
      <c r="B308" s="2" t="s">
        <v>663</v>
      </c>
      <c r="C308" s="5" t="s">
        <v>320</v>
      </c>
      <c r="D308" s="5" t="s">
        <v>321</v>
      </c>
      <c r="E308" s="5" t="s">
        <v>72</v>
      </c>
      <c r="F308" s="21" t="n">
        <v>1.69950008392334</v>
      </c>
      <c r="G308" s="21" t="n">
        <v>0.00400000018998981</v>
      </c>
      <c r="H308" s="22" t="n">
        <f aca="false">F308+G308</f>
        <v>1.70350008411333</v>
      </c>
      <c r="I308" s="13" t="n">
        <f aca="false">INDEX(RM_Rates!$F$5:$F$137,MATCH(C308,RM_Rates!$A$5:$A$137,0))</f>
        <v>1.6441433429718</v>
      </c>
      <c r="J308" s="22" t="n">
        <f aca="false">H308*I308</f>
        <v>2.80079832304683</v>
      </c>
    </row>
    <row r="309" customFormat="false" ht="15" hidden="false" customHeight="false" outlineLevel="0" collapsed="false">
      <c r="A309" s="5" t="s">
        <v>485</v>
      </c>
      <c r="B309" s="2" t="s">
        <v>663</v>
      </c>
      <c r="C309" s="5" t="s">
        <v>202</v>
      </c>
      <c r="D309" s="5" t="s">
        <v>203</v>
      </c>
      <c r="E309" s="5" t="s">
        <v>72</v>
      </c>
      <c r="F309" s="21" t="n">
        <v>14.6259994506836</v>
      </c>
      <c r="G309" s="21" t="n">
        <v>0</v>
      </c>
      <c r="H309" s="22" t="n">
        <f aca="false">F309+G309</f>
        <v>14.6259994506836</v>
      </c>
      <c r="I309" s="13" t="n">
        <f aca="false">INDEX(RM_Rates!$F$5:$F$137,MATCH(C309,RM_Rates!$A$5:$A$137,0))</f>
        <v>0.750177025794983</v>
      </c>
      <c r="J309" s="22" t="n">
        <f aca="false">H309*I309</f>
        <v>10.9720887671929</v>
      </c>
    </row>
    <row r="310" customFormat="false" ht="15" hidden="false" customHeight="false" outlineLevel="0" collapsed="false">
      <c r="A310" s="5" t="s">
        <v>485</v>
      </c>
      <c r="B310" s="2" t="s">
        <v>663</v>
      </c>
      <c r="C310" s="5" t="s">
        <v>62</v>
      </c>
      <c r="D310" s="5" t="s">
        <v>63</v>
      </c>
      <c r="E310" s="5" t="s">
        <v>60</v>
      </c>
      <c r="F310" s="21" t="n">
        <v>30.9000015258789</v>
      </c>
      <c r="G310" s="21" t="n">
        <v>0.0149999996647239</v>
      </c>
      <c r="H310" s="22" t="n">
        <f aca="false">F310+G310</f>
        <v>30.9150015255436</v>
      </c>
      <c r="I310" s="13" t="n">
        <f aca="false">INDEX(RM_Rates!$F$5:$F$137,MATCH(C310,RM_Rates!$A$5:$A$137,0))</f>
        <v>1.83595955371857</v>
      </c>
      <c r="J310" s="22" t="n">
        <f aca="false">H310*I310</f>
        <v>56.758692404046</v>
      </c>
    </row>
    <row r="311" customFormat="false" ht="15" hidden="false" customHeight="false" outlineLevel="0" collapsed="false">
      <c r="A311" s="5" t="s">
        <v>485</v>
      </c>
      <c r="B311" s="2" t="s">
        <v>663</v>
      </c>
      <c r="C311" s="5" t="s">
        <v>70</v>
      </c>
      <c r="D311" s="5" t="s">
        <v>71</v>
      </c>
      <c r="E311" s="5" t="s">
        <v>72</v>
      </c>
      <c r="F311" s="21" t="n">
        <v>97.2000045776367</v>
      </c>
      <c r="G311" s="21" t="n">
        <v>0</v>
      </c>
      <c r="H311" s="22" t="n">
        <f aca="false">F311+G311</f>
        <v>97.2000045776367</v>
      </c>
      <c r="I311" s="13" t="n">
        <f aca="false">INDEX(RM_Rates!$F$5:$F$137,MATCH(C311,RM_Rates!$A$5:$A$137,0))</f>
        <v>2.86922955513001</v>
      </c>
      <c r="J311" s="22" t="n">
        <f aca="false">H311*I311</f>
        <v>278.889125892928</v>
      </c>
    </row>
    <row r="312" customFormat="false" ht="15" hidden="false" customHeight="false" outlineLevel="0" collapsed="false">
      <c r="A312" s="5" t="s">
        <v>485</v>
      </c>
      <c r="B312" s="2" t="s">
        <v>663</v>
      </c>
      <c r="C312" s="5" t="s">
        <v>210</v>
      </c>
      <c r="D312" s="5" t="s">
        <v>211</v>
      </c>
      <c r="E312" s="5" t="s">
        <v>72</v>
      </c>
      <c r="F312" s="21" t="n">
        <v>31.8540019989014</v>
      </c>
      <c r="G312" s="21" t="n">
        <v>0</v>
      </c>
      <c r="H312" s="22" t="n">
        <f aca="false">F312+G312</f>
        <v>31.8540019989014</v>
      </c>
      <c r="I312" s="13" t="n">
        <f aca="false">INDEX(RM_Rates!$F$5:$F$137,MATCH(C312,RM_Rates!$A$5:$A$137,0))</f>
        <v>0.750177025794983</v>
      </c>
      <c r="J312" s="22" t="n">
        <f aca="false">H312*I312</f>
        <v>23.8961404792033</v>
      </c>
    </row>
    <row r="313" customFormat="false" ht="15" hidden="false" customHeight="false" outlineLevel="0" collapsed="false">
      <c r="A313" s="5" t="s">
        <v>485</v>
      </c>
      <c r="B313" s="2" t="s">
        <v>663</v>
      </c>
      <c r="C313" s="5" t="s">
        <v>68</v>
      </c>
      <c r="D313" s="5" t="s">
        <v>69</v>
      </c>
      <c r="E313" s="5" t="s">
        <v>60</v>
      </c>
      <c r="F313" s="21" t="n">
        <v>7.07000017166138</v>
      </c>
      <c r="G313" s="21" t="n">
        <v>0.0710000023245812</v>
      </c>
      <c r="H313" s="22" t="n">
        <f aca="false">F313+G313</f>
        <v>7.14100017398596</v>
      </c>
      <c r="I313" s="13" t="n">
        <f aca="false">INDEX(RM_Rates!$F$5:$F$137,MATCH(C313,RM_Rates!$A$5:$A$137,0))</f>
        <v>1.83595955371857</v>
      </c>
      <c r="J313" s="22" t="n">
        <f aca="false">H313*I313</f>
        <v>13.1105874925355</v>
      </c>
    </row>
    <row r="314" customFormat="false" ht="15" hidden="false" customHeight="false" outlineLevel="0" collapsed="false">
      <c r="A314" s="5" t="s">
        <v>485</v>
      </c>
      <c r="B314" s="2" t="s">
        <v>663</v>
      </c>
      <c r="C314" s="5" t="s">
        <v>244</v>
      </c>
      <c r="D314" s="5" t="s">
        <v>245</v>
      </c>
      <c r="E314" s="5" t="s">
        <v>60</v>
      </c>
      <c r="F314" s="21" t="n">
        <v>646</v>
      </c>
      <c r="G314" s="21" t="n">
        <v>1.61500000953674</v>
      </c>
      <c r="H314" s="22" t="n">
        <f aca="false">F314+G314</f>
        <v>647.615000009537</v>
      </c>
      <c r="I314" s="13" t="n">
        <f aca="false">INDEX(RM_Rates!$F$5:$F$137,MATCH(C314,RM_Rates!$A$5:$A$137,0))</f>
        <v>0.648000001907349</v>
      </c>
      <c r="J314" s="22" t="n">
        <f aca="false">H314*I314</f>
        <v>419.654521241408</v>
      </c>
    </row>
    <row r="315" customFormat="false" ht="15" hidden="false" customHeight="false" outlineLevel="0" collapsed="false">
      <c r="A315" s="5" t="s">
        <v>485</v>
      </c>
      <c r="B315" s="2" t="s">
        <v>663</v>
      </c>
      <c r="C315" s="5" t="s">
        <v>232</v>
      </c>
      <c r="D315" s="5" t="s">
        <v>233</v>
      </c>
      <c r="E315" s="5" t="s">
        <v>72</v>
      </c>
      <c r="F315" s="21" t="n">
        <v>10.3360004425049</v>
      </c>
      <c r="G315" s="21" t="n">
        <v>0.0260000005364418</v>
      </c>
      <c r="H315" s="22" t="n">
        <f aca="false">F315+G315</f>
        <v>10.3620004430413</v>
      </c>
      <c r="I315" s="13" t="n">
        <f aca="false">INDEX(RM_Rates!$F$5:$F$137,MATCH(C315,RM_Rates!$A$5:$A$137,0))</f>
        <v>1.45200002193451</v>
      </c>
      <c r="J315" s="22" t="n">
        <f aca="false">H315*I315</f>
        <v>15.0456248705814</v>
      </c>
    </row>
    <row r="316" customFormat="false" ht="15" hidden="false" customHeight="false" outlineLevel="0" collapsed="false">
      <c r="A316" s="5" t="s">
        <v>485</v>
      </c>
      <c r="B316" s="2" t="s">
        <v>663</v>
      </c>
      <c r="C316" s="5" t="s">
        <v>271</v>
      </c>
      <c r="D316" s="5" t="s">
        <v>272</v>
      </c>
      <c r="E316" s="5" t="s">
        <v>72</v>
      </c>
      <c r="F316" s="21" t="n">
        <v>1049.40002441406</v>
      </c>
      <c r="G316" s="21" t="n">
        <v>10.4940004348755</v>
      </c>
      <c r="H316" s="22" t="n">
        <f aca="false">F316+G316</f>
        <v>1059.89402484894</v>
      </c>
      <c r="I316" s="13" t="n">
        <f aca="false">INDEX(RM_Rates!$F$5:$F$137,MATCH(C316,RM_Rates!$A$5:$A$137,0))</f>
        <v>0.388907551765442</v>
      </c>
      <c r="J316" s="22" t="n">
        <f aca="false">H316*I316</f>
        <v>412.20079033482</v>
      </c>
    </row>
    <row r="317" customFormat="false" ht="15" hidden="false" customHeight="false" outlineLevel="0" collapsed="false">
      <c r="A317" s="5" t="s">
        <v>485</v>
      </c>
      <c r="B317" s="2" t="s">
        <v>663</v>
      </c>
      <c r="C317" s="5" t="s">
        <v>287</v>
      </c>
      <c r="D317" s="5" t="s">
        <v>288</v>
      </c>
      <c r="E317" s="5" t="s">
        <v>166</v>
      </c>
      <c r="F317" s="21" t="n">
        <v>2</v>
      </c>
      <c r="G317" s="21" t="n">
        <v>0</v>
      </c>
      <c r="H317" s="22" t="n">
        <f aca="false">F317+G317</f>
        <v>2</v>
      </c>
      <c r="I317" s="13" t="n">
        <f aca="false">INDEX(RM_Rates!$F$5:$F$137,MATCH(C317,RM_Rates!$A$5:$A$137,0))</f>
        <v>57.848518371582</v>
      </c>
      <c r="J317" s="22" t="n">
        <f aca="false">H317*I317</f>
        <v>115.697036743164</v>
      </c>
    </row>
    <row r="318" customFormat="false" ht="15" hidden="false" customHeight="false" outlineLevel="0" collapsed="false">
      <c r="A318" s="5" t="s">
        <v>485</v>
      </c>
      <c r="B318" s="2" t="s">
        <v>663</v>
      </c>
      <c r="C318" s="5" t="s">
        <v>173</v>
      </c>
      <c r="D318" s="5" t="s">
        <v>174</v>
      </c>
      <c r="E318" s="5" t="s">
        <v>166</v>
      </c>
      <c r="F318" s="21" t="n">
        <v>4</v>
      </c>
      <c r="G318" s="21" t="n">
        <v>0</v>
      </c>
      <c r="H318" s="22" t="n">
        <f aca="false">F318+G318</f>
        <v>4</v>
      </c>
      <c r="I318" s="13" t="n">
        <f aca="false">INDEX(RM_Rates!$F$5:$F$137,MATCH(C318,RM_Rates!$A$5:$A$137,0))</f>
        <v>0.255849838256836</v>
      </c>
      <c r="J318" s="22" t="n">
        <f aca="false">H318*I318</f>
        <v>1.02339935302734</v>
      </c>
    </row>
    <row r="319" customFormat="false" ht="15" hidden="false" customHeight="false" outlineLevel="0" collapsed="false">
      <c r="A319" s="5" t="s">
        <v>485</v>
      </c>
      <c r="B319" s="2" t="s">
        <v>663</v>
      </c>
      <c r="C319" s="5" t="s">
        <v>308</v>
      </c>
      <c r="D319" s="5" t="s">
        <v>309</v>
      </c>
      <c r="E319" s="5" t="s">
        <v>297</v>
      </c>
      <c r="F319" s="21" t="n">
        <v>10</v>
      </c>
      <c r="G319" s="21" t="n">
        <v>0</v>
      </c>
      <c r="H319" s="22" t="n">
        <f aca="false">F319+G319</f>
        <v>10</v>
      </c>
      <c r="I319" s="13" t="n">
        <f aca="false">INDEX(RM_Rates!$F$5:$F$137,MATCH(C319,RM_Rates!$A$5:$A$137,0))</f>
        <v>1.40752077102661</v>
      </c>
      <c r="J319" s="22" t="n">
        <f aca="false">H319*I319</f>
        <v>14.0752077102661</v>
      </c>
    </row>
    <row r="320" customFormat="false" ht="15" hidden="false" customHeight="false" outlineLevel="0" collapsed="false">
      <c r="A320" s="5" t="s">
        <v>485</v>
      </c>
      <c r="B320" s="2" t="s">
        <v>663</v>
      </c>
      <c r="C320" s="5" t="s">
        <v>189</v>
      </c>
      <c r="D320" s="5" t="s">
        <v>190</v>
      </c>
      <c r="E320" s="5" t="s">
        <v>60</v>
      </c>
      <c r="F320" s="21" t="n">
        <v>1</v>
      </c>
      <c r="G320" s="21" t="n">
        <v>0</v>
      </c>
      <c r="H320" s="22" t="n">
        <f aca="false">F320+G320</f>
        <v>1</v>
      </c>
      <c r="I320" s="13" t="n">
        <f aca="false">INDEX(RM_Rates!$F$5:$F$137,MATCH(C320,RM_Rates!$A$5:$A$137,0))</f>
        <v>0.568400025367737</v>
      </c>
      <c r="J320" s="22" t="n">
        <f aca="false">H320*I320</f>
        <v>0.568400025367737</v>
      </c>
    </row>
    <row r="321" customFormat="false" ht="15" hidden="false" customHeight="false" outlineLevel="0" collapsed="false">
      <c r="A321" s="5" t="s">
        <v>487</v>
      </c>
      <c r="B321" s="2" t="s">
        <v>664</v>
      </c>
      <c r="C321" s="5" t="s">
        <v>79</v>
      </c>
      <c r="D321" s="5" t="s">
        <v>80</v>
      </c>
      <c r="E321" s="5" t="s">
        <v>72</v>
      </c>
      <c r="F321" s="21" t="n">
        <v>535.600036621094</v>
      </c>
      <c r="G321" s="21" t="n">
        <v>0.129999995231628</v>
      </c>
      <c r="H321" s="22" t="n">
        <f aca="false">F321+G321</f>
        <v>535.730036616326</v>
      </c>
      <c r="I321" s="13" t="n">
        <f aca="false">INDEX(RM_Rates!$F$5:$F$137,MATCH(C321,RM_Rates!$A$5:$A$137,0))</f>
        <v>1.980566</v>
      </c>
      <c r="J321" s="22" t="n">
        <f aca="false">H321*I321</f>
        <v>1061.04869570105</v>
      </c>
    </row>
    <row r="322" customFormat="false" ht="15" hidden="false" customHeight="false" outlineLevel="0" collapsed="false">
      <c r="A322" s="5" t="s">
        <v>487</v>
      </c>
      <c r="B322" s="2" t="s">
        <v>664</v>
      </c>
      <c r="C322" s="5" t="s">
        <v>326</v>
      </c>
      <c r="D322" s="5" t="s">
        <v>327</v>
      </c>
      <c r="E322" s="5" t="s">
        <v>72</v>
      </c>
      <c r="F322" s="21" t="n">
        <v>160.68000793457</v>
      </c>
      <c r="G322" s="21" t="n">
        <v>0.389999985694885</v>
      </c>
      <c r="H322" s="22" t="n">
        <f aca="false">F322+G322</f>
        <v>161.070007920265</v>
      </c>
      <c r="I322" s="13" t="n">
        <f aca="false">INDEX(RM_Rates!$F$5:$F$137,MATCH(C322,RM_Rates!$A$5:$A$137,0))</f>
        <v>0.596000015735626</v>
      </c>
      <c r="J322" s="22" t="n">
        <f aca="false">H322*I322</f>
        <v>95.9977272550153</v>
      </c>
    </row>
    <row r="323" customFormat="false" ht="15" hidden="false" customHeight="false" outlineLevel="0" collapsed="false">
      <c r="A323" s="5" t="s">
        <v>487</v>
      </c>
      <c r="B323" s="2" t="s">
        <v>664</v>
      </c>
      <c r="C323" s="5" t="s">
        <v>324</v>
      </c>
      <c r="D323" s="5" t="s">
        <v>325</v>
      </c>
      <c r="E323" s="5" t="s">
        <v>72</v>
      </c>
      <c r="F323" s="21" t="n">
        <v>8.83740043640137</v>
      </c>
      <c r="G323" s="21" t="n">
        <v>0.0219999998807907</v>
      </c>
      <c r="H323" s="22" t="n">
        <f aca="false">F323+G323</f>
        <v>8.85940043628216</v>
      </c>
      <c r="I323" s="13" t="n">
        <f aca="false">INDEX(RM_Rates!$F$5:$F$137,MATCH(C323,RM_Rates!$A$5:$A$137,0))</f>
        <v>1.35229277610779</v>
      </c>
      <c r="J323" s="22" t="n">
        <f aca="false">H323*I323</f>
        <v>11.9805032106306</v>
      </c>
    </row>
    <row r="324" customFormat="false" ht="15" hidden="false" customHeight="false" outlineLevel="0" collapsed="false">
      <c r="A324" s="5" t="s">
        <v>487</v>
      </c>
      <c r="B324" s="2" t="s">
        <v>664</v>
      </c>
      <c r="C324" s="5" t="s">
        <v>314</v>
      </c>
      <c r="D324" s="5" t="s">
        <v>315</v>
      </c>
      <c r="E324" s="5" t="s">
        <v>72</v>
      </c>
      <c r="F324" s="21" t="n">
        <v>1.20510005950928</v>
      </c>
      <c r="G324" s="21" t="n">
        <v>0.00300000002607703</v>
      </c>
      <c r="H324" s="22" t="n">
        <f aca="false">F324+G324</f>
        <v>1.20810005953536</v>
      </c>
      <c r="I324" s="13" t="n">
        <f aca="false">INDEX(RM_Rates!$F$5:$F$137,MATCH(C324,RM_Rates!$A$5:$A$137,0))</f>
        <v>1.6441433429718</v>
      </c>
      <c r="J324" s="22" t="n">
        <f aca="false">H324*I324</f>
        <v>1.98628967052889</v>
      </c>
    </row>
    <row r="325" customFormat="false" ht="15" hidden="false" customHeight="false" outlineLevel="0" collapsed="false">
      <c r="A325" s="5" t="s">
        <v>487</v>
      </c>
      <c r="B325" s="2" t="s">
        <v>664</v>
      </c>
      <c r="C325" s="5" t="s">
        <v>320</v>
      </c>
      <c r="D325" s="5" t="s">
        <v>321</v>
      </c>
      <c r="E325" s="5" t="s">
        <v>72</v>
      </c>
      <c r="F325" s="21" t="n">
        <v>1.20510005950928</v>
      </c>
      <c r="G325" s="21" t="n">
        <v>0.00300000002607703</v>
      </c>
      <c r="H325" s="22" t="n">
        <f aca="false">F325+G325</f>
        <v>1.20810005953536</v>
      </c>
      <c r="I325" s="13" t="n">
        <f aca="false">INDEX(RM_Rates!$F$5:$F$137,MATCH(C325,RM_Rates!$A$5:$A$137,0))</f>
        <v>1.6441433429718</v>
      </c>
      <c r="J325" s="22" t="n">
        <f aca="false">H325*I325</f>
        <v>1.98628967052889</v>
      </c>
    </row>
    <row r="326" customFormat="false" ht="15" hidden="false" customHeight="false" outlineLevel="0" collapsed="false">
      <c r="A326" s="5" t="s">
        <v>487</v>
      </c>
      <c r="B326" s="2" t="s">
        <v>664</v>
      </c>
      <c r="C326" s="5" t="s">
        <v>200</v>
      </c>
      <c r="D326" s="5" t="s">
        <v>201</v>
      </c>
      <c r="E326" s="5" t="s">
        <v>72</v>
      </c>
      <c r="F326" s="21" t="n">
        <v>12.1539993286133</v>
      </c>
      <c r="G326" s="21" t="n">
        <v>0</v>
      </c>
      <c r="H326" s="22" t="n">
        <f aca="false">F326+G326</f>
        <v>12.1539993286133</v>
      </c>
      <c r="I326" s="13" t="n">
        <f aca="false">INDEX(RM_Rates!$F$5:$F$137,MATCH(C326,RM_Rates!$A$5:$A$137,0))</f>
        <v>0.750177025794983</v>
      </c>
      <c r="J326" s="22" t="n">
        <f aca="false">H326*I326</f>
        <v>9.11765106785335</v>
      </c>
    </row>
    <row r="327" customFormat="false" ht="15" hidden="false" customHeight="false" outlineLevel="0" collapsed="false">
      <c r="A327" s="5" t="s">
        <v>487</v>
      </c>
      <c r="B327" s="2" t="s">
        <v>664</v>
      </c>
      <c r="C327" s="5" t="s">
        <v>58</v>
      </c>
      <c r="D327" s="5" t="s">
        <v>59</v>
      </c>
      <c r="E327" s="5" t="s">
        <v>60</v>
      </c>
      <c r="F327" s="21" t="n">
        <v>25.75</v>
      </c>
      <c r="G327" s="21" t="n">
        <v>0.0130000002682209</v>
      </c>
      <c r="H327" s="22" t="n">
        <f aca="false">F327+G327</f>
        <v>25.7630000002682</v>
      </c>
      <c r="I327" s="13" t="n">
        <f aca="false">INDEX(RM_Rates!$F$5:$F$137,MATCH(C327,RM_Rates!$A$5:$A$137,0))</f>
        <v>1.83595955371857</v>
      </c>
      <c r="J327" s="22" t="n">
        <f aca="false">H327*I327</f>
        <v>47.299825982944</v>
      </c>
    </row>
    <row r="328" customFormat="false" ht="15" hidden="false" customHeight="false" outlineLevel="0" collapsed="false">
      <c r="A328" s="5" t="s">
        <v>487</v>
      </c>
      <c r="B328" s="2" t="s">
        <v>664</v>
      </c>
      <c r="C328" s="5" t="s">
        <v>70</v>
      </c>
      <c r="D328" s="5" t="s">
        <v>71</v>
      </c>
      <c r="E328" s="5" t="s">
        <v>72</v>
      </c>
      <c r="F328" s="21" t="n">
        <v>97.2000045776367</v>
      </c>
      <c r="G328" s="21" t="n">
        <v>0</v>
      </c>
      <c r="H328" s="22" t="n">
        <f aca="false">F328+G328</f>
        <v>97.2000045776367</v>
      </c>
      <c r="I328" s="13" t="n">
        <f aca="false">INDEX(RM_Rates!$F$5:$F$137,MATCH(C328,RM_Rates!$A$5:$A$137,0))</f>
        <v>2.86922955513001</v>
      </c>
      <c r="J328" s="22" t="n">
        <f aca="false">H328*I328</f>
        <v>278.889125892928</v>
      </c>
    </row>
    <row r="329" customFormat="false" ht="15" hidden="false" customHeight="false" outlineLevel="0" collapsed="false">
      <c r="A329" s="5" t="s">
        <v>487</v>
      </c>
      <c r="B329" s="2" t="s">
        <v>664</v>
      </c>
      <c r="C329" s="5" t="s">
        <v>206</v>
      </c>
      <c r="D329" s="5" t="s">
        <v>207</v>
      </c>
      <c r="E329" s="5" t="s">
        <v>72</v>
      </c>
      <c r="F329" s="21" t="n">
        <v>17.0979995727539</v>
      </c>
      <c r="G329" s="21" t="n">
        <v>0</v>
      </c>
      <c r="H329" s="22" t="n">
        <f aca="false">F329+G329</f>
        <v>17.0979995727539</v>
      </c>
      <c r="I329" s="13" t="n">
        <f aca="false">INDEX(RM_Rates!$F$5:$F$137,MATCH(C329,RM_Rates!$A$5:$A$137,0))</f>
        <v>0.750177025794983</v>
      </c>
      <c r="J329" s="22" t="n">
        <f aca="false">H329*I329</f>
        <v>12.8265264665324</v>
      </c>
    </row>
    <row r="330" customFormat="false" ht="15" hidden="false" customHeight="false" outlineLevel="0" collapsed="false">
      <c r="A330" s="5" t="s">
        <v>487</v>
      </c>
      <c r="B330" s="2" t="s">
        <v>664</v>
      </c>
      <c r="C330" s="5" t="s">
        <v>222</v>
      </c>
      <c r="D330" s="5" t="s">
        <v>223</v>
      </c>
      <c r="E330" s="5" t="s">
        <v>72</v>
      </c>
      <c r="F330" s="21" t="n">
        <v>91.463996887207</v>
      </c>
      <c r="G330" s="21" t="n">
        <v>0</v>
      </c>
      <c r="H330" s="22" t="n">
        <f aca="false">F330+G330</f>
        <v>91.463996887207</v>
      </c>
      <c r="I330" s="13" t="n">
        <f aca="false">INDEX(RM_Rates!$F$5:$F$137,MATCH(C330,RM_Rates!$A$5:$A$137,0))</f>
        <v>0.379036813974381</v>
      </c>
      <c r="J330" s="22" t="n">
        <f aca="false">H330*I330</f>
        <v>34.6682219734896</v>
      </c>
    </row>
    <row r="331" customFormat="false" ht="15" hidden="false" customHeight="false" outlineLevel="0" collapsed="false">
      <c r="A331" s="5" t="s">
        <v>487</v>
      </c>
      <c r="B331" s="2" t="s">
        <v>664</v>
      </c>
      <c r="C331" s="5" t="s">
        <v>208</v>
      </c>
      <c r="D331" s="5" t="s">
        <v>209</v>
      </c>
      <c r="E331" s="5" t="s">
        <v>72</v>
      </c>
      <c r="F331" s="21" t="n">
        <v>5.67000007629395</v>
      </c>
      <c r="G331" s="21" t="n">
        <v>0</v>
      </c>
      <c r="H331" s="22" t="n">
        <f aca="false">F331+G331</f>
        <v>5.67000007629395</v>
      </c>
      <c r="I331" s="13" t="n">
        <f aca="false">INDEX(RM_Rates!$F$5:$F$137,MATCH(C331,RM_Rates!$A$5:$A$137,0))</f>
        <v>0.750177025794983</v>
      </c>
      <c r="J331" s="22" t="n">
        <f aca="false">H331*I331</f>
        <v>4.25350379349152</v>
      </c>
    </row>
    <row r="332" customFormat="false" ht="15" hidden="false" customHeight="false" outlineLevel="0" collapsed="false">
      <c r="A332" s="5" t="s">
        <v>487</v>
      </c>
      <c r="B332" s="2" t="s">
        <v>664</v>
      </c>
      <c r="C332" s="5" t="s">
        <v>66</v>
      </c>
      <c r="D332" s="5" t="s">
        <v>67</v>
      </c>
      <c r="E332" s="5" t="s">
        <v>60</v>
      </c>
      <c r="F332" s="21" t="n">
        <v>5.46000003814697</v>
      </c>
      <c r="G332" s="21" t="n">
        <v>0.0549999997019768</v>
      </c>
      <c r="H332" s="22" t="n">
        <f aca="false">F332+G332</f>
        <v>5.51500003784895</v>
      </c>
      <c r="I332" s="13" t="n">
        <f aca="false">INDEX(RM_Rates!$F$5:$F$137,MATCH(C332,RM_Rates!$A$5:$A$137,0))</f>
        <v>1.83595955371857</v>
      </c>
      <c r="J332" s="22" t="n">
        <f aca="false">H332*I332</f>
        <v>10.125317008247</v>
      </c>
    </row>
    <row r="333" customFormat="false" ht="15" hidden="false" customHeight="false" outlineLevel="0" collapsed="false">
      <c r="A333" s="5" t="s">
        <v>487</v>
      </c>
      <c r="B333" s="2" t="s">
        <v>664</v>
      </c>
      <c r="C333" s="5" t="s">
        <v>244</v>
      </c>
      <c r="D333" s="5" t="s">
        <v>245</v>
      </c>
      <c r="E333" s="5" t="s">
        <v>60</v>
      </c>
      <c r="F333" s="21" t="n">
        <v>518.099975585938</v>
      </c>
      <c r="G333" s="21" t="n">
        <v>1.29500007629395</v>
      </c>
      <c r="H333" s="22" t="n">
        <f aca="false">F333+G333</f>
        <v>519.394975662232</v>
      </c>
      <c r="I333" s="13" t="n">
        <f aca="false">INDEX(RM_Rates!$F$5:$F$137,MATCH(C333,RM_Rates!$A$5:$A$137,0))</f>
        <v>0.648000001907349</v>
      </c>
      <c r="J333" s="22" t="n">
        <f aca="false">H333*I333</f>
        <v>336.567945219794</v>
      </c>
    </row>
    <row r="334" customFormat="false" ht="15" hidden="false" customHeight="false" outlineLevel="0" collapsed="false">
      <c r="A334" s="5" t="s">
        <v>487</v>
      </c>
      <c r="B334" s="2" t="s">
        <v>664</v>
      </c>
      <c r="C334" s="5" t="s">
        <v>232</v>
      </c>
      <c r="D334" s="5" t="s">
        <v>233</v>
      </c>
      <c r="E334" s="5" t="s">
        <v>72</v>
      </c>
      <c r="F334" s="21" t="n">
        <v>8.28960037231445</v>
      </c>
      <c r="G334" s="21" t="n">
        <v>0.0199999995529652</v>
      </c>
      <c r="H334" s="22" t="n">
        <f aca="false">F334+G334</f>
        <v>8.30960037186742</v>
      </c>
      <c r="I334" s="13" t="n">
        <f aca="false">INDEX(RM_Rates!$F$5:$F$137,MATCH(C334,RM_Rates!$A$5:$A$137,0))</f>
        <v>1.45200002193451</v>
      </c>
      <c r="J334" s="22" t="n">
        <f aca="false">H334*I334</f>
        <v>12.0655399222185</v>
      </c>
    </row>
    <row r="335" customFormat="false" ht="15" hidden="false" customHeight="false" outlineLevel="0" collapsed="false">
      <c r="A335" s="5" t="s">
        <v>487</v>
      </c>
      <c r="B335" s="2" t="s">
        <v>664</v>
      </c>
      <c r="C335" s="5" t="s">
        <v>271</v>
      </c>
      <c r="D335" s="5" t="s">
        <v>272</v>
      </c>
      <c r="E335" s="5" t="s">
        <v>72</v>
      </c>
      <c r="F335" s="21" t="n">
        <v>826.799987792969</v>
      </c>
      <c r="G335" s="21" t="n">
        <v>8.26799964904785</v>
      </c>
      <c r="H335" s="22" t="n">
        <f aca="false">F335+G335</f>
        <v>835.067987442017</v>
      </c>
      <c r="I335" s="13" t="n">
        <f aca="false">INDEX(RM_Rates!$F$5:$F$137,MATCH(C335,RM_Rates!$A$5:$A$137,0))</f>
        <v>0.388907551765442</v>
      </c>
      <c r="J335" s="22" t="n">
        <f aca="false">H335*I335</f>
        <v>324.76424655377</v>
      </c>
    </row>
    <row r="336" customFormat="false" ht="15" hidden="false" customHeight="false" outlineLevel="0" collapsed="false">
      <c r="A336" s="5" t="s">
        <v>487</v>
      </c>
      <c r="B336" s="2" t="s">
        <v>664</v>
      </c>
      <c r="C336" s="5" t="s">
        <v>285</v>
      </c>
      <c r="D336" s="5" t="s">
        <v>286</v>
      </c>
      <c r="E336" s="5" t="s">
        <v>166</v>
      </c>
      <c r="F336" s="21" t="n">
        <v>2</v>
      </c>
      <c r="G336" s="21" t="n">
        <v>0</v>
      </c>
      <c r="H336" s="22" t="n">
        <f aca="false">F336+G336</f>
        <v>2</v>
      </c>
      <c r="I336" s="13" t="n">
        <f aca="false">INDEX(RM_Rates!$F$5:$F$137,MATCH(C336,RM_Rates!$A$5:$A$137,0))</f>
        <v>40.09814453125</v>
      </c>
      <c r="J336" s="22" t="n">
        <f aca="false">H336*I336</f>
        <v>80.1962890625</v>
      </c>
    </row>
    <row r="337" customFormat="false" ht="15" hidden="false" customHeight="false" outlineLevel="0" collapsed="false">
      <c r="A337" s="5" t="s">
        <v>487</v>
      </c>
      <c r="B337" s="2" t="s">
        <v>664</v>
      </c>
      <c r="C337" s="5" t="s">
        <v>171</v>
      </c>
      <c r="D337" s="5" t="s">
        <v>172</v>
      </c>
      <c r="E337" s="5" t="s">
        <v>166</v>
      </c>
      <c r="F337" s="21" t="n">
        <v>4</v>
      </c>
      <c r="G337" s="21" t="n">
        <v>0</v>
      </c>
      <c r="H337" s="22" t="n">
        <f aca="false">F337+G337</f>
        <v>4</v>
      </c>
      <c r="I337" s="13" t="n">
        <f aca="false">INDEX(RM_Rates!$F$5:$F$137,MATCH(C337,RM_Rates!$A$5:$A$137,0))</f>
        <v>0.124766282737255</v>
      </c>
      <c r="J337" s="22" t="n">
        <f aca="false">H337*I337</f>
        <v>0.49906513094902</v>
      </c>
    </row>
    <row r="338" customFormat="false" ht="15" hidden="false" customHeight="false" outlineLevel="0" collapsed="false">
      <c r="A338" s="5" t="s">
        <v>487</v>
      </c>
      <c r="B338" s="2" t="s">
        <v>664</v>
      </c>
      <c r="C338" s="5" t="s">
        <v>308</v>
      </c>
      <c r="D338" s="5" t="s">
        <v>309</v>
      </c>
      <c r="E338" s="5" t="s">
        <v>297</v>
      </c>
      <c r="F338" s="21" t="n">
        <v>8.80000019073486</v>
      </c>
      <c r="G338" s="21" t="n">
        <v>0</v>
      </c>
      <c r="H338" s="22" t="n">
        <f aca="false">F338+G338</f>
        <v>8.80000019073486</v>
      </c>
      <c r="I338" s="13" t="n">
        <f aca="false">INDEX(RM_Rates!$F$5:$F$137,MATCH(C338,RM_Rates!$A$5:$A$137,0))</f>
        <v>1.40752077102661</v>
      </c>
      <c r="J338" s="22" t="n">
        <f aca="false">H338*I338</f>
        <v>12.3861830534974</v>
      </c>
    </row>
    <row r="339" customFormat="false" ht="15" hidden="false" customHeight="false" outlineLevel="0" collapsed="false">
      <c r="A339" s="5" t="s">
        <v>487</v>
      </c>
      <c r="B339" s="2" t="s">
        <v>664</v>
      </c>
      <c r="C339" s="5" t="s">
        <v>189</v>
      </c>
      <c r="D339" s="5" t="s">
        <v>190</v>
      </c>
      <c r="E339" s="5" t="s">
        <v>60</v>
      </c>
      <c r="F339" s="21" t="n">
        <v>0.879999995231628</v>
      </c>
      <c r="G339" s="21" t="n">
        <v>0</v>
      </c>
      <c r="H339" s="22" t="n">
        <f aca="false">F339+G339</f>
        <v>0.879999995231628</v>
      </c>
      <c r="I339" s="13" t="n">
        <f aca="false">INDEX(RM_Rates!$F$5:$F$137,MATCH(C339,RM_Rates!$A$5:$A$137,0))</f>
        <v>0.568400025367737</v>
      </c>
      <c r="J339" s="22" t="n">
        <f aca="false">H339*I339</f>
        <v>0.500192019613266</v>
      </c>
    </row>
    <row r="340" customFormat="false" ht="15" hidden="false" customHeight="false" outlineLevel="0" collapsed="false">
      <c r="A340" s="5" t="s">
        <v>489</v>
      </c>
      <c r="B340" s="2" t="s">
        <v>665</v>
      </c>
      <c r="C340" s="5" t="s">
        <v>82</v>
      </c>
      <c r="D340" s="5" t="s">
        <v>83</v>
      </c>
      <c r="E340" s="5" t="s">
        <v>72</v>
      </c>
      <c r="F340" s="21" t="n">
        <v>877.559997558594</v>
      </c>
      <c r="G340" s="21" t="n">
        <v>0.214000001549721</v>
      </c>
      <c r="H340" s="22" t="n">
        <f aca="false">F340+G340</f>
        <v>877.773997560144</v>
      </c>
      <c r="I340" s="13" t="n">
        <f aca="false">INDEX(RM_Rates!$F$5:$F$137,MATCH(C340,RM_Rates!$A$5:$A$137,0))</f>
        <v>1.973232</v>
      </c>
      <c r="J340" s="22" t="n">
        <f aca="false">H340*I340</f>
        <v>1732.0517407536</v>
      </c>
    </row>
    <row r="341" customFormat="false" ht="15" hidden="false" customHeight="false" outlineLevel="0" collapsed="false">
      <c r="A341" s="5" t="s">
        <v>489</v>
      </c>
      <c r="B341" s="2" t="s">
        <v>665</v>
      </c>
      <c r="C341" s="5" t="s">
        <v>326</v>
      </c>
      <c r="D341" s="5" t="s">
        <v>327</v>
      </c>
      <c r="E341" s="5" t="s">
        <v>72</v>
      </c>
      <c r="F341" s="21" t="n">
        <v>234.839996337891</v>
      </c>
      <c r="G341" s="21" t="n">
        <v>0.569999992847443</v>
      </c>
      <c r="H341" s="22" t="n">
        <f aca="false">F341+G341</f>
        <v>235.409996330738</v>
      </c>
      <c r="I341" s="13" t="n">
        <f aca="false">INDEX(RM_Rates!$F$5:$F$137,MATCH(C341,RM_Rates!$A$5:$A$137,0))</f>
        <v>0.596000015735626</v>
      </c>
      <c r="J341" s="22" t="n">
        <f aca="false">H341*I341</f>
        <v>140.304361517444</v>
      </c>
    </row>
    <row r="342" customFormat="false" ht="15" hidden="false" customHeight="false" outlineLevel="0" collapsed="false">
      <c r="A342" s="5" t="s">
        <v>489</v>
      </c>
      <c r="B342" s="2" t="s">
        <v>665</v>
      </c>
      <c r="C342" s="5" t="s">
        <v>324</v>
      </c>
      <c r="D342" s="5" t="s">
        <v>325</v>
      </c>
      <c r="E342" s="5" t="s">
        <v>72</v>
      </c>
      <c r="F342" s="21" t="n">
        <v>12.9161996841431</v>
      </c>
      <c r="G342" s="21" t="n">
        <v>0.0320000015199184</v>
      </c>
      <c r="H342" s="22" t="n">
        <f aca="false">F342+G342</f>
        <v>12.948199685663</v>
      </c>
      <c r="I342" s="13" t="n">
        <f aca="false">INDEX(RM_Rates!$F$5:$F$137,MATCH(C342,RM_Rates!$A$5:$A$137,0))</f>
        <v>1.35229277610779</v>
      </c>
      <c r="J342" s="22" t="n">
        <f aca="false">H342*I342</f>
        <v>17.5097568985233</v>
      </c>
    </row>
    <row r="343" customFormat="false" ht="15" hidden="false" customHeight="false" outlineLevel="0" collapsed="false">
      <c r="A343" s="5" t="s">
        <v>489</v>
      </c>
      <c r="B343" s="2" t="s">
        <v>665</v>
      </c>
      <c r="C343" s="5" t="s">
        <v>314</v>
      </c>
      <c r="D343" s="5" t="s">
        <v>315</v>
      </c>
      <c r="E343" s="5" t="s">
        <v>72</v>
      </c>
      <c r="F343" s="21" t="n">
        <v>1.7613000869751</v>
      </c>
      <c r="G343" s="21" t="n">
        <v>0.00400000018998981</v>
      </c>
      <c r="H343" s="22" t="n">
        <f aca="false">F343+G343</f>
        <v>1.76530008716509</v>
      </c>
      <c r="I343" s="13" t="n">
        <f aca="false">INDEX(RM_Rates!$F$5:$F$137,MATCH(C343,RM_Rates!$A$5:$A$137,0))</f>
        <v>1.6441433429718</v>
      </c>
      <c r="J343" s="22" t="n">
        <f aca="false">H343*I343</f>
        <v>2.90240638666002</v>
      </c>
    </row>
    <row r="344" customFormat="false" ht="15" hidden="false" customHeight="false" outlineLevel="0" collapsed="false">
      <c r="A344" s="5" t="s">
        <v>489</v>
      </c>
      <c r="B344" s="2" t="s">
        <v>665</v>
      </c>
      <c r="C344" s="5" t="s">
        <v>320</v>
      </c>
      <c r="D344" s="5" t="s">
        <v>321</v>
      </c>
      <c r="E344" s="5" t="s">
        <v>72</v>
      </c>
      <c r="F344" s="21" t="n">
        <v>1.7613000869751</v>
      </c>
      <c r="G344" s="21" t="n">
        <v>0.00400000018998981</v>
      </c>
      <c r="H344" s="22" t="n">
        <f aca="false">F344+G344</f>
        <v>1.76530008716509</v>
      </c>
      <c r="I344" s="13" t="n">
        <f aca="false">INDEX(RM_Rates!$F$5:$F$137,MATCH(C344,RM_Rates!$A$5:$A$137,0))</f>
        <v>1.6441433429718</v>
      </c>
      <c r="J344" s="22" t="n">
        <f aca="false">H344*I344</f>
        <v>2.90240638666002</v>
      </c>
    </row>
    <row r="345" customFormat="false" ht="15" hidden="false" customHeight="false" outlineLevel="0" collapsed="false">
      <c r="A345" s="5" t="s">
        <v>489</v>
      </c>
      <c r="B345" s="2" t="s">
        <v>665</v>
      </c>
      <c r="C345" s="5" t="s">
        <v>202</v>
      </c>
      <c r="D345" s="5" t="s">
        <v>203</v>
      </c>
      <c r="E345" s="5" t="s">
        <v>72</v>
      </c>
      <c r="F345" s="21" t="n">
        <v>14.6259994506836</v>
      </c>
      <c r="G345" s="21" t="n">
        <v>0</v>
      </c>
      <c r="H345" s="22" t="n">
        <f aca="false">F345+G345</f>
        <v>14.6259994506836</v>
      </c>
      <c r="I345" s="13" t="n">
        <f aca="false">INDEX(RM_Rates!$F$5:$F$137,MATCH(C345,RM_Rates!$A$5:$A$137,0))</f>
        <v>0.750177025794983</v>
      </c>
      <c r="J345" s="22" t="n">
        <f aca="false">H345*I345</f>
        <v>10.9720887671929</v>
      </c>
    </row>
    <row r="346" customFormat="false" ht="15" hidden="false" customHeight="false" outlineLevel="0" collapsed="false">
      <c r="A346" s="5" t="s">
        <v>489</v>
      </c>
      <c r="B346" s="2" t="s">
        <v>665</v>
      </c>
      <c r="C346" s="5" t="s">
        <v>62</v>
      </c>
      <c r="D346" s="5" t="s">
        <v>63</v>
      </c>
      <c r="E346" s="5" t="s">
        <v>60</v>
      </c>
      <c r="F346" s="21" t="n">
        <v>30.9000015258789</v>
      </c>
      <c r="G346" s="21" t="n">
        <v>0.0149999996647239</v>
      </c>
      <c r="H346" s="22" t="n">
        <f aca="false">F346+G346</f>
        <v>30.9150015255436</v>
      </c>
      <c r="I346" s="13" t="n">
        <f aca="false">INDEX(RM_Rates!$F$5:$F$137,MATCH(C346,RM_Rates!$A$5:$A$137,0))</f>
        <v>1.83595955371857</v>
      </c>
      <c r="J346" s="22" t="n">
        <f aca="false">H346*I346</f>
        <v>56.758692404046</v>
      </c>
    </row>
    <row r="347" customFormat="false" ht="15" hidden="false" customHeight="false" outlineLevel="0" collapsed="false">
      <c r="A347" s="5" t="s">
        <v>489</v>
      </c>
      <c r="B347" s="2" t="s">
        <v>665</v>
      </c>
      <c r="C347" s="5" t="s">
        <v>70</v>
      </c>
      <c r="D347" s="5" t="s">
        <v>71</v>
      </c>
      <c r="E347" s="5" t="s">
        <v>72</v>
      </c>
      <c r="F347" s="21" t="n">
        <v>97.2000045776367</v>
      </c>
      <c r="G347" s="21" t="n">
        <v>0</v>
      </c>
      <c r="H347" s="22" t="n">
        <f aca="false">F347+G347</f>
        <v>97.2000045776367</v>
      </c>
      <c r="I347" s="13" t="n">
        <f aca="false">INDEX(RM_Rates!$F$5:$F$137,MATCH(C347,RM_Rates!$A$5:$A$137,0))</f>
        <v>2.86922955513001</v>
      </c>
      <c r="J347" s="22" t="n">
        <f aca="false">H347*I347</f>
        <v>278.889125892928</v>
      </c>
    </row>
    <row r="348" customFormat="false" ht="15" hidden="false" customHeight="false" outlineLevel="0" collapsed="false">
      <c r="A348" s="5" t="s">
        <v>489</v>
      </c>
      <c r="B348" s="2" t="s">
        <v>665</v>
      </c>
      <c r="C348" s="5" t="s">
        <v>210</v>
      </c>
      <c r="D348" s="5" t="s">
        <v>211</v>
      </c>
      <c r="E348" s="5" t="s">
        <v>72</v>
      </c>
      <c r="F348" s="21" t="n">
        <v>31.4340019226074</v>
      </c>
      <c r="G348" s="21" t="n">
        <v>0</v>
      </c>
      <c r="H348" s="22" t="n">
        <f aca="false">F348+G348</f>
        <v>31.4340019226074</v>
      </c>
      <c r="I348" s="13" t="n">
        <f aca="false">INDEX(RM_Rates!$F$5:$F$137,MATCH(C348,RM_Rates!$A$5:$A$137,0))</f>
        <v>0.750177025794983</v>
      </c>
      <c r="J348" s="22" t="n">
        <f aca="false">H348*I348</f>
        <v>23.5810660711354</v>
      </c>
    </row>
    <row r="349" customFormat="false" ht="15" hidden="false" customHeight="false" outlineLevel="0" collapsed="false">
      <c r="A349" s="5" t="s">
        <v>489</v>
      </c>
      <c r="B349" s="2" t="s">
        <v>665</v>
      </c>
      <c r="C349" s="5" t="s">
        <v>222</v>
      </c>
      <c r="D349" s="5" t="s">
        <v>223</v>
      </c>
      <c r="E349" s="5" t="s">
        <v>72</v>
      </c>
      <c r="F349" s="21" t="n">
        <v>91.463996887207</v>
      </c>
      <c r="G349" s="21" t="n">
        <v>0</v>
      </c>
      <c r="H349" s="22" t="n">
        <f aca="false">F349+G349</f>
        <v>91.463996887207</v>
      </c>
      <c r="I349" s="13" t="n">
        <f aca="false">INDEX(RM_Rates!$F$5:$F$137,MATCH(C349,RM_Rates!$A$5:$A$137,0))</f>
        <v>0.379036813974381</v>
      </c>
      <c r="J349" s="22" t="n">
        <f aca="false">H349*I349</f>
        <v>34.6682219734896</v>
      </c>
    </row>
    <row r="350" customFormat="false" ht="15" hidden="false" customHeight="false" outlineLevel="0" collapsed="false">
      <c r="A350" s="5" t="s">
        <v>489</v>
      </c>
      <c r="B350" s="2" t="s">
        <v>665</v>
      </c>
      <c r="C350" s="5" t="s">
        <v>68</v>
      </c>
      <c r="D350" s="5" t="s">
        <v>69</v>
      </c>
      <c r="E350" s="5" t="s">
        <v>60</v>
      </c>
      <c r="F350" s="21" t="n">
        <v>6.67000007629395</v>
      </c>
      <c r="G350" s="21" t="n">
        <v>0.0670000016689301</v>
      </c>
      <c r="H350" s="22" t="n">
        <f aca="false">F350+G350</f>
        <v>6.73700007796288</v>
      </c>
      <c r="I350" s="13" t="n">
        <f aca="false">INDEX(RM_Rates!$F$5:$F$137,MATCH(C350,RM_Rates!$A$5:$A$137,0))</f>
        <v>1.83595955371857</v>
      </c>
      <c r="J350" s="22" t="n">
        <f aca="false">H350*I350</f>
        <v>12.3688596565387</v>
      </c>
    </row>
    <row r="351" customFormat="false" ht="15" hidden="false" customHeight="false" outlineLevel="0" collapsed="false">
      <c r="A351" s="5" t="s">
        <v>489</v>
      </c>
      <c r="B351" s="2" t="s">
        <v>665</v>
      </c>
      <c r="C351" s="5" t="s">
        <v>244</v>
      </c>
      <c r="D351" s="5" t="s">
        <v>245</v>
      </c>
      <c r="E351" s="5" t="s">
        <v>60</v>
      </c>
      <c r="F351" s="21" t="n">
        <v>672.900024414063</v>
      </c>
      <c r="G351" s="21" t="n">
        <v>1.682000041008</v>
      </c>
      <c r="H351" s="22" t="n">
        <f aca="false">F351+G351</f>
        <v>674.582024455071</v>
      </c>
      <c r="I351" s="13" t="n">
        <f aca="false">INDEX(RM_Rates!$F$5:$F$137,MATCH(C351,RM_Rates!$A$5:$A$137,0))</f>
        <v>0.648000001907349</v>
      </c>
      <c r="J351" s="22" t="n">
        <f aca="false">H351*I351</f>
        <v>437.129153133549</v>
      </c>
    </row>
    <row r="352" customFormat="false" ht="15" hidden="false" customHeight="false" outlineLevel="0" collapsed="false">
      <c r="A352" s="5" t="s">
        <v>489</v>
      </c>
      <c r="B352" s="2" t="s">
        <v>665</v>
      </c>
      <c r="C352" s="5" t="s">
        <v>232</v>
      </c>
      <c r="D352" s="5" t="s">
        <v>233</v>
      </c>
      <c r="E352" s="5" t="s">
        <v>72</v>
      </c>
      <c r="F352" s="21" t="n">
        <v>10.7664003372192</v>
      </c>
      <c r="G352" s="21" t="n">
        <v>0.0270000007003546</v>
      </c>
      <c r="H352" s="22" t="n">
        <f aca="false">F352+G352</f>
        <v>10.7934003379196</v>
      </c>
      <c r="I352" s="13" t="n">
        <f aca="false">INDEX(RM_Rates!$F$5:$F$137,MATCH(C352,RM_Rates!$A$5:$A$137,0))</f>
        <v>1.45200002193451</v>
      </c>
      <c r="J352" s="22" t="n">
        <f aca="false">H352*I352</f>
        <v>15.6720175274071</v>
      </c>
    </row>
    <row r="353" customFormat="false" ht="15" hidden="false" customHeight="false" outlineLevel="0" collapsed="false">
      <c r="A353" s="5" t="s">
        <v>489</v>
      </c>
      <c r="B353" s="2" t="s">
        <v>665</v>
      </c>
      <c r="C353" s="5" t="s">
        <v>271</v>
      </c>
      <c r="D353" s="5" t="s">
        <v>272</v>
      </c>
      <c r="E353" s="5" t="s">
        <v>72</v>
      </c>
      <c r="F353" s="21" t="n">
        <v>1001.70001220703</v>
      </c>
      <c r="G353" s="21" t="n">
        <v>10.0170001983643</v>
      </c>
      <c r="H353" s="22" t="n">
        <f aca="false">F353+G353</f>
        <v>1011.71701240539</v>
      </c>
      <c r="I353" s="13" t="n">
        <f aca="false">INDEX(RM_Rates!$F$5:$F$137,MATCH(C353,RM_Rates!$A$5:$A$137,0))</f>
        <v>0.388907551765442</v>
      </c>
      <c r="J353" s="22" t="n">
        <f aca="false">H353*I353</f>
        <v>393.464386374029</v>
      </c>
    </row>
    <row r="354" customFormat="false" ht="15" hidden="false" customHeight="false" outlineLevel="0" collapsed="false">
      <c r="A354" s="5" t="s">
        <v>489</v>
      </c>
      <c r="B354" s="2" t="s">
        <v>665</v>
      </c>
      <c r="C354" s="5" t="s">
        <v>287</v>
      </c>
      <c r="D354" s="5" t="s">
        <v>288</v>
      </c>
      <c r="E354" s="5" t="s">
        <v>166</v>
      </c>
      <c r="F354" s="21" t="n">
        <v>2</v>
      </c>
      <c r="G354" s="21" t="n">
        <v>0</v>
      </c>
      <c r="H354" s="22" t="n">
        <f aca="false">F354+G354</f>
        <v>2</v>
      </c>
      <c r="I354" s="13" t="n">
        <f aca="false">INDEX(RM_Rates!$F$5:$F$137,MATCH(C354,RM_Rates!$A$5:$A$137,0))</f>
        <v>57.848518371582</v>
      </c>
      <c r="J354" s="22" t="n">
        <f aca="false">H354*I354</f>
        <v>115.697036743164</v>
      </c>
    </row>
    <row r="355" customFormat="false" ht="15" hidden="false" customHeight="false" outlineLevel="0" collapsed="false">
      <c r="A355" s="5" t="s">
        <v>489</v>
      </c>
      <c r="B355" s="2" t="s">
        <v>665</v>
      </c>
      <c r="C355" s="5" t="s">
        <v>173</v>
      </c>
      <c r="D355" s="5" t="s">
        <v>174</v>
      </c>
      <c r="E355" s="5" t="s">
        <v>166</v>
      </c>
      <c r="F355" s="21" t="n">
        <v>4</v>
      </c>
      <c r="G355" s="21" t="n">
        <v>0</v>
      </c>
      <c r="H355" s="22" t="n">
        <f aca="false">F355+G355</f>
        <v>4</v>
      </c>
      <c r="I355" s="13" t="n">
        <f aca="false">INDEX(RM_Rates!$F$5:$F$137,MATCH(C355,RM_Rates!$A$5:$A$137,0))</f>
        <v>0.255849838256836</v>
      </c>
      <c r="J355" s="22" t="n">
        <f aca="false">H355*I355</f>
        <v>1.02339935302734</v>
      </c>
    </row>
    <row r="356" customFormat="false" ht="15" hidden="false" customHeight="false" outlineLevel="0" collapsed="false">
      <c r="A356" s="5" t="s">
        <v>489</v>
      </c>
      <c r="B356" s="2" t="s">
        <v>665</v>
      </c>
      <c r="C356" s="5" t="s">
        <v>308</v>
      </c>
      <c r="D356" s="5" t="s">
        <v>309</v>
      </c>
      <c r="E356" s="5" t="s">
        <v>297</v>
      </c>
      <c r="F356" s="21" t="n">
        <v>10</v>
      </c>
      <c r="G356" s="21" t="n">
        <v>0</v>
      </c>
      <c r="H356" s="22" t="n">
        <f aca="false">F356+G356</f>
        <v>10</v>
      </c>
      <c r="I356" s="13" t="n">
        <f aca="false">INDEX(RM_Rates!$F$5:$F$137,MATCH(C356,RM_Rates!$A$5:$A$137,0))</f>
        <v>1.40752077102661</v>
      </c>
      <c r="J356" s="22" t="n">
        <f aca="false">H356*I356</f>
        <v>14.0752077102661</v>
      </c>
    </row>
    <row r="357" customFormat="false" ht="15" hidden="false" customHeight="false" outlineLevel="0" collapsed="false">
      <c r="A357" s="5" t="s">
        <v>489</v>
      </c>
      <c r="B357" s="2" t="s">
        <v>665</v>
      </c>
      <c r="C357" s="5" t="s">
        <v>189</v>
      </c>
      <c r="D357" s="5" t="s">
        <v>190</v>
      </c>
      <c r="E357" s="5" t="s">
        <v>60</v>
      </c>
      <c r="F357" s="21" t="n">
        <v>1</v>
      </c>
      <c r="G357" s="21" t="n">
        <v>0</v>
      </c>
      <c r="H357" s="22" t="n">
        <f aca="false">F357+G357</f>
        <v>1</v>
      </c>
      <c r="I357" s="13" t="n">
        <f aca="false">INDEX(RM_Rates!$F$5:$F$137,MATCH(C357,RM_Rates!$A$5:$A$137,0))</f>
        <v>0.568400025367737</v>
      </c>
      <c r="J357" s="22" t="n">
        <f aca="false">H357*I357</f>
        <v>0.568400025367737</v>
      </c>
    </row>
    <row r="358" customFormat="false" ht="15" hidden="false" customHeight="false" outlineLevel="0" collapsed="false">
      <c r="A358" s="5" t="s">
        <v>491</v>
      </c>
      <c r="B358" s="2" t="s">
        <v>666</v>
      </c>
      <c r="C358" s="5" t="s">
        <v>84</v>
      </c>
      <c r="D358" s="5" t="s">
        <v>85</v>
      </c>
      <c r="E358" s="5" t="s">
        <v>72</v>
      </c>
      <c r="F358" s="21" t="n">
        <v>321.359985351563</v>
      </c>
      <c r="G358" s="21" t="n">
        <v>0.0649999976158142</v>
      </c>
      <c r="H358" s="22" t="n">
        <f aca="false">F358+G358</f>
        <v>321.424985349179</v>
      </c>
      <c r="I358" s="13" t="n">
        <f aca="false">INDEX(RM_Rates!$F$5:$F$137,MATCH(C358,RM_Rates!$A$5:$A$137,0))</f>
        <v>1.990602</v>
      </c>
      <c r="J358" s="22" t="n">
        <f aca="false">H358*I358</f>
        <v>639.829218686046</v>
      </c>
    </row>
    <row r="359" customFormat="false" ht="15" hidden="false" customHeight="false" outlineLevel="0" collapsed="false">
      <c r="A359" s="5" t="s">
        <v>491</v>
      </c>
      <c r="B359" s="2" t="s">
        <v>666</v>
      </c>
      <c r="C359" s="5" t="s">
        <v>326</v>
      </c>
      <c r="D359" s="5" t="s">
        <v>327</v>
      </c>
      <c r="E359" s="5" t="s">
        <v>72</v>
      </c>
      <c r="F359" s="21" t="n">
        <v>128.543991088867</v>
      </c>
      <c r="G359" s="21" t="n">
        <v>0.259999990463257</v>
      </c>
      <c r="H359" s="22" t="n">
        <f aca="false">F359+G359</f>
        <v>128.80399107933</v>
      </c>
      <c r="I359" s="13" t="n">
        <f aca="false">INDEX(RM_Rates!$F$5:$F$137,MATCH(C359,RM_Rates!$A$5:$A$137,0))</f>
        <v>0.596000015735626</v>
      </c>
      <c r="J359" s="22" t="n">
        <f aca="false">H359*I359</f>
        <v>76.7671807100923</v>
      </c>
    </row>
    <row r="360" customFormat="false" ht="15" hidden="false" customHeight="false" outlineLevel="0" collapsed="false">
      <c r="A360" s="5" t="s">
        <v>491</v>
      </c>
      <c r="B360" s="2" t="s">
        <v>666</v>
      </c>
      <c r="C360" s="5" t="s">
        <v>324</v>
      </c>
      <c r="D360" s="5" t="s">
        <v>325</v>
      </c>
      <c r="E360" s="5" t="s">
        <v>72</v>
      </c>
      <c r="F360" s="21" t="n">
        <v>7.0699200630188</v>
      </c>
      <c r="G360" s="21" t="n">
        <v>0.0140000004321337</v>
      </c>
      <c r="H360" s="22" t="n">
        <f aca="false">F360+G360</f>
        <v>7.08392006345093</v>
      </c>
      <c r="I360" s="13" t="n">
        <f aca="false">INDEX(RM_Rates!$F$5:$F$137,MATCH(C360,RM_Rates!$A$5:$A$137,0))</f>
        <v>1.35229277610779</v>
      </c>
      <c r="J360" s="22" t="n">
        <f aca="false">H360*I360</f>
        <v>9.57953392832973</v>
      </c>
    </row>
    <row r="361" customFormat="false" ht="15" hidden="false" customHeight="false" outlineLevel="0" collapsed="false">
      <c r="A361" s="5" t="s">
        <v>491</v>
      </c>
      <c r="B361" s="2" t="s">
        <v>666</v>
      </c>
      <c r="C361" s="5" t="s">
        <v>320</v>
      </c>
      <c r="D361" s="5" t="s">
        <v>321</v>
      </c>
      <c r="E361" s="5" t="s">
        <v>72</v>
      </c>
      <c r="F361" s="21" t="n">
        <v>1.9281599521637</v>
      </c>
      <c r="G361" s="21" t="n">
        <v>0.00400000018998981</v>
      </c>
      <c r="H361" s="22" t="n">
        <f aca="false">F361+G361</f>
        <v>1.93215995235369</v>
      </c>
      <c r="I361" s="13" t="n">
        <f aca="false">INDEX(RM_Rates!$F$5:$F$137,MATCH(C361,RM_Rates!$A$5:$A$137,0))</f>
        <v>1.6441433429718</v>
      </c>
      <c r="J361" s="22" t="n">
        <f aca="false">H361*I361</f>
        <v>3.17674792321903</v>
      </c>
    </row>
    <row r="362" customFormat="false" ht="15" hidden="false" customHeight="false" outlineLevel="0" collapsed="false">
      <c r="A362" s="5" t="s">
        <v>491</v>
      </c>
      <c r="B362" s="2" t="s">
        <v>666</v>
      </c>
      <c r="C362" s="5" t="s">
        <v>210</v>
      </c>
      <c r="D362" s="5" t="s">
        <v>211</v>
      </c>
      <c r="E362" s="5" t="s">
        <v>72</v>
      </c>
      <c r="F362" s="21" t="n">
        <v>2.16000008583069</v>
      </c>
      <c r="G362" s="21" t="n">
        <v>0</v>
      </c>
      <c r="H362" s="22" t="n">
        <f aca="false">F362+G362</f>
        <v>2.16000008583069</v>
      </c>
      <c r="I362" s="13" t="n">
        <f aca="false">INDEX(RM_Rates!$F$5:$F$137,MATCH(C362,RM_Rates!$A$5:$A$137,0))</f>
        <v>0.750177025794983</v>
      </c>
      <c r="J362" s="22" t="n">
        <f aca="false">H362*I362</f>
        <v>1.62038244010538</v>
      </c>
    </row>
    <row r="363" customFormat="false" ht="15" hidden="false" customHeight="false" outlineLevel="0" collapsed="false">
      <c r="A363" s="5" t="s">
        <v>491</v>
      </c>
      <c r="B363" s="2" t="s">
        <v>666</v>
      </c>
      <c r="C363" s="5" t="s">
        <v>62</v>
      </c>
      <c r="D363" s="5" t="s">
        <v>63</v>
      </c>
      <c r="E363" s="5" t="s">
        <v>60</v>
      </c>
      <c r="F363" s="21" t="n">
        <v>3.84999990463257</v>
      </c>
      <c r="G363" s="21" t="n">
        <v>0.0390000008046627</v>
      </c>
      <c r="H363" s="22" t="n">
        <f aca="false">F363+G363</f>
        <v>3.88899990543723</v>
      </c>
      <c r="I363" s="13" t="n">
        <f aca="false">INDEX(RM_Rates!$F$5:$F$137,MATCH(C363,RM_Rates!$A$5:$A$137,0))</f>
        <v>1.83595955371857</v>
      </c>
      <c r="J363" s="22" t="n">
        <f aca="false">H363*I363</f>
        <v>7.1400465307981</v>
      </c>
    </row>
    <row r="364" customFormat="false" ht="15" hidden="false" customHeight="false" outlineLevel="0" collapsed="false">
      <c r="A364" s="5" t="s">
        <v>491</v>
      </c>
      <c r="B364" s="2" t="s">
        <v>666</v>
      </c>
      <c r="C364" s="5" t="s">
        <v>70</v>
      </c>
      <c r="D364" s="5" t="s">
        <v>71</v>
      </c>
      <c r="E364" s="5" t="s">
        <v>72</v>
      </c>
      <c r="F364" s="21" t="n">
        <v>4.5</v>
      </c>
      <c r="G364" s="21" t="n">
        <v>0</v>
      </c>
      <c r="H364" s="22" t="n">
        <f aca="false">F364+G364</f>
        <v>4.5</v>
      </c>
      <c r="I364" s="13" t="n">
        <f aca="false">INDEX(RM_Rates!$F$5:$F$137,MATCH(C364,RM_Rates!$A$5:$A$137,0))</f>
        <v>2.86922955513001</v>
      </c>
      <c r="J364" s="22" t="n">
        <f aca="false">H364*I364</f>
        <v>12.911532998085</v>
      </c>
    </row>
    <row r="365" customFormat="false" ht="15" hidden="false" customHeight="false" outlineLevel="0" collapsed="false">
      <c r="A365" s="5" t="s">
        <v>491</v>
      </c>
      <c r="B365" s="2" t="s">
        <v>666</v>
      </c>
      <c r="C365" s="5" t="s">
        <v>202</v>
      </c>
      <c r="D365" s="5" t="s">
        <v>203</v>
      </c>
      <c r="E365" s="5" t="s">
        <v>72</v>
      </c>
      <c r="F365" s="21" t="n">
        <v>1.83000004291534</v>
      </c>
      <c r="G365" s="21" t="n">
        <v>0</v>
      </c>
      <c r="H365" s="22" t="n">
        <f aca="false">F365+G365</f>
        <v>1.83000004291534</v>
      </c>
      <c r="I365" s="13" t="n">
        <f aca="false">INDEX(RM_Rates!$F$5:$F$137,MATCH(C365,RM_Rates!$A$5:$A$137,0))</f>
        <v>0.750177025794983</v>
      </c>
      <c r="J365" s="22" t="n">
        <f aca="false">H365*I365</f>
        <v>1.37282398939892</v>
      </c>
    </row>
    <row r="366" customFormat="false" ht="15" hidden="false" customHeight="false" outlineLevel="0" collapsed="false">
      <c r="A366" s="5" t="s">
        <v>491</v>
      </c>
      <c r="B366" s="2" t="s">
        <v>666</v>
      </c>
      <c r="C366" s="5" t="s">
        <v>193</v>
      </c>
      <c r="D366" s="5" t="s">
        <v>194</v>
      </c>
      <c r="E366" s="5" t="s">
        <v>72</v>
      </c>
      <c r="F366" s="21" t="n">
        <v>271</v>
      </c>
      <c r="G366" s="21" t="n">
        <v>5.42000007629395</v>
      </c>
      <c r="H366" s="22" t="n">
        <f aca="false">F366+G366</f>
        <v>276.420000076294</v>
      </c>
      <c r="I366" s="13" t="n">
        <f aca="false">INDEX(RM_Rates!$F$5:$F$137,MATCH(C366,RM_Rates!$A$5:$A$137,0))</f>
        <v>0.769918501377106</v>
      </c>
      <c r="J366" s="22" t="n">
        <f aca="false">H366*I366</f>
        <v>212.8208722094</v>
      </c>
    </row>
    <row r="367" customFormat="false" ht="15" hidden="false" customHeight="false" outlineLevel="0" collapsed="false">
      <c r="A367" s="5" t="s">
        <v>491</v>
      </c>
      <c r="B367" s="2" t="s">
        <v>666</v>
      </c>
      <c r="C367" s="5" t="s">
        <v>191</v>
      </c>
      <c r="D367" s="5" t="s">
        <v>192</v>
      </c>
      <c r="E367" s="5" t="s">
        <v>72</v>
      </c>
      <c r="F367" s="21" t="n">
        <v>4.33599996566773</v>
      </c>
      <c r="G367" s="21" t="n">
        <v>0.0860000029206276</v>
      </c>
      <c r="H367" s="22" t="n">
        <f aca="false">F367+G367</f>
        <v>4.42199996858836</v>
      </c>
      <c r="I367" s="13" t="n">
        <f aca="false">INDEX(RM_Rates!$F$5:$F$137,MATCH(C367,RM_Rates!$A$5:$A$137,0))</f>
        <v>2.39035940170288</v>
      </c>
      <c r="J367" s="22" t="n">
        <f aca="false">H367*I367</f>
        <v>10.570169199245</v>
      </c>
    </row>
    <row r="368" customFormat="false" ht="15" hidden="false" customHeight="false" outlineLevel="0" collapsed="false">
      <c r="A368" s="5" t="s">
        <v>491</v>
      </c>
      <c r="B368" s="2" t="s">
        <v>666</v>
      </c>
      <c r="C368" s="5" t="s">
        <v>271</v>
      </c>
      <c r="D368" s="5" t="s">
        <v>272</v>
      </c>
      <c r="E368" s="5" t="s">
        <v>72</v>
      </c>
      <c r="F368" s="21" t="n">
        <v>588.299987792969</v>
      </c>
      <c r="G368" s="21" t="n">
        <v>5.88299989700317</v>
      </c>
      <c r="H368" s="22" t="n">
        <f aca="false">F368+G368</f>
        <v>594.182987689972</v>
      </c>
      <c r="I368" s="13" t="n">
        <f aca="false">INDEX(RM_Rates!$F$5:$F$137,MATCH(C368,RM_Rates!$A$5:$A$137,0))</f>
        <v>0.388907551765442</v>
      </c>
      <c r="J368" s="22" t="n">
        <f aca="false">H368*I368</f>
        <v>231.082251043183</v>
      </c>
    </row>
    <row r="369" customFormat="false" ht="15" hidden="false" customHeight="false" outlineLevel="0" collapsed="false">
      <c r="A369" s="5" t="s">
        <v>491</v>
      </c>
      <c r="B369" s="2" t="s">
        <v>666</v>
      </c>
      <c r="C369" s="5" t="s">
        <v>285</v>
      </c>
      <c r="D369" s="5" t="s">
        <v>286</v>
      </c>
      <c r="E369" s="5" t="s">
        <v>166</v>
      </c>
      <c r="F369" s="21" t="n">
        <v>1</v>
      </c>
      <c r="G369" s="21" t="n">
        <v>0</v>
      </c>
      <c r="H369" s="22" t="n">
        <f aca="false">F369+G369</f>
        <v>1</v>
      </c>
      <c r="I369" s="13" t="n">
        <f aca="false">INDEX(RM_Rates!$F$5:$F$137,MATCH(C369,RM_Rates!$A$5:$A$137,0))</f>
        <v>40.09814453125</v>
      </c>
      <c r="J369" s="22" t="n">
        <f aca="false">H369*I369</f>
        <v>40.09814453125</v>
      </c>
    </row>
    <row r="370" customFormat="false" ht="15" hidden="false" customHeight="false" outlineLevel="0" collapsed="false">
      <c r="A370" s="5" t="s">
        <v>491</v>
      </c>
      <c r="B370" s="2" t="s">
        <v>666</v>
      </c>
      <c r="C370" s="5" t="s">
        <v>169</v>
      </c>
      <c r="D370" s="5" t="s">
        <v>170</v>
      </c>
      <c r="E370" s="5" t="s">
        <v>166</v>
      </c>
      <c r="F370" s="21" t="n">
        <v>2</v>
      </c>
      <c r="G370" s="21" t="n">
        <v>0</v>
      </c>
      <c r="H370" s="22" t="n">
        <f aca="false">F370+G370</f>
        <v>2</v>
      </c>
      <c r="I370" s="13" t="n">
        <f aca="false">INDEX(RM_Rates!$F$5:$F$137,MATCH(C370,RM_Rates!$A$5:$A$137,0))</f>
        <v>0.124766282737255</v>
      </c>
      <c r="J370" s="22" t="n">
        <f aca="false">H370*I370</f>
        <v>0.24953256547451</v>
      </c>
    </row>
    <row r="371" customFormat="false" ht="15" hidden="false" customHeight="false" outlineLevel="0" collapsed="false">
      <c r="A371" s="5" t="s">
        <v>491</v>
      </c>
      <c r="B371" s="2" t="s">
        <v>666</v>
      </c>
      <c r="C371" s="5" t="s">
        <v>308</v>
      </c>
      <c r="D371" s="5" t="s">
        <v>309</v>
      </c>
      <c r="E371" s="5" t="s">
        <v>297</v>
      </c>
      <c r="F371" s="21" t="n">
        <v>4.40000009536743</v>
      </c>
      <c r="G371" s="21" t="n">
        <v>0</v>
      </c>
      <c r="H371" s="22" t="n">
        <f aca="false">F371+G371</f>
        <v>4.40000009536743</v>
      </c>
      <c r="I371" s="13" t="n">
        <f aca="false">INDEX(RM_Rates!$F$5:$F$137,MATCH(C371,RM_Rates!$A$5:$A$137,0))</f>
        <v>1.40752077102661</v>
      </c>
      <c r="J371" s="22" t="n">
        <f aca="false">H371*I371</f>
        <v>6.19309152674872</v>
      </c>
    </row>
    <row r="372" customFormat="false" ht="15" hidden="false" customHeight="false" outlineLevel="0" collapsed="false">
      <c r="A372" s="5" t="s">
        <v>491</v>
      </c>
      <c r="B372" s="2" t="s">
        <v>666</v>
      </c>
      <c r="C372" s="5" t="s">
        <v>189</v>
      </c>
      <c r="D372" s="5" t="s">
        <v>190</v>
      </c>
      <c r="E372" s="5" t="s">
        <v>60</v>
      </c>
      <c r="F372" s="21" t="n">
        <v>0.439999997615814</v>
      </c>
      <c r="G372" s="21" t="n">
        <v>0</v>
      </c>
      <c r="H372" s="22" t="n">
        <f aca="false">F372+G372</f>
        <v>0.439999997615814</v>
      </c>
      <c r="I372" s="13" t="n">
        <f aca="false">INDEX(RM_Rates!$F$5:$F$137,MATCH(C372,RM_Rates!$A$5:$A$137,0))</f>
        <v>0.568400025367737</v>
      </c>
      <c r="J372" s="22" t="n">
        <f aca="false">H372*I372</f>
        <v>0.250096009806633</v>
      </c>
    </row>
    <row r="373" customFormat="false" ht="15" hidden="false" customHeight="false" outlineLevel="0" collapsed="false">
      <c r="A373" s="5" t="s">
        <v>493</v>
      </c>
      <c r="B373" s="2" t="s">
        <v>667</v>
      </c>
      <c r="C373" s="5" t="s">
        <v>86</v>
      </c>
      <c r="D373" s="5" t="s">
        <v>87</v>
      </c>
      <c r="E373" s="5" t="s">
        <v>72</v>
      </c>
      <c r="F373" s="21" t="n">
        <v>526.535949707031</v>
      </c>
      <c r="G373" s="21" t="n">
        <v>0.10700000077486</v>
      </c>
      <c r="H373" s="22" t="n">
        <f aca="false">F373+G373</f>
        <v>526.642949707806</v>
      </c>
      <c r="I373" s="13" t="n">
        <f aca="false">INDEX(RM_Rates!$F$5:$F$137,MATCH(C373,RM_Rates!$A$5:$A$137,0))</f>
        <v>1.997936</v>
      </c>
      <c r="J373" s="22" t="n">
        <f aca="false">H373*I373</f>
        <v>1052.19890836741</v>
      </c>
    </row>
    <row r="374" customFormat="false" ht="15" hidden="false" customHeight="false" outlineLevel="0" collapsed="false">
      <c r="A374" s="5" t="s">
        <v>493</v>
      </c>
      <c r="B374" s="2" t="s">
        <v>667</v>
      </c>
      <c r="C374" s="5" t="s">
        <v>326</v>
      </c>
      <c r="D374" s="5" t="s">
        <v>327</v>
      </c>
      <c r="E374" s="5" t="s">
        <v>72</v>
      </c>
      <c r="F374" s="21" t="n">
        <v>150.7919921875</v>
      </c>
      <c r="G374" s="21" t="n">
        <v>0.305000007152557</v>
      </c>
      <c r="H374" s="22" t="n">
        <f aca="false">F374+G374</f>
        <v>151.096992194653</v>
      </c>
      <c r="I374" s="13" t="n">
        <f aca="false">INDEX(RM_Rates!$F$5:$F$137,MATCH(C374,RM_Rates!$A$5:$A$137,0))</f>
        <v>0.596000015735626</v>
      </c>
      <c r="J374" s="22" t="n">
        <f aca="false">H374*I374</f>
        <v>90.0538097256187</v>
      </c>
    </row>
    <row r="375" customFormat="false" ht="15" hidden="false" customHeight="false" outlineLevel="0" collapsed="false">
      <c r="A375" s="5" t="s">
        <v>493</v>
      </c>
      <c r="B375" s="2" t="s">
        <v>667</v>
      </c>
      <c r="C375" s="5" t="s">
        <v>324</v>
      </c>
      <c r="D375" s="5" t="s">
        <v>325</v>
      </c>
      <c r="E375" s="5" t="s">
        <v>72</v>
      </c>
      <c r="F375" s="21" t="n">
        <v>8.29356002807617</v>
      </c>
      <c r="G375" s="21" t="n">
        <v>0.017000000923872</v>
      </c>
      <c r="H375" s="22" t="n">
        <f aca="false">F375+G375</f>
        <v>8.31056002900004</v>
      </c>
      <c r="I375" s="13" t="n">
        <f aca="false">INDEX(RM_Rates!$F$5:$F$137,MATCH(C375,RM_Rates!$A$5:$A$137,0))</f>
        <v>1.35229277610779</v>
      </c>
      <c r="J375" s="22" t="n">
        <f aca="false">H375*I375</f>
        <v>11.2383102926269</v>
      </c>
    </row>
    <row r="376" customFormat="false" ht="15" hidden="false" customHeight="false" outlineLevel="0" collapsed="false">
      <c r="A376" s="5" t="s">
        <v>493</v>
      </c>
      <c r="B376" s="2" t="s">
        <v>667</v>
      </c>
      <c r="C376" s="5" t="s">
        <v>320</v>
      </c>
      <c r="D376" s="5" t="s">
        <v>321</v>
      </c>
      <c r="E376" s="5" t="s">
        <v>72</v>
      </c>
      <c r="F376" s="21" t="n">
        <v>2.26187992095947</v>
      </c>
      <c r="G376" s="21" t="n">
        <v>0.00499999988824129</v>
      </c>
      <c r="H376" s="22" t="n">
        <f aca="false">F376+G376</f>
        <v>2.26687992084771</v>
      </c>
      <c r="I376" s="13" t="n">
        <f aca="false">INDEX(RM_Rates!$F$5:$F$137,MATCH(C376,RM_Rates!$A$5:$A$137,0))</f>
        <v>1.6441433429718</v>
      </c>
      <c r="J376" s="22" t="n">
        <f aca="false">H376*I376</f>
        <v>3.72707553117821</v>
      </c>
    </row>
    <row r="377" customFormat="false" ht="15" hidden="false" customHeight="false" outlineLevel="0" collapsed="false">
      <c r="A377" s="5" t="s">
        <v>493</v>
      </c>
      <c r="B377" s="2" t="s">
        <v>667</v>
      </c>
      <c r="C377" s="5" t="s">
        <v>210</v>
      </c>
      <c r="D377" s="5" t="s">
        <v>211</v>
      </c>
      <c r="E377" s="5" t="s">
        <v>72</v>
      </c>
      <c r="F377" s="21" t="n">
        <v>2.45000004768372</v>
      </c>
      <c r="G377" s="21" t="n">
        <v>0</v>
      </c>
      <c r="H377" s="22" t="n">
        <f aca="false">F377+G377</f>
        <v>2.45000004768372</v>
      </c>
      <c r="I377" s="13" t="n">
        <f aca="false">INDEX(RM_Rates!$F$5:$F$137,MATCH(C377,RM_Rates!$A$5:$A$137,0))</f>
        <v>0.750177025794983</v>
      </c>
      <c r="J377" s="22" t="n">
        <f aca="false">H377*I377</f>
        <v>1.83793374896894</v>
      </c>
    </row>
    <row r="378" customFormat="false" ht="15" hidden="false" customHeight="false" outlineLevel="0" collapsed="false">
      <c r="A378" s="5" t="s">
        <v>493</v>
      </c>
      <c r="B378" s="2" t="s">
        <v>667</v>
      </c>
      <c r="C378" s="5" t="s">
        <v>62</v>
      </c>
      <c r="D378" s="5" t="s">
        <v>63</v>
      </c>
      <c r="E378" s="5" t="s">
        <v>60</v>
      </c>
      <c r="F378" s="21" t="n">
        <v>4.3600001335144</v>
      </c>
      <c r="G378" s="21" t="n">
        <v>0.0439999997615814</v>
      </c>
      <c r="H378" s="22" t="n">
        <f aca="false">F378+G378</f>
        <v>4.40400013327598</v>
      </c>
      <c r="I378" s="13" t="n">
        <f aca="false">INDEX(RM_Rates!$F$5:$F$137,MATCH(C378,RM_Rates!$A$5:$A$137,0))</f>
        <v>1.83595955371857</v>
      </c>
      <c r="J378" s="22" t="n">
        <f aca="false">H378*I378</f>
        <v>8.08556611926589</v>
      </c>
    </row>
    <row r="379" customFormat="false" ht="15" hidden="false" customHeight="false" outlineLevel="0" collapsed="false">
      <c r="A379" s="5" t="s">
        <v>493</v>
      </c>
      <c r="B379" s="2" t="s">
        <v>667</v>
      </c>
      <c r="C379" s="5" t="s">
        <v>70</v>
      </c>
      <c r="D379" s="5" t="s">
        <v>71</v>
      </c>
      <c r="E379" s="5" t="s">
        <v>72</v>
      </c>
      <c r="F379" s="21" t="n">
        <v>4.5</v>
      </c>
      <c r="G379" s="21" t="n">
        <v>0</v>
      </c>
      <c r="H379" s="22" t="n">
        <f aca="false">F379+G379</f>
        <v>4.5</v>
      </c>
      <c r="I379" s="13" t="n">
        <f aca="false">INDEX(RM_Rates!$F$5:$F$137,MATCH(C379,RM_Rates!$A$5:$A$137,0))</f>
        <v>2.86922955513001</v>
      </c>
      <c r="J379" s="22" t="n">
        <f aca="false">H379*I379</f>
        <v>12.911532998085</v>
      </c>
    </row>
    <row r="380" customFormat="false" ht="15" hidden="false" customHeight="false" outlineLevel="0" collapsed="false">
      <c r="A380" s="5" t="s">
        <v>493</v>
      </c>
      <c r="B380" s="2" t="s">
        <v>667</v>
      </c>
      <c r="C380" s="5" t="s">
        <v>202</v>
      </c>
      <c r="D380" s="5" t="s">
        <v>203</v>
      </c>
      <c r="E380" s="5" t="s">
        <v>72</v>
      </c>
      <c r="F380" s="21" t="n">
        <v>2.0699999332428</v>
      </c>
      <c r="G380" s="21" t="n">
        <v>0</v>
      </c>
      <c r="H380" s="22" t="n">
        <f aca="false">F380+G380</f>
        <v>2.0699999332428</v>
      </c>
      <c r="I380" s="13" t="n">
        <f aca="false">INDEX(RM_Rates!$F$5:$F$137,MATCH(C380,RM_Rates!$A$5:$A$137,0))</f>
        <v>0.750177025794983</v>
      </c>
      <c r="J380" s="22" t="n">
        <f aca="false">H380*I380</f>
        <v>1.5528663933159</v>
      </c>
    </row>
    <row r="381" customFormat="false" ht="15" hidden="false" customHeight="false" outlineLevel="0" collapsed="false">
      <c r="A381" s="5" t="s">
        <v>493</v>
      </c>
      <c r="B381" s="2" t="s">
        <v>667</v>
      </c>
      <c r="C381" s="5" t="s">
        <v>193</v>
      </c>
      <c r="D381" s="5" t="s">
        <v>194</v>
      </c>
      <c r="E381" s="5" t="s">
        <v>72</v>
      </c>
      <c r="F381" s="21" t="n">
        <v>313.5</v>
      </c>
      <c r="G381" s="21" t="n">
        <v>6.26999998092651</v>
      </c>
      <c r="H381" s="22" t="n">
        <f aca="false">F381+G381</f>
        <v>319.769999980927</v>
      </c>
      <c r="I381" s="13" t="n">
        <f aca="false">INDEX(RM_Rates!$F$5:$F$137,MATCH(C381,RM_Rates!$A$5:$A$137,0))</f>
        <v>0.769918501377106</v>
      </c>
      <c r="J381" s="22" t="n">
        <f aca="false">H381*I381</f>
        <v>246.196839170672</v>
      </c>
    </row>
    <row r="382" customFormat="false" ht="15" hidden="false" customHeight="false" outlineLevel="0" collapsed="false">
      <c r="A382" s="5" t="s">
        <v>493</v>
      </c>
      <c r="B382" s="2" t="s">
        <v>667</v>
      </c>
      <c r="C382" s="5" t="s">
        <v>191</v>
      </c>
      <c r="D382" s="5" t="s">
        <v>192</v>
      </c>
      <c r="E382" s="5" t="s">
        <v>72</v>
      </c>
      <c r="F382" s="21" t="n">
        <v>5.01599979400635</v>
      </c>
      <c r="G382" s="21" t="n">
        <v>0.100000001490116</v>
      </c>
      <c r="H382" s="22" t="n">
        <f aca="false">F382+G382</f>
        <v>5.11599979549647</v>
      </c>
      <c r="I382" s="13" t="n">
        <f aca="false">INDEX(RM_Rates!$F$5:$F$137,MATCH(C382,RM_Rates!$A$5:$A$137,0))</f>
        <v>2.39035940170288</v>
      </c>
      <c r="J382" s="22" t="n">
        <f aca="false">H382*I382</f>
        <v>12.229078210275</v>
      </c>
    </row>
    <row r="383" customFormat="false" ht="15" hidden="false" customHeight="false" outlineLevel="0" collapsed="false">
      <c r="A383" s="5" t="s">
        <v>493</v>
      </c>
      <c r="B383" s="2" t="s">
        <v>667</v>
      </c>
      <c r="C383" s="5" t="s">
        <v>271</v>
      </c>
      <c r="D383" s="5" t="s">
        <v>272</v>
      </c>
      <c r="E383" s="5" t="s">
        <v>72</v>
      </c>
      <c r="F383" s="21" t="n">
        <v>667.799987792969</v>
      </c>
      <c r="G383" s="21" t="n">
        <v>6.67799997329712</v>
      </c>
      <c r="H383" s="22" t="n">
        <f aca="false">F383+G383</f>
        <v>674.477987766266</v>
      </c>
      <c r="I383" s="13" t="n">
        <f aca="false">INDEX(RM_Rates!$F$5:$F$137,MATCH(C383,RM_Rates!$A$5:$A$137,0))</f>
        <v>0.388907551765442</v>
      </c>
      <c r="J383" s="22" t="n">
        <f aca="false">H383*I383</f>
        <v>262.30958294186</v>
      </c>
    </row>
    <row r="384" customFormat="false" ht="15" hidden="false" customHeight="false" outlineLevel="0" collapsed="false">
      <c r="A384" s="5" t="s">
        <v>493</v>
      </c>
      <c r="B384" s="2" t="s">
        <v>667</v>
      </c>
      <c r="C384" s="5" t="s">
        <v>287</v>
      </c>
      <c r="D384" s="5" t="s">
        <v>288</v>
      </c>
      <c r="E384" s="5" t="s">
        <v>166</v>
      </c>
      <c r="F384" s="21" t="n">
        <v>1</v>
      </c>
      <c r="G384" s="21" t="n">
        <v>0</v>
      </c>
      <c r="H384" s="22" t="n">
        <f aca="false">F384+G384</f>
        <v>1</v>
      </c>
      <c r="I384" s="13" t="n">
        <f aca="false">INDEX(RM_Rates!$F$5:$F$137,MATCH(C384,RM_Rates!$A$5:$A$137,0))</f>
        <v>57.848518371582</v>
      </c>
      <c r="J384" s="22" t="n">
        <f aca="false">H384*I384</f>
        <v>57.848518371582</v>
      </c>
    </row>
    <row r="385" customFormat="false" ht="15" hidden="false" customHeight="false" outlineLevel="0" collapsed="false">
      <c r="A385" s="5" t="s">
        <v>493</v>
      </c>
      <c r="B385" s="2" t="s">
        <v>667</v>
      </c>
      <c r="C385" s="5" t="s">
        <v>171</v>
      </c>
      <c r="D385" s="5" t="s">
        <v>172</v>
      </c>
      <c r="E385" s="5" t="s">
        <v>166</v>
      </c>
      <c r="F385" s="21" t="n">
        <v>2</v>
      </c>
      <c r="G385" s="21" t="n">
        <v>0</v>
      </c>
      <c r="H385" s="22" t="n">
        <f aca="false">F385+G385</f>
        <v>2</v>
      </c>
      <c r="I385" s="13" t="n">
        <f aca="false">INDEX(RM_Rates!$F$5:$F$137,MATCH(C385,RM_Rates!$A$5:$A$137,0))</f>
        <v>0.124766282737255</v>
      </c>
      <c r="J385" s="22" t="n">
        <f aca="false">H385*I385</f>
        <v>0.24953256547451</v>
      </c>
    </row>
    <row r="386" customFormat="false" ht="15" hidden="false" customHeight="false" outlineLevel="0" collapsed="false">
      <c r="A386" s="5" t="s">
        <v>493</v>
      </c>
      <c r="B386" s="2" t="s">
        <v>667</v>
      </c>
      <c r="C386" s="5" t="s">
        <v>308</v>
      </c>
      <c r="D386" s="5" t="s">
        <v>309</v>
      </c>
      <c r="E386" s="5" t="s">
        <v>297</v>
      </c>
      <c r="F386" s="21" t="n">
        <v>5</v>
      </c>
      <c r="G386" s="21" t="n">
        <v>0</v>
      </c>
      <c r="H386" s="22" t="n">
        <f aca="false">F386+G386</f>
        <v>5</v>
      </c>
      <c r="I386" s="13" t="n">
        <f aca="false">INDEX(RM_Rates!$F$5:$F$137,MATCH(C386,RM_Rates!$A$5:$A$137,0))</f>
        <v>1.40752077102661</v>
      </c>
      <c r="J386" s="22" t="n">
        <f aca="false">H386*I386</f>
        <v>7.03760385513305</v>
      </c>
    </row>
    <row r="387" customFormat="false" ht="15" hidden="false" customHeight="false" outlineLevel="0" collapsed="false">
      <c r="A387" s="5" t="s">
        <v>493</v>
      </c>
      <c r="B387" s="2" t="s">
        <v>667</v>
      </c>
      <c r="C387" s="5" t="s">
        <v>189</v>
      </c>
      <c r="D387" s="5" t="s">
        <v>190</v>
      </c>
      <c r="E387" s="5" t="s">
        <v>60</v>
      </c>
      <c r="F387" s="21" t="n">
        <v>0.5</v>
      </c>
      <c r="G387" s="21" t="n">
        <v>0</v>
      </c>
      <c r="H387" s="22" t="n">
        <f aca="false">F387+G387</f>
        <v>0.5</v>
      </c>
      <c r="I387" s="13" t="n">
        <f aca="false">INDEX(RM_Rates!$F$5:$F$137,MATCH(C387,RM_Rates!$A$5:$A$137,0))</f>
        <v>0.568400025367737</v>
      </c>
      <c r="J387" s="22" t="n">
        <f aca="false">H387*I387</f>
        <v>0.284200012683869</v>
      </c>
    </row>
    <row r="388" customFormat="false" ht="15" hidden="false" customHeight="false" outlineLevel="0" collapsed="false">
      <c r="A388" s="5" t="s">
        <v>495</v>
      </c>
      <c r="B388" s="2" t="s">
        <v>668</v>
      </c>
      <c r="C388" s="5" t="s">
        <v>86</v>
      </c>
      <c r="D388" s="5" t="s">
        <v>87</v>
      </c>
      <c r="E388" s="5" t="s">
        <v>72</v>
      </c>
      <c r="F388" s="21" t="n">
        <v>526.535949707031</v>
      </c>
      <c r="G388" s="21" t="n">
        <v>0.10700000077486</v>
      </c>
      <c r="H388" s="22" t="n">
        <f aca="false">F388+G388</f>
        <v>526.642949707806</v>
      </c>
      <c r="I388" s="13" t="n">
        <f aca="false">INDEX(RM_Rates!$F$5:$F$137,MATCH(C388,RM_Rates!$A$5:$A$137,0))</f>
        <v>1.997936</v>
      </c>
      <c r="J388" s="22" t="n">
        <f aca="false">H388*I388</f>
        <v>1052.19890836741</v>
      </c>
    </row>
    <row r="389" customFormat="false" ht="15" hidden="false" customHeight="false" outlineLevel="0" collapsed="false">
      <c r="A389" s="5" t="s">
        <v>495</v>
      </c>
      <c r="B389" s="2" t="s">
        <v>668</v>
      </c>
      <c r="C389" s="5" t="s">
        <v>195</v>
      </c>
      <c r="D389" s="5" t="s">
        <v>196</v>
      </c>
      <c r="E389" s="5" t="s">
        <v>72</v>
      </c>
      <c r="F389" s="21" t="n">
        <v>111.23999786377</v>
      </c>
      <c r="G389" s="21" t="n">
        <v>0</v>
      </c>
      <c r="H389" s="22" t="n">
        <f aca="false">F389+G389</f>
        <v>111.23999786377</v>
      </c>
      <c r="I389" s="13" t="n">
        <f aca="false">INDEX(RM_Rates!$F$5:$F$137,MATCH(C389,RM_Rates!$A$5:$A$137,0))</f>
        <v>5.34994649887085</v>
      </c>
      <c r="J389" s="22" t="n">
        <f aca="false">H389*I389</f>
        <v>595.128037105677</v>
      </c>
    </row>
    <row r="390" customFormat="false" ht="15" hidden="false" customHeight="false" outlineLevel="0" collapsed="false">
      <c r="A390" s="5" t="s">
        <v>495</v>
      </c>
      <c r="B390" s="2" t="s">
        <v>668</v>
      </c>
      <c r="C390" s="5" t="s">
        <v>326</v>
      </c>
      <c r="D390" s="5" t="s">
        <v>327</v>
      </c>
      <c r="E390" s="5" t="s">
        <v>72</v>
      </c>
      <c r="F390" s="21" t="n">
        <v>195.287994384766</v>
      </c>
      <c r="G390" s="21" t="n">
        <v>0.395000010728836</v>
      </c>
      <c r="H390" s="22" t="n">
        <f aca="false">F390+G390</f>
        <v>195.682994395495</v>
      </c>
      <c r="I390" s="13" t="n">
        <f aca="false">INDEX(RM_Rates!$F$5:$F$137,MATCH(C390,RM_Rates!$A$5:$A$137,0))</f>
        <v>0.596000015735626</v>
      </c>
      <c r="J390" s="22" t="n">
        <f aca="false">H390*I390</f>
        <v>116.627067738909</v>
      </c>
    </row>
    <row r="391" customFormat="false" ht="15" hidden="false" customHeight="false" outlineLevel="0" collapsed="false">
      <c r="A391" s="5" t="s">
        <v>495</v>
      </c>
      <c r="B391" s="2" t="s">
        <v>668</v>
      </c>
      <c r="C391" s="5" t="s">
        <v>324</v>
      </c>
      <c r="D391" s="5" t="s">
        <v>325</v>
      </c>
      <c r="E391" s="5" t="s">
        <v>72</v>
      </c>
      <c r="F391" s="21" t="n">
        <v>10.7408399581909</v>
      </c>
      <c r="G391" s="21" t="n">
        <v>0.0219999998807907</v>
      </c>
      <c r="H391" s="22" t="n">
        <f aca="false">F391+G391</f>
        <v>10.7628399580717</v>
      </c>
      <c r="I391" s="13" t="n">
        <f aca="false">INDEX(RM_Rates!$F$5:$F$137,MATCH(C391,RM_Rates!$A$5:$A$137,0))</f>
        <v>1.35229277610779</v>
      </c>
      <c r="J391" s="22" t="n">
        <f aca="false">H391*I391</f>
        <v>14.5545107257046</v>
      </c>
    </row>
    <row r="392" customFormat="false" ht="15" hidden="false" customHeight="false" outlineLevel="0" collapsed="false">
      <c r="A392" s="5" t="s">
        <v>495</v>
      </c>
      <c r="B392" s="2" t="s">
        <v>668</v>
      </c>
      <c r="C392" s="5" t="s">
        <v>320</v>
      </c>
      <c r="D392" s="5" t="s">
        <v>321</v>
      </c>
      <c r="E392" s="5" t="s">
        <v>72</v>
      </c>
      <c r="F392" s="21" t="n">
        <v>2.92931985855103</v>
      </c>
      <c r="G392" s="21" t="n">
        <v>0.00600000005215406</v>
      </c>
      <c r="H392" s="22" t="n">
        <f aca="false">F392+G392</f>
        <v>2.93531985860318</v>
      </c>
      <c r="I392" s="13" t="n">
        <f aca="false">INDEX(RM_Rates!$F$5:$F$137,MATCH(C392,RM_Rates!$A$5:$A$137,0))</f>
        <v>1.6441433429718</v>
      </c>
      <c r="J392" s="22" t="n">
        <f aca="false">H392*I392</f>
        <v>4.82608660501535</v>
      </c>
    </row>
    <row r="393" customFormat="false" ht="15" hidden="false" customHeight="false" outlineLevel="0" collapsed="false">
      <c r="A393" s="5" t="s">
        <v>495</v>
      </c>
      <c r="B393" s="2" t="s">
        <v>668</v>
      </c>
      <c r="C393" s="5" t="s">
        <v>210</v>
      </c>
      <c r="D393" s="5" t="s">
        <v>211</v>
      </c>
      <c r="E393" s="5" t="s">
        <v>72</v>
      </c>
      <c r="F393" s="21" t="n">
        <v>3.01999998092651</v>
      </c>
      <c r="G393" s="21" t="n">
        <v>0</v>
      </c>
      <c r="H393" s="22" t="n">
        <f aca="false">F393+G393</f>
        <v>3.01999998092651</v>
      </c>
      <c r="I393" s="13" t="n">
        <f aca="false">INDEX(RM_Rates!$F$5:$F$137,MATCH(C393,RM_Rates!$A$5:$A$137,0))</f>
        <v>0.750177025794983</v>
      </c>
      <c r="J393" s="22" t="n">
        <f aca="false">H393*I393</f>
        <v>2.26553460359236</v>
      </c>
    </row>
    <row r="394" customFormat="false" ht="15" hidden="false" customHeight="false" outlineLevel="0" collapsed="false">
      <c r="A394" s="5" t="s">
        <v>495</v>
      </c>
      <c r="B394" s="2" t="s">
        <v>668</v>
      </c>
      <c r="C394" s="5" t="s">
        <v>62</v>
      </c>
      <c r="D394" s="5" t="s">
        <v>63</v>
      </c>
      <c r="E394" s="5" t="s">
        <v>60</v>
      </c>
      <c r="F394" s="21" t="n">
        <v>5.38000011444092</v>
      </c>
      <c r="G394" s="21" t="n">
        <v>0.0540000014007092</v>
      </c>
      <c r="H394" s="22" t="n">
        <f aca="false">F394+G394</f>
        <v>5.43400011584163</v>
      </c>
      <c r="I394" s="13" t="n">
        <f aca="false">INDEX(RM_Rates!$F$5:$F$137,MATCH(C394,RM_Rates!$A$5:$A$137,0))</f>
        <v>1.83595955371857</v>
      </c>
      <c r="J394" s="22" t="n">
        <f aca="false">H394*I394</f>
        <v>9.97660442758726</v>
      </c>
    </row>
    <row r="395" customFormat="false" ht="15" hidden="false" customHeight="false" outlineLevel="0" collapsed="false">
      <c r="A395" s="5" t="s">
        <v>495</v>
      </c>
      <c r="B395" s="2" t="s">
        <v>668</v>
      </c>
      <c r="C395" s="5" t="s">
        <v>70</v>
      </c>
      <c r="D395" s="5" t="s">
        <v>71</v>
      </c>
      <c r="E395" s="5" t="s">
        <v>72</v>
      </c>
      <c r="F395" s="21" t="n">
        <v>4.5</v>
      </c>
      <c r="G395" s="21" t="n">
        <v>0</v>
      </c>
      <c r="H395" s="22" t="n">
        <f aca="false">F395+G395</f>
        <v>4.5</v>
      </c>
      <c r="I395" s="13" t="n">
        <f aca="false">INDEX(RM_Rates!$F$5:$F$137,MATCH(C395,RM_Rates!$A$5:$A$137,0))</f>
        <v>2.86922955513001</v>
      </c>
      <c r="J395" s="22" t="n">
        <f aca="false">H395*I395</f>
        <v>12.911532998085</v>
      </c>
    </row>
    <row r="396" customFormat="false" ht="15" hidden="false" customHeight="false" outlineLevel="0" collapsed="false">
      <c r="A396" s="5" t="s">
        <v>495</v>
      </c>
      <c r="B396" s="2" t="s">
        <v>668</v>
      </c>
      <c r="C396" s="5" t="s">
        <v>202</v>
      </c>
      <c r="D396" s="5" t="s">
        <v>203</v>
      </c>
      <c r="E396" s="5" t="s">
        <v>72</v>
      </c>
      <c r="F396" s="21" t="n">
        <v>2.55999994277954</v>
      </c>
      <c r="G396" s="21" t="n">
        <v>0</v>
      </c>
      <c r="H396" s="22" t="n">
        <f aca="false">F396+G396</f>
        <v>2.55999994277954</v>
      </c>
      <c r="I396" s="13" t="n">
        <f aca="false">INDEX(RM_Rates!$F$5:$F$137,MATCH(C396,RM_Rates!$A$5:$A$137,0))</f>
        <v>0.750177025794983</v>
      </c>
      <c r="J396" s="22" t="n">
        <f aca="false">H396*I396</f>
        <v>1.92045314310968</v>
      </c>
    </row>
    <row r="397" customFormat="false" ht="15" hidden="false" customHeight="false" outlineLevel="0" collapsed="false">
      <c r="A397" s="5" t="s">
        <v>495</v>
      </c>
      <c r="B397" s="2" t="s">
        <v>668</v>
      </c>
      <c r="C397" s="5" t="s">
        <v>193</v>
      </c>
      <c r="D397" s="5" t="s">
        <v>194</v>
      </c>
      <c r="E397" s="5" t="s">
        <v>72</v>
      </c>
      <c r="F397" s="21" t="n">
        <v>373.400024414063</v>
      </c>
      <c r="G397" s="21" t="n">
        <v>7.46799993515015</v>
      </c>
      <c r="H397" s="22" t="n">
        <f aca="false">F397+G397</f>
        <v>380.868024349213</v>
      </c>
      <c r="I397" s="13" t="n">
        <f aca="false">INDEX(RM_Rates!$F$5:$F$137,MATCH(C397,RM_Rates!$A$5:$A$137,0))</f>
        <v>0.769918501377106</v>
      </c>
      <c r="J397" s="22" t="n">
        <f aca="false">H397*I397</f>
        <v>293.237338529405</v>
      </c>
    </row>
    <row r="398" customFormat="false" ht="15" hidden="false" customHeight="false" outlineLevel="0" collapsed="false">
      <c r="A398" s="5" t="s">
        <v>495</v>
      </c>
      <c r="B398" s="2" t="s">
        <v>668</v>
      </c>
      <c r="C398" s="5" t="s">
        <v>191</v>
      </c>
      <c r="D398" s="5" t="s">
        <v>192</v>
      </c>
      <c r="E398" s="5" t="s">
        <v>72</v>
      </c>
      <c r="F398" s="21" t="n">
        <v>5.97440004348755</v>
      </c>
      <c r="G398" s="21" t="n">
        <v>0.120000004768372</v>
      </c>
      <c r="H398" s="22" t="n">
        <f aca="false">F398+G398</f>
        <v>6.09440004825592</v>
      </c>
      <c r="I398" s="13" t="n">
        <f aca="false">INDEX(RM_Rates!$F$5:$F$137,MATCH(C398,RM_Rates!$A$5:$A$137,0))</f>
        <v>2.39035940170288</v>
      </c>
      <c r="J398" s="22" t="n">
        <f aca="false">H398*I398</f>
        <v>14.567806453087</v>
      </c>
    </row>
    <row r="399" customFormat="false" ht="15" hidden="false" customHeight="false" outlineLevel="0" collapsed="false">
      <c r="A399" s="5" t="s">
        <v>495</v>
      </c>
      <c r="B399" s="2" t="s">
        <v>668</v>
      </c>
      <c r="C399" s="5" t="s">
        <v>271</v>
      </c>
      <c r="D399" s="5" t="s">
        <v>272</v>
      </c>
      <c r="E399" s="5" t="s">
        <v>72</v>
      </c>
      <c r="F399" s="21" t="n">
        <v>810.900024414063</v>
      </c>
      <c r="G399" s="21" t="n">
        <v>8.10900020599365</v>
      </c>
      <c r="H399" s="22" t="n">
        <f aca="false">F399+G399</f>
        <v>819.009024620057</v>
      </c>
      <c r="I399" s="13" t="n">
        <f aca="false">INDEX(RM_Rates!$F$5:$F$137,MATCH(C399,RM_Rates!$A$5:$A$137,0))</f>
        <v>0.388907551765442</v>
      </c>
      <c r="J399" s="22" t="n">
        <f aca="false">H399*I399</f>
        <v>318.518794638789</v>
      </c>
    </row>
    <row r="400" customFormat="false" ht="15" hidden="false" customHeight="false" outlineLevel="0" collapsed="false">
      <c r="A400" s="5" t="s">
        <v>495</v>
      </c>
      <c r="B400" s="2" t="s">
        <v>668</v>
      </c>
      <c r="C400" s="5" t="s">
        <v>285</v>
      </c>
      <c r="D400" s="5" t="s">
        <v>286</v>
      </c>
      <c r="E400" s="5" t="s">
        <v>166</v>
      </c>
      <c r="F400" s="21" t="n">
        <v>2</v>
      </c>
      <c r="G400" s="21" t="n">
        <v>0</v>
      </c>
      <c r="H400" s="22" t="n">
        <f aca="false">F400+G400</f>
        <v>2</v>
      </c>
      <c r="I400" s="13" t="n">
        <f aca="false">INDEX(RM_Rates!$F$5:$F$137,MATCH(C400,RM_Rates!$A$5:$A$137,0))</f>
        <v>40.09814453125</v>
      </c>
      <c r="J400" s="22" t="n">
        <f aca="false">H400*I400</f>
        <v>80.1962890625</v>
      </c>
    </row>
    <row r="401" customFormat="false" ht="15" hidden="false" customHeight="false" outlineLevel="0" collapsed="false">
      <c r="A401" s="5" t="s">
        <v>495</v>
      </c>
      <c r="B401" s="2" t="s">
        <v>668</v>
      </c>
      <c r="C401" s="5" t="s">
        <v>171</v>
      </c>
      <c r="D401" s="5" t="s">
        <v>172</v>
      </c>
      <c r="E401" s="5" t="s">
        <v>166</v>
      </c>
      <c r="F401" s="21" t="n">
        <v>4</v>
      </c>
      <c r="G401" s="21" t="n">
        <v>0</v>
      </c>
      <c r="H401" s="22" t="n">
        <f aca="false">F401+G401</f>
        <v>4</v>
      </c>
      <c r="I401" s="13" t="n">
        <f aca="false">INDEX(RM_Rates!$F$5:$F$137,MATCH(C401,RM_Rates!$A$5:$A$137,0))</f>
        <v>0.124766282737255</v>
      </c>
      <c r="J401" s="22" t="n">
        <f aca="false">H401*I401</f>
        <v>0.49906513094902</v>
      </c>
    </row>
    <row r="402" customFormat="false" ht="15" hidden="false" customHeight="false" outlineLevel="0" collapsed="false">
      <c r="A402" s="5" t="s">
        <v>495</v>
      </c>
      <c r="B402" s="2" t="s">
        <v>668</v>
      </c>
      <c r="C402" s="5" t="s">
        <v>308</v>
      </c>
      <c r="D402" s="5" t="s">
        <v>309</v>
      </c>
      <c r="E402" s="5" t="s">
        <v>297</v>
      </c>
      <c r="F402" s="21" t="n">
        <v>8.80000019073486</v>
      </c>
      <c r="G402" s="21" t="n">
        <v>0</v>
      </c>
      <c r="H402" s="22" t="n">
        <f aca="false">F402+G402</f>
        <v>8.80000019073486</v>
      </c>
      <c r="I402" s="13" t="n">
        <f aca="false">INDEX(RM_Rates!$F$5:$F$137,MATCH(C402,RM_Rates!$A$5:$A$137,0))</f>
        <v>1.40752077102661</v>
      </c>
      <c r="J402" s="22" t="n">
        <f aca="false">H402*I402</f>
        <v>12.3861830534974</v>
      </c>
    </row>
    <row r="403" customFormat="false" ht="15" hidden="false" customHeight="false" outlineLevel="0" collapsed="false">
      <c r="A403" s="5" t="s">
        <v>495</v>
      </c>
      <c r="B403" s="2" t="s">
        <v>668</v>
      </c>
      <c r="C403" s="5" t="s">
        <v>189</v>
      </c>
      <c r="D403" s="5" t="s">
        <v>190</v>
      </c>
      <c r="E403" s="5" t="s">
        <v>60</v>
      </c>
      <c r="F403" s="21" t="n">
        <v>0.879999995231628</v>
      </c>
      <c r="G403" s="21" t="n">
        <v>0</v>
      </c>
      <c r="H403" s="22" t="n">
        <f aca="false">F403+G403</f>
        <v>0.879999995231628</v>
      </c>
      <c r="I403" s="13" t="n">
        <f aca="false">INDEX(RM_Rates!$F$5:$F$137,MATCH(C403,RM_Rates!$A$5:$A$137,0))</f>
        <v>0.568400025367737</v>
      </c>
      <c r="J403" s="22" t="n">
        <f aca="false">H403*I403</f>
        <v>0.500192019613266</v>
      </c>
    </row>
    <row r="404" customFormat="false" ht="15" hidden="false" customHeight="false" outlineLevel="0" collapsed="false">
      <c r="A404" s="5" t="s">
        <v>497</v>
      </c>
      <c r="B404" s="2" t="s">
        <v>669</v>
      </c>
      <c r="C404" s="5" t="s">
        <v>84</v>
      </c>
      <c r="D404" s="5" t="s">
        <v>85</v>
      </c>
      <c r="E404" s="5" t="s">
        <v>72</v>
      </c>
      <c r="F404" s="21" t="n">
        <v>321.359985351563</v>
      </c>
      <c r="G404" s="21" t="n">
        <v>0.0649999976158142</v>
      </c>
      <c r="H404" s="22" t="n">
        <f aca="false">F404+G404</f>
        <v>321.424985349179</v>
      </c>
      <c r="I404" s="13" t="n">
        <f aca="false">INDEX(RM_Rates!$F$5:$F$137,MATCH(C404,RM_Rates!$A$5:$A$137,0))</f>
        <v>1.990602</v>
      </c>
      <c r="J404" s="22" t="n">
        <f aca="false">H404*I404</f>
        <v>639.829218686046</v>
      </c>
    </row>
    <row r="405" customFormat="false" ht="15" hidden="false" customHeight="false" outlineLevel="0" collapsed="false">
      <c r="A405" s="5" t="s">
        <v>497</v>
      </c>
      <c r="B405" s="2" t="s">
        <v>669</v>
      </c>
      <c r="C405" s="5" t="s">
        <v>195</v>
      </c>
      <c r="D405" s="5" t="s">
        <v>196</v>
      </c>
      <c r="E405" s="5" t="s">
        <v>72</v>
      </c>
      <c r="F405" s="21" t="n">
        <v>95.4191970825195</v>
      </c>
      <c r="G405" s="21" t="n">
        <v>0</v>
      </c>
      <c r="H405" s="22" t="n">
        <f aca="false">F405+G405</f>
        <v>95.4191970825195</v>
      </c>
      <c r="I405" s="13" t="n">
        <f aca="false">INDEX(RM_Rates!$F$5:$F$137,MATCH(C405,RM_Rates!$A$5:$A$137,0))</f>
        <v>5.34994649887085</v>
      </c>
      <c r="J405" s="22" t="n">
        <f aca="false">H405*I405</f>
        <v>510.487599356693</v>
      </c>
    </row>
    <row r="406" customFormat="false" ht="15" hidden="false" customHeight="false" outlineLevel="0" collapsed="false">
      <c r="A406" s="5" t="s">
        <v>497</v>
      </c>
      <c r="B406" s="2" t="s">
        <v>669</v>
      </c>
      <c r="C406" s="5" t="s">
        <v>326</v>
      </c>
      <c r="D406" s="5" t="s">
        <v>327</v>
      </c>
      <c r="E406" s="5" t="s">
        <v>72</v>
      </c>
      <c r="F406" s="21" t="n">
        <v>173.039993286133</v>
      </c>
      <c r="G406" s="21" t="n">
        <v>0.349999994039536</v>
      </c>
      <c r="H406" s="22" t="n">
        <f aca="false">F406+G406</f>
        <v>173.389993280173</v>
      </c>
      <c r="I406" s="13" t="n">
        <f aca="false">INDEX(RM_Rates!$F$5:$F$137,MATCH(C406,RM_Rates!$A$5:$A$137,0))</f>
        <v>0.596000015735626</v>
      </c>
      <c r="J406" s="22" t="n">
        <f aca="false">H406*I406</f>
        <v>103.340438723383</v>
      </c>
    </row>
    <row r="407" customFormat="false" ht="15" hidden="false" customHeight="false" outlineLevel="0" collapsed="false">
      <c r="A407" s="5" t="s">
        <v>497</v>
      </c>
      <c r="B407" s="2" t="s">
        <v>669</v>
      </c>
      <c r="C407" s="5" t="s">
        <v>324</v>
      </c>
      <c r="D407" s="5" t="s">
        <v>325</v>
      </c>
      <c r="E407" s="5" t="s">
        <v>72</v>
      </c>
      <c r="F407" s="21" t="n">
        <v>9.51719951629639</v>
      </c>
      <c r="G407" s="21" t="n">
        <v>0.0189999993890524</v>
      </c>
      <c r="H407" s="22" t="n">
        <f aca="false">F407+G407</f>
        <v>9.53619951568544</v>
      </c>
      <c r="I407" s="13" t="n">
        <f aca="false">INDEX(RM_Rates!$F$5:$F$137,MATCH(C407,RM_Rates!$A$5:$A$137,0))</f>
        <v>1.35229277610779</v>
      </c>
      <c r="J407" s="22" t="n">
        <f aca="false">H407*I407</f>
        <v>12.895733716584</v>
      </c>
    </row>
    <row r="408" customFormat="false" ht="15" hidden="false" customHeight="false" outlineLevel="0" collapsed="false">
      <c r="A408" s="5" t="s">
        <v>497</v>
      </c>
      <c r="B408" s="2" t="s">
        <v>669</v>
      </c>
      <c r="C408" s="5" t="s">
        <v>320</v>
      </c>
      <c r="D408" s="5" t="s">
        <v>321</v>
      </c>
      <c r="E408" s="5" t="s">
        <v>72</v>
      </c>
      <c r="F408" s="21" t="n">
        <v>2.59559988975525</v>
      </c>
      <c r="G408" s="21" t="n">
        <v>0.00499999988824129</v>
      </c>
      <c r="H408" s="22" t="n">
        <f aca="false">F408+G408</f>
        <v>2.60059988964349</v>
      </c>
      <c r="I408" s="13" t="n">
        <f aca="false">INDEX(RM_Rates!$F$5:$F$137,MATCH(C408,RM_Rates!$A$5:$A$137,0))</f>
        <v>1.6441433429718</v>
      </c>
      <c r="J408" s="22" t="n">
        <f aca="false">H408*I408</f>
        <v>4.27575899629054</v>
      </c>
    </row>
    <row r="409" customFormat="false" ht="15" hidden="false" customHeight="false" outlineLevel="0" collapsed="false">
      <c r="A409" s="5" t="s">
        <v>497</v>
      </c>
      <c r="B409" s="2" t="s">
        <v>669</v>
      </c>
      <c r="C409" s="5" t="s">
        <v>210</v>
      </c>
      <c r="D409" s="5" t="s">
        <v>211</v>
      </c>
      <c r="E409" s="5" t="s">
        <v>72</v>
      </c>
      <c r="F409" s="21" t="n">
        <v>2.73000001907349</v>
      </c>
      <c r="G409" s="21" t="n">
        <v>0</v>
      </c>
      <c r="H409" s="22" t="n">
        <f aca="false">F409+G409</f>
        <v>2.73000001907349</v>
      </c>
      <c r="I409" s="13" t="n">
        <f aca="false">INDEX(RM_Rates!$F$5:$F$137,MATCH(C409,RM_Rates!$A$5:$A$137,0))</f>
        <v>0.750177025794983</v>
      </c>
      <c r="J409" s="22" t="n">
        <f aca="false">H409*I409</f>
        <v>2.0479832947288</v>
      </c>
    </row>
    <row r="410" customFormat="false" ht="15" hidden="false" customHeight="false" outlineLevel="0" collapsed="false">
      <c r="A410" s="5" t="s">
        <v>497</v>
      </c>
      <c r="B410" s="2" t="s">
        <v>669</v>
      </c>
      <c r="C410" s="5" t="s">
        <v>62</v>
      </c>
      <c r="D410" s="5" t="s">
        <v>63</v>
      </c>
      <c r="E410" s="5" t="s">
        <v>60</v>
      </c>
      <c r="F410" s="21" t="n">
        <v>4.86999988555908</v>
      </c>
      <c r="G410" s="21" t="n">
        <v>0.0489999987185001</v>
      </c>
      <c r="H410" s="22" t="n">
        <f aca="false">F410+G410</f>
        <v>4.91899988427758</v>
      </c>
      <c r="I410" s="13" t="n">
        <f aca="false">INDEX(RM_Rates!$F$5:$F$137,MATCH(C410,RM_Rates!$A$5:$A$137,0))</f>
        <v>1.83595955371857</v>
      </c>
      <c r="J410" s="22" t="n">
        <f aca="false">H410*I410</f>
        <v>9.03108483227996</v>
      </c>
    </row>
    <row r="411" customFormat="false" ht="15" hidden="false" customHeight="false" outlineLevel="0" collapsed="false">
      <c r="A411" s="5" t="s">
        <v>497</v>
      </c>
      <c r="B411" s="2" t="s">
        <v>669</v>
      </c>
      <c r="C411" s="5" t="s">
        <v>70</v>
      </c>
      <c r="D411" s="5" t="s">
        <v>71</v>
      </c>
      <c r="E411" s="5" t="s">
        <v>72</v>
      </c>
      <c r="F411" s="21" t="n">
        <v>4.5</v>
      </c>
      <c r="G411" s="21" t="n">
        <v>0</v>
      </c>
      <c r="H411" s="22" t="n">
        <f aca="false">F411+G411</f>
        <v>4.5</v>
      </c>
      <c r="I411" s="13" t="n">
        <f aca="false">INDEX(RM_Rates!$F$5:$F$137,MATCH(C411,RM_Rates!$A$5:$A$137,0))</f>
        <v>2.86922955513001</v>
      </c>
      <c r="J411" s="22" t="n">
        <f aca="false">H411*I411</f>
        <v>12.911532998085</v>
      </c>
    </row>
    <row r="412" customFormat="false" ht="15" hidden="false" customHeight="false" outlineLevel="0" collapsed="false">
      <c r="A412" s="5" t="s">
        <v>497</v>
      </c>
      <c r="B412" s="2" t="s">
        <v>669</v>
      </c>
      <c r="C412" s="5" t="s">
        <v>202</v>
      </c>
      <c r="D412" s="5" t="s">
        <v>203</v>
      </c>
      <c r="E412" s="5" t="s">
        <v>72</v>
      </c>
      <c r="F412" s="21" t="n">
        <v>2.3199999332428</v>
      </c>
      <c r="G412" s="21" t="n">
        <v>0</v>
      </c>
      <c r="H412" s="22" t="n">
        <f aca="false">F412+G412</f>
        <v>2.3199999332428</v>
      </c>
      <c r="I412" s="13" t="n">
        <f aca="false">INDEX(RM_Rates!$F$5:$F$137,MATCH(C412,RM_Rates!$A$5:$A$137,0))</f>
        <v>0.750177025794983</v>
      </c>
      <c r="J412" s="22" t="n">
        <f aca="false">H412*I412</f>
        <v>1.74041064976464</v>
      </c>
    </row>
    <row r="413" customFormat="false" ht="15" hidden="false" customHeight="false" outlineLevel="0" collapsed="false">
      <c r="A413" s="5" t="s">
        <v>497</v>
      </c>
      <c r="B413" s="2" t="s">
        <v>669</v>
      </c>
      <c r="C413" s="5" t="s">
        <v>193</v>
      </c>
      <c r="D413" s="5" t="s">
        <v>194</v>
      </c>
      <c r="E413" s="5" t="s">
        <v>72</v>
      </c>
      <c r="F413" s="21" t="n">
        <v>328.700012207031</v>
      </c>
      <c r="G413" s="21" t="n">
        <v>6.57399988174439</v>
      </c>
      <c r="H413" s="22" t="n">
        <f aca="false">F413+G413</f>
        <v>335.274012088775</v>
      </c>
      <c r="I413" s="13" t="n">
        <f aca="false">INDEX(RM_Rates!$F$5:$F$137,MATCH(C413,RM_Rates!$A$5:$A$137,0))</f>
        <v>0.769918501377106</v>
      </c>
      <c r="J413" s="22" t="n">
        <f aca="false">H413*I413</f>
        <v>258.13366493808</v>
      </c>
    </row>
    <row r="414" customFormat="false" ht="15" hidden="false" customHeight="false" outlineLevel="0" collapsed="false">
      <c r="A414" s="5" t="s">
        <v>497</v>
      </c>
      <c r="B414" s="2" t="s">
        <v>669</v>
      </c>
      <c r="C414" s="5" t="s">
        <v>191</v>
      </c>
      <c r="D414" s="5" t="s">
        <v>192</v>
      </c>
      <c r="E414" s="5" t="s">
        <v>72</v>
      </c>
      <c r="F414" s="21" t="n">
        <v>5.25920009613037</v>
      </c>
      <c r="G414" s="21" t="n">
        <v>0.105000004172325</v>
      </c>
      <c r="H414" s="22" t="n">
        <f aca="false">F414+G414</f>
        <v>5.3642001003027</v>
      </c>
      <c r="I414" s="13" t="n">
        <f aca="false">INDEX(RM_Rates!$F$5:$F$137,MATCH(C414,RM_Rates!$A$5:$A$137,0))</f>
        <v>2.39035940170288</v>
      </c>
      <c r="J414" s="22" t="n">
        <f aca="false">H414*I414</f>
        <v>12.8223661423741</v>
      </c>
    </row>
    <row r="415" customFormat="false" ht="15" hidden="false" customHeight="false" outlineLevel="0" collapsed="false">
      <c r="A415" s="5" t="s">
        <v>497</v>
      </c>
      <c r="B415" s="2" t="s">
        <v>669</v>
      </c>
      <c r="C415" s="5" t="s">
        <v>271</v>
      </c>
      <c r="D415" s="5" t="s">
        <v>272</v>
      </c>
      <c r="E415" s="5" t="s">
        <v>72</v>
      </c>
      <c r="F415" s="21" t="n">
        <v>731.400024414063</v>
      </c>
      <c r="G415" s="21" t="n">
        <v>7.31400012969971</v>
      </c>
      <c r="H415" s="22" t="n">
        <f aca="false">F415+G415</f>
        <v>738.714024543763</v>
      </c>
      <c r="I415" s="13" t="n">
        <f aca="false">INDEX(RM_Rates!$F$5:$F$137,MATCH(C415,RM_Rates!$A$5:$A$137,0))</f>
        <v>0.388907551765442</v>
      </c>
      <c r="J415" s="22" t="n">
        <f aca="false">H415*I415</f>
        <v>287.291462740111</v>
      </c>
    </row>
    <row r="416" customFormat="false" ht="15" hidden="false" customHeight="false" outlineLevel="0" collapsed="false">
      <c r="A416" s="5" t="s">
        <v>497</v>
      </c>
      <c r="B416" s="2" t="s">
        <v>669</v>
      </c>
      <c r="C416" s="5" t="s">
        <v>283</v>
      </c>
      <c r="D416" s="5" t="s">
        <v>284</v>
      </c>
      <c r="E416" s="5" t="s">
        <v>166</v>
      </c>
      <c r="F416" s="21" t="n">
        <v>2</v>
      </c>
      <c r="G416" s="21" t="n">
        <v>0</v>
      </c>
      <c r="H416" s="22" t="n">
        <f aca="false">F416+G416</f>
        <v>2</v>
      </c>
      <c r="I416" s="13" t="n">
        <f aca="false">INDEX(RM_Rates!$F$5:$F$137,MATCH(C416,RM_Rates!$A$5:$A$137,0))</f>
        <v>31.1947288513184</v>
      </c>
      <c r="J416" s="22" t="n">
        <f aca="false">H416*I416</f>
        <v>62.3894577026368</v>
      </c>
    </row>
    <row r="417" customFormat="false" ht="15" hidden="false" customHeight="false" outlineLevel="0" collapsed="false">
      <c r="A417" s="5" t="s">
        <v>497</v>
      </c>
      <c r="B417" s="2" t="s">
        <v>669</v>
      </c>
      <c r="C417" s="5" t="s">
        <v>171</v>
      </c>
      <c r="D417" s="5" t="s">
        <v>172</v>
      </c>
      <c r="E417" s="5" t="s">
        <v>166</v>
      </c>
      <c r="F417" s="21" t="n">
        <v>4</v>
      </c>
      <c r="G417" s="21" t="n">
        <v>0</v>
      </c>
      <c r="H417" s="22" t="n">
        <f aca="false">F417+G417</f>
        <v>4</v>
      </c>
      <c r="I417" s="13" t="n">
        <f aca="false">INDEX(RM_Rates!$F$5:$F$137,MATCH(C417,RM_Rates!$A$5:$A$137,0))</f>
        <v>0.124766282737255</v>
      </c>
      <c r="J417" s="22" t="n">
        <f aca="false">H417*I417</f>
        <v>0.49906513094902</v>
      </c>
    </row>
    <row r="418" customFormat="false" ht="15" hidden="false" customHeight="false" outlineLevel="0" collapsed="false">
      <c r="A418" s="5" t="s">
        <v>497</v>
      </c>
      <c r="B418" s="2" t="s">
        <v>669</v>
      </c>
      <c r="C418" s="5" t="s">
        <v>308</v>
      </c>
      <c r="D418" s="5" t="s">
        <v>309</v>
      </c>
      <c r="E418" s="5" t="s">
        <v>297</v>
      </c>
      <c r="F418" s="21" t="n">
        <v>7.59999990463257</v>
      </c>
      <c r="G418" s="21" t="n">
        <v>0</v>
      </c>
      <c r="H418" s="22" t="n">
        <f aca="false">F418+G418</f>
        <v>7.59999990463257</v>
      </c>
      <c r="I418" s="13" t="n">
        <f aca="false">INDEX(RM_Rates!$F$5:$F$137,MATCH(C418,RM_Rates!$A$5:$A$137,0))</f>
        <v>1.40752077102661</v>
      </c>
      <c r="J418" s="22" t="n">
        <f aca="false">H418*I418</f>
        <v>10.6971577255706</v>
      </c>
    </row>
    <row r="419" customFormat="false" ht="15" hidden="false" customHeight="false" outlineLevel="0" collapsed="false">
      <c r="A419" s="5" t="s">
        <v>497</v>
      </c>
      <c r="B419" s="2" t="s">
        <v>669</v>
      </c>
      <c r="C419" s="5" t="s">
        <v>189</v>
      </c>
      <c r="D419" s="5" t="s">
        <v>190</v>
      </c>
      <c r="E419" s="5" t="s">
        <v>60</v>
      </c>
      <c r="F419" s="21" t="n">
        <v>0.759999990463257</v>
      </c>
      <c r="G419" s="21" t="n">
        <v>0</v>
      </c>
      <c r="H419" s="22" t="n">
        <f aca="false">F419+G419</f>
        <v>0.759999990463257</v>
      </c>
      <c r="I419" s="13" t="n">
        <f aca="false">INDEX(RM_Rates!$F$5:$F$137,MATCH(C419,RM_Rates!$A$5:$A$137,0))</f>
        <v>0.568400025367737</v>
      </c>
      <c r="J419" s="22" t="n">
        <f aca="false">H419*I419</f>
        <v>0.431984013858795</v>
      </c>
    </row>
    <row r="420" customFormat="false" ht="15" hidden="false" customHeight="false" outlineLevel="0" collapsed="false">
      <c r="A420" s="5" t="s">
        <v>499</v>
      </c>
      <c r="B420" s="2" t="s">
        <v>670</v>
      </c>
      <c r="C420" s="5" t="s">
        <v>86</v>
      </c>
      <c r="D420" s="5" t="s">
        <v>87</v>
      </c>
      <c r="E420" s="5" t="s">
        <v>72</v>
      </c>
      <c r="F420" s="21" t="n">
        <v>21.5129985809326</v>
      </c>
      <c r="G420" s="21" t="n">
        <v>0.10700000077486</v>
      </c>
      <c r="H420" s="22" t="n">
        <f aca="false">F420+G420</f>
        <v>21.6199985817075</v>
      </c>
      <c r="I420" s="13" t="n">
        <f aca="false">INDEX(RM_Rates!$F$5:$F$137,MATCH(C420,RM_Rates!$A$5:$A$137,0))</f>
        <v>1.997936</v>
      </c>
      <c r="J420" s="22" t="n">
        <f aca="false">H420*I420</f>
        <v>43.1953734863423</v>
      </c>
    </row>
    <row r="421" customFormat="false" ht="15" hidden="false" customHeight="false" outlineLevel="0" collapsed="false">
      <c r="A421" s="5" t="s">
        <v>499</v>
      </c>
      <c r="B421" s="2" t="s">
        <v>670</v>
      </c>
      <c r="C421" s="5" t="s">
        <v>326</v>
      </c>
      <c r="D421" s="5" t="s">
        <v>327</v>
      </c>
      <c r="E421" s="5" t="s">
        <v>72</v>
      </c>
      <c r="F421" s="21" t="n">
        <v>6.16099977493286</v>
      </c>
      <c r="G421" s="21" t="n">
        <v>0.305000007152557</v>
      </c>
      <c r="H421" s="22" t="n">
        <f aca="false">F421+G421</f>
        <v>6.46599978208542</v>
      </c>
      <c r="I421" s="13" t="n">
        <f aca="false">INDEX(RM_Rates!$F$5:$F$137,MATCH(C421,RM_Rates!$A$5:$A$137,0))</f>
        <v>0.596000015735626</v>
      </c>
      <c r="J421" s="22" t="n">
        <f aca="false">H421*I421</f>
        <v>3.85373597186946</v>
      </c>
    </row>
    <row r="422" customFormat="false" ht="15" hidden="false" customHeight="false" outlineLevel="0" collapsed="false">
      <c r="A422" s="5" t="s">
        <v>499</v>
      </c>
      <c r="B422" s="2" t="s">
        <v>670</v>
      </c>
      <c r="C422" s="5" t="s">
        <v>324</v>
      </c>
      <c r="D422" s="5" t="s">
        <v>325</v>
      </c>
      <c r="E422" s="5" t="s">
        <v>72</v>
      </c>
      <c r="F422" s="21" t="n">
        <v>0.338854998350143</v>
      </c>
      <c r="G422" s="21" t="n">
        <v>0.017000000923872</v>
      </c>
      <c r="H422" s="22" t="n">
        <f aca="false">F422+G422</f>
        <v>0.355854999274015</v>
      </c>
      <c r="I422" s="13" t="n">
        <f aca="false">INDEX(RM_Rates!$F$5:$F$137,MATCH(C422,RM_Rates!$A$5:$A$137,0))</f>
        <v>1.35229277610779</v>
      </c>
      <c r="J422" s="22" t="n">
        <f aca="false">H422*I422</f>
        <v>0.481220144860093</v>
      </c>
    </row>
    <row r="423" customFormat="false" ht="15" hidden="false" customHeight="false" outlineLevel="0" collapsed="false">
      <c r="A423" s="5" t="s">
        <v>499</v>
      </c>
      <c r="B423" s="2" t="s">
        <v>670</v>
      </c>
      <c r="C423" s="5" t="s">
        <v>320</v>
      </c>
      <c r="D423" s="5" t="s">
        <v>321</v>
      </c>
      <c r="E423" s="5" t="s">
        <v>72</v>
      </c>
      <c r="F423" s="21" t="n">
        <v>0.0924149975180626</v>
      </c>
      <c r="G423" s="21" t="n">
        <v>0.00499999988824129</v>
      </c>
      <c r="H423" s="22" t="n">
        <f aca="false">F423+G423</f>
        <v>0.0974149974063039</v>
      </c>
      <c r="I423" s="13" t="n">
        <f aca="false">INDEX(RM_Rates!$F$5:$F$137,MATCH(C423,RM_Rates!$A$5:$A$137,0))</f>
        <v>1.6441433429718</v>
      </c>
      <c r="J423" s="22" t="n">
        <f aca="false">H423*I423</f>
        <v>0.16016421949119</v>
      </c>
    </row>
    <row r="424" customFormat="false" ht="15" hidden="false" customHeight="false" outlineLevel="0" collapsed="false">
      <c r="A424" s="5" t="s">
        <v>499</v>
      </c>
      <c r="B424" s="2" t="s">
        <v>670</v>
      </c>
      <c r="C424" s="5" t="s">
        <v>210</v>
      </c>
      <c r="D424" s="5" t="s">
        <v>211</v>
      </c>
      <c r="E424" s="5" t="s">
        <v>72</v>
      </c>
      <c r="F424" s="21" t="n">
        <v>1.19000005722046</v>
      </c>
      <c r="G424" s="21" t="n">
        <v>0</v>
      </c>
      <c r="H424" s="22" t="n">
        <f aca="false">F424+G424</f>
        <v>1.19000005722046</v>
      </c>
      <c r="I424" s="13" t="n">
        <f aca="false">INDEX(RM_Rates!$F$5:$F$137,MATCH(C424,RM_Rates!$A$5:$A$137,0))</f>
        <v>0.750177025794983</v>
      </c>
      <c r="J424" s="22" t="n">
        <f aca="false">H424*I424</f>
        <v>0.892710703621504</v>
      </c>
    </row>
    <row r="425" customFormat="false" ht="15" hidden="false" customHeight="false" outlineLevel="0" collapsed="false">
      <c r="A425" s="5" t="s">
        <v>499</v>
      </c>
      <c r="B425" s="2" t="s">
        <v>670</v>
      </c>
      <c r="C425" s="5" t="s">
        <v>62</v>
      </c>
      <c r="D425" s="5" t="s">
        <v>63</v>
      </c>
      <c r="E425" s="5" t="s">
        <v>60</v>
      </c>
      <c r="F425" s="21" t="n">
        <v>1.5</v>
      </c>
      <c r="G425" s="21" t="n">
        <v>0.0149999996647239</v>
      </c>
      <c r="H425" s="22" t="n">
        <f aca="false">F425+G425</f>
        <v>1.51499999966472</v>
      </c>
      <c r="I425" s="13" t="n">
        <f aca="false">INDEX(RM_Rates!$F$5:$F$137,MATCH(C425,RM_Rates!$A$5:$A$137,0))</f>
        <v>1.83595955371857</v>
      </c>
      <c r="J425" s="22" t="n">
        <f aca="false">H425*I425</f>
        <v>2.78147872326808</v>
      </c>
    </row>
    <row r="426" customFormat="false" ht="15" hidden="false" customHeight="false" outlineLevel="0" collapsed="false">
      <c r="A426" s="5" t="s">
        <v>499</v>
      </c>
      <c r="B426" s="2" t="s">
        <v>670</v>
      </c>
      <c r="C426" s="5" t="s">
        <v>70</v>
      </c>
      <c r="D426" s="5" t="s">
        <v>71</v>
      </c>
      <c r="E426" s="5" t="s">
        <v>72</v>
      </c>
      <c r="F426" s="21" t="n">
        <v>4.5</v>
      </c>
      <c r="G426" s="21" t="n">
        <v>0</v>
      </c>
      <c r="H426" s="22" t="n">
        <f aca="false">F426+G426</f>
        <v>4.5</v>
      </c>
      <c r="I426" s="13" t="n">
        <f aca="false">INDEX(RM_Rates!$F$5:$F$137,MATCH(C426,RM_Rates!$A$5:$A$137,0))</f>
        <v>2.86922955513001</v>
      </c>
      <c r="J426" s="22" t="n">
        <f aca="false">H426*I426</f>
        <v>12.911532998085</v>
      </c>
    </row>
    <row r="427" customFormat="false" ht="15" hidden="false" customHeight="false" outlineLevel="0" collapsed="false">
      <c r="A427" s="5" t="s">
        <v>499</v>
      </c>
      <c r="B427" s="2" t="s">
        <v>670</v>
      </c>
      <c r="C427" s="5" t="s">
        <v>202</v>
      </c>
      <c r="D427" s="5" t="s">
        <v>203</v>
      </c>
      <c r="E427" s="5" t="s">
        <v>72</v>
      </c>
      <c r="F427" s="21" t="n">
        <v>0.709999978542328</v>
      </c>
      <c r="G427" s="21" t="n">
        <v>0</v>
      </c>
      <c r="H427" s="22" t="n">
        <f aca="false">F427+G427</f>
        <v>0.709999978542328</v>
      </c>
      <c r="I427" s="13" t="n">
        <f aca="false">INDEX(RM_Rates!$F$5:$F$137,MATCH(C427,RM_Rates!$A$5:$A$137,0))</f>
        <v>0.750177025794983</v>
      </c>
      <c r="J427" s="22" t="n">
        <f aca="false">H427*I427</f>
        <v>0.532625672217385</v>
      </c>
    </row>
    <row r="428" customFormat="false" ht="15" hidden="false" customHeight="false" outlineLevel="0" collapsed="false">
      <c r="A428" s="5" t="s">
        <v>499</v>
      </c>
      <c r="B428" s="2" t="s">
        <v>670</v>
      </c>
      <c r="C428" s="5" t="s">
        <v>193</v>
      </c>
      <c r="D428" s="5" t="s">
        <v>194</v>
      </c>
      <c r="E428" s="5" t="s">
        <v>72</v>
      </c>
      <c r="F428" s="21" t="n">
        <v>155.100006103516</v>
      </c>
      <c r="G428" s="21" t="n">
        <v>3.10199999809265</v>
      </c>
      <c r="H428" s="22" t="n">
        <f aca="false">F428+G428</f>
        <v>158.202006101609</v>
      </c>
      <c r="I428" s="13" t="n">
        <f aca="false">INDEX(RM_Rates!$F$5:$F$137,MATCH(C428,RM_Rates!$A$5:$A$137,0))</f>
        <v>0.769918501377106</v>
      </c>
      <c r="J428" s="22" t="n">
        <f aca="false">H428*I428</f>
        <v>121.802651452602</v>
      </c>
    </row>
    <row r="429" customFormat="false" ht="15" hidden="false" customHeight="false" outlineLevel="0" collapsed="false">
      <c r="A429" s="5" t="s">
        <v>499</v>
      </c>
      <c r="B429" s="2" t="s">
        <v>670</v>
      </c>
      <c r="C429" s="5" t="s">
        <v>191</v>
      </c>
      <c r="D429" s="5" t="s">
        <v>192</v>
      </c>
      <c r="E429" s="5" t="s">
        <v>72</v>
      </c>
      <c r="F429" s="21" t="n">
        <v>2.48160004615784</v>
      </c>
      <c r="G429" s="21" t="n">
        <v>0.0500000007450581</v>
      </c>
      <c r="H429" s="22" t="n">
        <f aca="false">F429+G429</f>
        <v>2.5316000469029</v>
      </c>
      <c r="I429" s="13" t="n">
        <f aca="false">INDEX(RM_Rates!$F$5:$F$137,MATCH(C429,RM_Rates!$A$5:$A$137,0))</f>
        <v>2.39035940170288</v>
      </c>
      <c r="J429" s="22" t="n">
        <f aca="false">H429*I429</f>
        <v>6.05143397346579</v>
      </c>
    </row>
    <row r="430" customFormat="false" ht="15" hidden="false" customHeight="false" outlineLevel="0" collapsed="false">
      <c r="A430" s="5" t="s">
        <v>499</v>
      </c>
      <c r="B430" s="2" t="s">
        <v>670</v>
      </c>
      <c r="C430" s="5" t="s">
        <v>267</v>
      </c>
      <c r="D430" s="5" t="s">
        <v>268</v>
      </c>
      <c r="E430" s="5" t="s">
        <v>72</v>
      </c>
      <c r="F430" s="21" t="n">
        <v>145</v>
      </c>
      <c r="G430" s="21" t="n">
        <v>1.45000004768372</v>
      </c>
      <c r="H430" s="22" t="n">
        <f aca="false">F430+G430</f>
        <v>146.450000047684</v>
      </c>
      <c r="I430" s="13" t="n">
        <f aca="false">INDEX(RM_Rates!$F$5:$F$137,MATCH(C430,RM_Rates!$A$5:$A$137,0))</f>
        <v>0.487615048885345</v>
      </c>
      <c r="J430" s="22" t="n">
        <f aca="false">H430*I430</f>
        <v>71.4112239325101</v>
      </c>
    </row>
    <row r="431" customFormat="false" ht="15" hidden="false" customHeight="false" outlineLevel="0" collapsed="false">
      <c r="A431" s="5" t="s">
        <v>499</v>
      </c>
      <c r="B431" s="2" t="s">
        <v>670</v>
      </c>
      <c r="C431" s="5" t="s">
        <v>293</v>
      </c>
      <c r="D431" s="5" t="s">
        <v>294</v>
      </c>
      <c r="E431" s="5" t="s">
        <v>166</v>
      </c>
      <c r="F431" s="21" t="n">
        <v>1</v>
      </c>
      <c r="G431" s="21" t="n">
        <v>0</v>
      </c>
      <c r="H431" s="22" t="n">
        <f aca="false">F431+G431</f>
        <v>1</v>
      </c>
      <c r="I431" s="13" t="n">
        <f aca="false">INDEX(RM_Rates!$F$5:$F$137,MATCH(C431,RM_Rates!$A$5:$A$137,0))</f>
        <v>17.5683555603027</v>
      </c>
      <c r="J431" s="22" t="n">
        <f aca="false">H431*I431</f>
        <v>17.5683555603027</v>
      </c>
    </row>
    <row r="432" customFormat="false" ht="15" hidden="false" customHeight="false" outlineLevel="0" collapsed="false">
      <c r="A432" s="5" t="s">
        <v>499</v>
      </c>
      <c r="B432" s="2" t="s">
        <v>670</v>
      </c>
      <c r="C432" s="5" t="s">
        <v>167</v>
      </c>
      <c r="D432" s="5" t="s">
        <v>168</v>
      </c>
      <c r="E432" s="5" t="s">
        <v>166</v>
      </c>
      <c r="F432" s="21" t="n">
        <v>2</v>
      </c>
      <c r="G432" s="21" t="n">
        <v>0</v>
      </c>
      <c r="H432" s="22" t="n">
        <f aca="false">F432+G432</f>
        <v>2</v>
      </c>
      <c r="I432" s="13" t="n">
        <f aca="false">INDEX(RM_Rates!$F$5:$F$137,MATCH(C432,RM_Rates!$A$5:$A$137,0))</f>
        <v>0.124766282737255</v>
      </c>
      <c r="J432" s="22" t="n">
        <f aca="false">H432*I432</f>
        <v>0.24953256547451</v>
      </c>
    </row>
    <row r="433" customFormat="false" ht="15" hidden="false" customHeight="false" outlineLevel="0" collapsed="false">
      <c r="A433" s="5" t="s">
        <v>499</v>
      </c>
      <c r="B433" s="2" t="s">
        <v>670</v>
      </c>
      <c r="C433" s="5" t="s">
        <v>306</v>
      </c>
      <c r="D433" s="5" t="s">
        <v>307</v>
      </c>
      <c r="E433" s="5" t="s">
        <v>297</v>
      </c>
      <c r="F433" s="21" t="n">
        <v>2.79999995231628</v>
      </c>
      <c r="G433" s="21" t="n">
        <v>0</v>
      </c>
      <c r="H433" s="22" t="n">
        <f aca="false">F433+G433</f>
        <v>2.79999995231628</v>
      </c>
      <c r="I433" s="13" t="n">
        <f aca="false">INDEX(RM_Rates!$F$5:$F$137,MATCH(C433,RM_Rates!$A$5:$A$137,0))</f>
        <v>1.40752077102661</v>
      </c>
      <c r="J433" s="22" t="n">
        <f aca="false">H433*I433</f>
        <v>3.94105809175868</v>
      </c>
    </row>
    <row r="434" customFormat="false" ht="15" hidden="false" customHeight="false" outlineLevel="0" collapsed="false">
      <c r="A434" s="5" t="s">
        <v>499</v>
      </c>
      <c r="B434" s="2" t="s">
        <v>670</v>
      </c>
      <c r="C434" s="5" t="s">
        <v>189</v>
      </c>
      <c r="D434" s="5" t="s">
        <v>190</v>
      </c>
      <c r="E434" s="5" t="s">
        <v>60</v>
      </c>
      <c r="F434" s="21" t="n">
        <v>0.180000007152557</v>
      </c>
      <c r="G434" s="21" t="n">
        <v>0</v>
      </c>
      <c r="H434" s="22" t="n">
        <f aca="false">F434+G434</f>
        <v>0.180000007152557</v>
      </c>
      <c r="I434" s="13" t="n">
        <f aca="false">INDEX(RM_Rates!$F$5:$F$137,MATCH(C434,RM_Rates!$A$5:$A$137,0))</f>
        <v>0.568400025367737</v>
      </c>
      <c r="J434" s="22" t="n">
        <f aca="false">H434*I434</f>
        <v>0.102312008631706</v>
      </c>
    </row>
    <row r="435" customFormat="false" ht="15" hidden="false" customHeight="false" outlineLevel="0" collapsed="false">
      <c r="A435" s="5" t="s">
        <v>501</v>
      </c>
      <c r="B435" s="2" t="s">
        <v>671</v>
      </c>
      <c r="C435" s="5" t="s">
        <v>86</v>
      </c>
      <c r="D435" s="5" t="s">
        <v>87</v>
      </c>
      <c r="E435" s="5" t="s">
        <v>72</v>
      </c>
      <c r="F435" s="21" t="n">
        <v>21.5129985809326</v>
      </c>
      <c r="G435" s="21" t="n">
        <v>0.10700000077486</v>
      </c>
      <c r="H435" s="22" t="n">
        <f aca="false">F435+G435</f>
        <v>21.6199985817075</v>
      </c>
      <c r="I435" s="13" t="n">
        <f aca="false">INDEX(RM_Rates!$F$5:$F$137,MATCH(C435,RM_Rates!$A$5:$A$137,0))</f>
        <v>1.997936</v>
      </c>
      <c r="J435" s="22" t="n">
        <f aca="false">H435*I435</f>
        <v>43.1953734863423</v>
      </c>
    </row>
    <row r="436" customFormat="false" ht="15" hidden="false" customHeight="false" outlineLevel="0" collapsed="false">
      <c r="A436" s="5" t="s">
        <v>501</v>
      </c>
      <c r="B436" s="2" t="s">
        <v>671</v>
      </c>
      <c r="C436" s="5" t="s">
        <v>195</v>
      </c>
      <c r="D436" s="5" t="s">
        <v>196</v>
      </c>
      <c r="E436" s="5" t="s">
        <v>72</v>
      </c>
      <c r="F436" s="21" t="n">
        <v>4.54500007629395</v>
      </c>
      <c r="G436" s="21" t="n">
        <v>0</v>
      </c>
      <c r="H436" s="22" t="n">
        <f aca="false">F436+G436</f>
        <v>4.54500007629395</v>
      </c>
      <c r="I436" s="13" t="n">
        <f aca="false">INDEX(RM_Rates!$F$5:$F$137,MATCH(C436,RM_Rates!$A$5:$A$137,0))</f>
        <v>5.34994649887085</v>
      </c>
      <c r="J436" s="22" t="n">
        <f aca="false">H436*I436</f>
        <v>24.3155072455366</v>
      </c>
    </row>
    <row r="437" customFormat="false" ht="15" hidden="false" customHeight="false" outlineLevel="0" collapsed="false">
      <c r="A437" s="5" t="s">
        <v>501</v>
      </c>
      <c r="B437" s="2" t="s">
        <v>671</v>
      </c>
      <c r="C437" s="5" t="s">
        <v>326</v>
      </c>
      <c r="D437" s="5" t="s">
        <v>327</v>
      </c>
      <c r="E437" s="5" t="s">
        <v>72</v>
      </c>
      <c r="F437" s="21" t="n">
        <v>7.97900009155273</v>
      </c>
      <c r="G437" s="21" t="n">
        <v>0.395000010728836</v>
      </c>
      <c r="H437" s="22" t="n">
        <f aca="false">F437+G437</f>
        <v>8.37400010228157</v>
      </c>
      <c r="I437" s="13" t="n">
        <f aca="false">INDEX(RM_Rates!$F$5:$F$137,MATCH(C437,RM_Rates!$A$5:$A$137,0))</f>
        <v>0.596000015735626</v>
      </c>
      <c r="J437" s="22" t="n">
        <f aca="false">H437*I437</f>
        <v>4.99090419272995</v>
      </c>
    </row>
    <row r="438" customFormat="false" ht="15" hidden="false" customHeight="false" outlineLevel="0" collapsed="false">
      <c r="A438" s="5" t="s">
        <v>501</v>
      </c>
      <c r="B438" s="2" t="s">
        <v>671</v>
      </c>
      <c r="C438" s="5" t="s">
        <v>324</v>
      </c>
      <c r="D438" s="5" t="s">
        <v>325</v>
      </c>
      <c r="E438" s="5" t="s">
        <v>72</v>
      </c>
      <c r="F438" s="21" t="n">
        <v>0.438845008611679</v>
      </c>
      <c r="G438" s="21" t="n">
        <v>0.0219999998807907</v>
      </c>
      <c r="H438" s="22" t="n">
        <f aca="false">F438+G438</f>
        <v>0.46084500849247</v>
      </c>
      <c r="I438" s="13" t="n">
        <f aca="false">INDEX(RM_Rates!$F$5:$F$137,MATCH(C438,RM_Rates!$A$5:$A$137,0))</f>
        <v>1.35229277610779</v>
      </c>
      <c r="J438" s="22" t="n">
        <f aca="false">H438*I438</f>
        <v>0.6231973758897</v>
      </c>
    </row>
    <row r="439" customFormat="false" ht="15" hidden="false" customHeight="false" outlineLevel="0" collapsed="false">
      <c r="A439" s="5" t="s">
        <v>501</v>
      </c>
      <c r="B439" s="2" t="s">
        <v>671</v>
      </c>
      <c r="C439" s="5" t="s">
        <v>320</v>
      </c>
      <c r="D439" s="5" t="s">
        <v>321</v>
      </c>
      <c r="E439" s="5" t="s">
        <v>72</v>
      </c>
      <c r="F439" s="21" t="n">
        <v>0.119685001671314</v>
      </c>
      <c r="G439" s="21" t="n">
        <v>0.00600000005215406</v>
      </c>
      <c r="H439" s="22" t="n">
        <f aca="false">F439+G439</f>
        <v>0.125685001723468</v>
      </c>
      <c r="I439" s="13" t="n">
        <f aca="false">INDEX(RM_Rates!$F$5:$F$137,MATCH(C439,RM_Rates!$A$5:$A$137,0))</f>
        <v>1.6441433429718</v>
      </c>
      <c r="J439" s="22" t="n">
        <f aca="false">H439*I439</f>
        <v>0.206644158895039</v>
      </c>
    </row>
    <row r="440" customFormat="false" ht="15" hidden="false" customHeight="false" outlineLevel="0" collapsed="false">
      <c r="A440" s="5" t="s">
        <v>501</v>
      </c>
      <c r="B440" s="2" t="s">
        <v>671</v>
      </c>
      <c r="C440" s="5" t="s">
        <v>210</v>
      </c>
      <c r="D440" s="5" t="s">
        <v>211</v>
      </c>
      <c r="E440" s="5" t="s">
        <v>72</v>
      </c>
      <c r="F440" s="21" t="n">
        <v>1.19000005722046</v>
      </c>
      <c r="G440" s="21" t="n">
        <v>0</v>
      </c>
      <c r="H440" s="22" t="n">
        <f aca="false">F440+G440</f>
        <v>1.19000005722046</v>
      </c>
      <c r="I440" s="13" t="n">
        <f aca="false">INDEX(RM_Rates!$F$5:$F$137,MATCH(C440,RM_Rates!$A$5:$A$137,0))</f>
        <v>0.750177025794983</v>
      </c>
      <c r="J440" s="22" t="n">
        <f aca="false">H440*I440</f>
        <v>0.892710703621504</v>
      </c>
    </row>
    <row r="441" customFormat="false" ht="15" hidden="false" customHeight="false" outlineLevel="0" collapsed="false">
      <c r="A441" s="5" t="s">
        <v>501</v>
      </c>
      <c r="B441" s="2" t="s">
        <v>671</v>
      </c>
      <c r="C441" s="5" t="s">
        <v>62</v>
      </c>
      <c r="D441" s="5" t="s">
        <v>63</v>
      </c>
      <c r="E441" s="5" t="s">
        <v>60</v>
      </c>
      <c r="F441" s="21" t="n">
        <v>1.5</v>
      </c>
      <c r="G441" s="21" t="n">
        <v>0.0149999996647239</v>
      </c>
      <c r="H441" s="22" t="n">
        <f aca="false">F441+G441</f>
        <v>1.51499999966472</v>
      </c>
      <c r="I441" s="13" t="n">
        <f aca="false">INDEX(RM_Rates!$F$5:$F$137,MATCH(C441,RM_Rates!$A$5:$A$137,0))</f>
        <v>1.83595955371857</v>
      </c>
      <c r="J441" s="22" t="n">
        <f aca="false">H441*I441</f>
        <v>2.78147872326808</v>
      </c>
    </row>
    <row r="442" customFormat="false" ht="15" hidden="false" customHeight="false" outlineLevel="0" collapsed="false">
      <c r="A442" s="5" t="s">
        <v>501</v>
      </c>
      <c r="B442" s="2" t="s">
        <v>671</v>
      </c>
      <c r="C442" s="5" t="s">
        <v>70</v>
      </c>
      <c r="D442" s="5" t="s">
        <v>71</v>
      </c>
      <c r="E442" s="5" t="s">
        <v>72</v>
      </c>
      <c r="F442" s="21" t="n">
        <v>4.5</v>
      </c>
      <c r="G442" s="21" t="n">
        <v>0</v>
      </c>
      <c r="H442" s="22" t="n">
        <f aca="false">F442+G442</f>
        <v>4.5</v>
      </c>
      <c r="I442" s="13" t="n">
        <f aca="false">INDEX(RM_Rates!$F$5:$F$137,MATCH(C442,RM_Rates!$A$5:$A$137,0))</f>
        <v>2.86922955513001</v>
      </c>
      <c r="J442" s="22" t="n">
        <f aca="false">H442*I442</f>
        <v>12.911532998085</v>
      </c>
    </row>
    <row r="443" customFormat="false" ht="15" hidden="false" customHeight="false" outlineLevel="0" collapsed="false">
      <c r="A443" s="5" t="s">
        <v>501</v>
      </c>
      <c r="B443" s="2" t="s">
        <v>671</v>
      </c>
      <c r="C443" s="5" t="s">
        <v>202</v>
      </c>
      <c r="D443" s="5" t="s">
        <v>203</v>
      </c>
      <c r="E443" s="5" t="s">
        <v>72</v>
      </c>
      <c r="F443" s="21" t="n">
        <v>0.709999978542328</v>
      </c>
      <c r="G443" s="21" t="n">
        <v>0</v>
      </c>
      <c r="H443" s="22" t="n">
        <f aca="false">F443+G443</f>
        <v>0.709999978542328</v>
      </c>
      <c r="I443" s="13" t="n">
        <f aca="false">INDEX(RM_Rates!$F$5:$F$137,MATCH(C443,RM_Rates!$A$5:$A$137,0))</f>
        <v>0.750177025794983</v>
      </c>
      <c r="J443" s="22" t="n">
        <f aca="false">H443*I443</f>
        <v>0.532625672217385</v>
      </c>
    </row>
    <row r="444" customFormat="false" ht="15" hidden="false" customHeight="false" outlineLevel="0" collapsed="false">
      <c r="A444" s="5" t="s">
        <v>501</v>
      </c>
      <c r="B444" s="2" t="s">
        <v>671</v>
      </c>
      <c r="C444" s="5" t="s">
        <v>193</v>
      </c>
      <c r="D444" s="5" t="s">
        <v>194</v>
      </c>
      <c r="E444" s="5" t="s">
        <v>72</v>
      </c>
      <c r="F444" s="21" t="n">
        <v>189.100006103516</v>
      </c>
      <c r="G444" s="21" t="n">
        <v>3.78200006484985</v>
      </c>
      <c r="H444" s="22" t="n">
        <f aca="false">F444+G444</f>
        <v>192.882006168366</v>
      </c>
      <c r="I444" s="13" t="n">
        <f aca="false">INDEX(RM_Rates!$F$5:$F$137,MATCH(C444,RM_Rates!$A$5:$A$137,0))</f>
        <v>0.769918501377106</v>
      </c>
      <c r="J444" s="22" t="n">
        <f aca="false">H444*I444</f>
        <v>148.503425131758</v>
      </c>
    </row>
    <row r="445" customFormat="false" ht="15" hidden="false" customHeight="false" outlineLevel="0" collapsed="false">
      <c r="A445" s="5" t="s">
        <v>501</v>
      </c>
      <c r="B445" s="2" t="s">
        <v>671</v>
      </c>
      <c r="C445" s="5" t="s">
        <v>191</v>
      </c>
      <c r="D445" s="5" t="s">
        <v>192</v>
      </c>
      <c r="E445" s="5" t="s">
        <v>72</v>
      </c>
      <c r="F445" s="21" t="n">
        <v>3.02559995651245</v>
      </c>
      <c r="G445" s="21" t="n">
        <v>0.0599999986588955</v>
      </c>
      <c r="H445" s="22" t="n">
        <f aca="false">F445+G445</f>
        <v>3.08559995517135</v>
      </c>
      <c r="I445" s="13" t="n">
        <f aca="false">INDEX(RM_Rates!$F$5:$F$137,MATCH(C445,RM_Rates!$A$5:$A$137,0))</f>
        <v>2.39035940170288</v>
      </c>
      <c r="J445" s="22" t="n">
        <f aca="false">H445*I445</f>
        <v>7.37569286273781</v>
      </c>
    </row>
    <row r="446" customFormat="false" ht="15" hidden="false" customHeight="false" outlineLevel="0" collapsed="false">
      <c r="A446" s="5" t="s">
        <v>501</v>
      </c>
      <c r="B446" s="2" t="s">
        <v>671</v>
      </c>
      <c r="C446" s="5" t="s">
        <v>267</v>
      </c>
      <c r="D446" s="5" t="s">
        <v>268</v>
      </c>
      <c r="E446" s="5" t="s">
        <v>72</v>
      </c>
      <c r="F446" s="21" t="n">
        <v>175</v>
      </c>
      <c r="G446" s="21" t="n">
        <v>1.75</v>
      </c>
      <c r="H446" s="22" t="n">
        <f aca="false">F446+G446</f>
        <v>176.75</v>
      </c>
      <c r="I446" s="13" t="n">
        <f aca="false">INDEX(RM_Rates!$F$5:$F$137,MATCH(C446,RM_Rates!$A$5:$A$137,0))</f>
        <v>0.487615048885345</v>
      </c>
      <c r="J446" s="22" t="n">
        <f aca="false">H446*I446</f>
        <v>86.1859598904847</v>
      </c>
    </row>
    <row r="447" customFormat="false" ht="15" hidden="false" customHeight="false" outlineLevel="0" collapsed="false">
      <c r="A447" s="5" t="s">
        <v>501</v>
      </c>
      <c r="B447" s="2" t="s">
        <v>671</v>
      </c>
      <c r="C447" s="5" t="s">
        <v>279</v>
      </c>
      <c r="D447" s="5" t="s">
        <v>280</v>
      </c>
      <c r="E447" s="5" t="s">
        <v>166</v>
      </c>
      <c r="F447" s="21" t="n">
        <v>1</v>
      </c>
      <c r="G447" s="21" t="n">
        <v>0</v>
      </c>
      <c r="H447" s="22" t="n">
        <f aca="false">F447+G447</f>
        <v>1</v>
      </c>
      <c r="I447" s="13" t="n">
        <f aca="false">INDEX(RM_Rates!$F$5:$F$137,MATCH(C447,RM_Rates!$A$5:$A$137,0))</f>
        <v>17.5683555603027</v>
      </c>
      <c r="J447" s="22" t="n">
        <f aca="false">H447*I447</f>
        <v>17.5683555603027</v>
      </c>
    </row>
    <row r="448" customFormat="false" ht="15" hidden="false" customHeight="false" outlineLevel="0" collapsed="false">
      <c r="A448" s="5" t="s">
        <v>501</v>
      </c>
      <c r="B448" s="2" t="s">
        <v>671</v>
      </c>
      <c r="C448" s="5" t="s">
        <v>167</v>
      </c>
      <c r="D448" s="5" t="s">
        <v>168</v>
      </c>
      <c r="E448" s="5" t="s">
        <v>166</v>
      </c>
      <c r="F448" s="21" t="n">
        <v>2</v>
      </c>
      <c r="G448" s="21" t="n">
        <v>0</v>
      </c>
      <c r="H448" s="22" t="n">
        <f aca="false">F448+G448</f>
        <v>2</v>
      </c>
      <c r="I448" s="13" t="n">
        <f aca="false">INDEX(RM_Rates!$F$5:$F$137,MATCH(C448,RM_Rates!$A$5:$A$137,0))</f>
        <v>0.124766282737255</v>
      </c>
      <c r="J448" s="22" t="n">
        <f aca="false">H448*I448</f>
        <v>0.24953256547451</v>
      </c>
    </row>
    <row r="449" customFormat="false" ht="15" hidden="false" customHeight="false" outlineLevel="0" collapsed="false">
      <c r="A449" s="5" t="s">
        <v>501</v>
      </c>
      <c r="B449" s="2" t="s">
        <v>671</v>
      </c>
      <c r="C449" s="5" t="s">
        <v>306</v>
      </c>
      <c r="D449" s="5" t="s">
        <v>307</v>
      </c>
      <c r="E449" s="5" t="s">
        <v>297</v>
      </c>
      <c r="F449" s="21" t="n">
        <v>3.09999990463257</v>
      </c>
      <c r="G449" s="21" t="n">
        <v>0</v>
      </c>
      <c r="H449" s="22" t="n">
        <f aca="false">F449+G449</f>
        <v>3.09999990463257</v>
      </c>
      <c r="I449" s="13" t="n">
        <f aca="false">INDEX(RM_Rates!$F$5:$F$137,MATCH(C449,RM_Rates!$A$5:$A$137,0))</f>
        <v>1.40752077102661</v>
      </c>
      <c r="J449" s="22" t="n">
        <f aca="false">H449*I449</f>
        <v>4.36331425595085</v>
      </c>
    </row>
    <row r="450" customFormat="false" ht="15" hidden="false" customHeight="false" outlineLevel="0" collapsed="false">
      <c r="A450" s="5" t="s">
        <v>501</v>
      </c>
      <c r="B450" s="2" t="s">
        <v>671</v>
      </c>
      <c r="C450" s="5" t="s">
        <v>189</v>
      </c>
      <c r="D450" s="5" t="s">
        <v>190</v>
      </c>
      <c r="E450" s="5" t="s">
        <v>60</v>
      </c>
      <c r="F450" s="21" t="n">
        <v>0.200000002980232</v>
      </c>
      <c r="G450" s="21" t="n">
        <v>0</v>
      </c>
      <c r="H450" s="22" t="n">
        <f aca="false">F450+G450</f>
        <v>0.200000002980232</v>
      </c>
      <c r="I450" s="13" t="n">
        <f aca="false">INDEX(RM_Rates!$F$5:$F$137,MATCH(C450,RM_Rates!$A$5:$A$137,0))</f>
        <v>0.568400025367737</v>
      </c>
      <c r="J450" s="22" t="n">
        <f aca="false">H450*I450</f>
        <v>0.113680006767511</v>
      </c>
    </row>
    <row r="451" customFormat="false" ht="15" hidden="false" customHeight="false" outlineLevel="0" collapsed="false">
      <c r="A451" s="5" t="s">
        <v>503</v>
      </c>
      <c r="B451" s="2" t="s">
        <v>672</v>
      </c>
      <c r="C451" s="5" t="s">
        <v>79</v>
      </c>
      <c r="D451" s="5" t="s">
        <v>80</v>
      </c>
      <c r="E451" s="5" t="s">
        <v>72</v>
      </c>
      <c r="F451" s="21" t="n">
        <v>52.5200004577637</v>
      </c>
      <c r="G451" s="21" t="n">
        <v>0.129999995231628</v>
      </c>
      <c r="H451" s="22" t="n">
        <f aca="false">F451+G451</f>
        <v>52.6500004529953</v>
      </c>
      <c r="I451" s="13" t="n">
        <f aca="false">INDEX(RM_Rates!$F$5:$F$137,MATCH(C451,RM_Rates!$A$5:$A$137,0))</f>
        <v>1.980566</v>
      </c>
      <c r="J451" s="22" t="n">
        <f aca="false">H451*I451</f>
        <v>104.276800797187</v>
      </c>
    </row>
    <row r="452" customFormat="false" ht="15" hidden="false" customHeight="false" outlineLevel="0" collapsed="false">
      <c r="A452" s="5" t="s">
        <v>503</v>
      </c>
      <c r="B452" s="2" t="s">
        <v>672</v>
      </c>
      <c r="C452" s="5" t="s">
        <v>326</v>
      </c>
      <c r="D452" s="5" t="s">
        <v>327</v>
      </c>
      <c r="E452" s="5" t="s">
        <v>72</v>
      </c>
      <c r="F452" s="21" t="n">
        <v>15.7560005187988</v>
      </c>
      <c r="G452" s="21" t="n">
        <v>0.389999985694885</v>
      </c>
      <c r="H452" s="22" t="n">
        <f aca="false">F452+G452</f>
        <v>16.1460005044937</v>
      </c>
      <c r="I452" s="13" t="n">
        <f aca="false">INDEX(RM_Rates!$F$5:$F$137,MATCH(C452,RM_Rates!$A$5:$A$137,0))</f>
        <v>0.596000015735626</v>
      </c>
      <c r="J452" s="22" t="n">
        <f aca="false">H452*I452</f>
        <v>9.62301655474566</v>
      </c>
    </row>
    <row r="453" customFormat="false" ht="15" hidden="false" customHeight="false" outlineLevel="0" collapsed="false">
      <c r="A453" s="5" t="s">
        <v>503</v>
      </c>
      <c r="B453" s="2" t="s">
        <v>672</v>
      </c>
      <c r="C453" s="5" t="s">
        <v>324</v>
      </c>
      <c r="D453" s="5" t="s">
        <v>325</v>
      </c>
      <c r="E453" s="5" t="s">
        <v>72</v>
      </c>
      <c r="F453" s="21" t="n">
        <v>0.866579949855804</v>
      </c>
      <c r="G453" s="21" t="n">
        <v>0.0219999998807907</v>
      </c>
      <c r="H453" s="22" t="n">
        <f aca="false">F453+G453</f>
        <v>0.888579949736595</v>
      </c>
      <c r="I453" s="13" t="n">
        <f aca="false">INDEX(RM_Rates!$F$5:$F$137,MATCH(C453,RM_Rates!$A$5:$A$137,0))</f>
        <v>1.35229277610779</v>
      </c>
      <c r="J453" s="22" t="n">
        <f aca="false">H453*I453</f>
        <v>1.20162024702302</v>
      </c>
    </row>
    <row r="454" customFormat="false" ht="15" hidden="false" customHeight="false" outlineLevel="0" collapsed="false">
      <c r="A454" s="5" t="s">
        <v>503</v>
      </c>
      <c r="B454" s="2" t="s">
        <v>672</v>
      </c>
      <c r="C454" s="5" t="s">
        <v>314</v>
      </c>
      <c r="D454" s="5" t="s">
        <v>315</v>
      </c>
      <c r="E454" s="5" t="s">
        <v>72</v>
      </c>
      <c r="F454" s="21" t="n">
        <v>0.118170000612736</v>
      </c>
      <c r="G454" s="21" t="n">
        <v>0.00300000002607703</v>
      </c>
      <c r="H454" s="22" t="n">
        <f aca="false">F454+G454</f>
        <v>0.121170000638813</v>
      </c>
      <c r="I454" s="13" t="n">
        <f aca="false">INDEX(RM_Rates!$F$5:$F$137,MATCH(C454,RM_Rates!$A$5:$A$137,0))</f>
        <v>1.6441433429718</v>
      </c>
      <c r="J454" s="22" t="n">
        <f aca="false">H454*I454</f>
        <v>0.199220849918193</v>
      </c>
    </row>
    <row r="455" customFormat="false" ht="15" hidden="false" customHeight="false" outlineLevel="0" collapsed="false">
      <c r="A455" s="5" t="s">
        <v>503</v>
      </c>
      <c r="B455" s="2" t="s">
        <v>672</v>
      </c>
      <c r="C455" s="5" t="s">
        <v>320</v>
      </c>
      <c r="D455" s="5" t="s">
        <v>321</v>
      </c>
      <c r="E455" s="5" t="s">
        <v>72</v>
      </c>
      <c r="F455" s="21" t="n">
        <v>0.118170000612736</v>
      </c>
      <c r="G455" s="21" t="n">
        <v>0.00300000002607703</v>
      </c>
      <c r="H455" s="22" t="n">
        <f aca="false">F455+G455</f>
        <v>0.121170000638813</v>
      </c>
      <c r="I455" s="13" t="n">
        <f aca="false">INDEX(RM_Rates!$F$5:$F$137,MATCH(C455,RM_Rates!$A$5:$A$137,0))</f>
        <v>1.6441433429718</v>
      </c>
      <c r="J455" s="22" t="n">
        <f aca="false">H455*I455</f>
        <v>0.199220849918193</v>
      </c>
    </row>
    <row r="456" customFormat="false" ht="15" hidden="false" customHeight="false" outlineLevel="0" collapsed="false">
      <c r="A456" s="5" t="s">
        <v>503</v>
      </c>
      <c r="B456" s="2" t="s">
        <v>672</v>
      </c>
      <c r="C456" s="5" t="s">
        <v>200</v>
      </c>
      <c r="D456" s="5" t="s">
        <v>201</v>
      </c>
      <c r="E456" s="5" t="s">
        <v>72</v>
      </c>
      <c r="F456" s="21" t="n">
        <v>1.1917998790741</v>
      </c>
      <c r="G456" s="21" t="n">
        <v>0</v>
      </c>
      <c r="H456" s="22" t="n">
        <f aca="false">F456+G456</f>
        <v>1.1917998790741</v>
      </c>
      <c r="I456" s="13" t="n">
        <f aca="false">INDEX(RM_Rates!$F$5:$F$137,MATCH(C456,RM_Rates!$A$5:$A$137,0))</f>
        <v>0.750177025794983</v>
      </c>
      <c r="J456" s="22" t="n">
        <f aca="false">H456*I456</f>
        <v>0.894060888626629</v>
      </c>
    </row>
    <row r="457" customFormat="false" ht="15" hidden="false" customHeight="false" outlineLevel="0" collapsed="false">
      <c r="A457" s="5" t="s">
        <v>503</v>
      </c>
      <c r="B457" s="2" t="s">
        <v>672</v>
      </c>
      <c r="C457" s="5" t="s">
        <v>58</v>
      </c>
      <c r="D457" s="5" t="s">
        <v>59</v>
      </c>
      <c r="E457" s="5" t="s">
        <v>60</v>
      </c>
      <c r="F457" s="21" t="n">
        <v>2.52500009536743</v>
      </c>
      <c r="G457" s="21" t="n">
        <v>0.0130000002682209</v>
      </c>
      <c r="H457" s="22" t="n">
        <f aca="false">F457+G457</f>
        <v>2.53800009563565</v>
      </c>
      <c r="I457" s="13" t="n">
        <f aca="false">INDEX(RM_Rates!$F$5:$F$137,MATCH(C457,RM_Rates!$A$5:$A$137,0))</f>
        <v>1.83595955371857</v>
      </c>
      <c r="J457" s="22" t="n">
        <f aca="false">H457*I457</f>
        <v>4.65966552292092</v>
      </c>
    </row>
    <row r="458" customFormat="false" ht="15" hidden="false" customHeight="false" outlineLevel="0" collapsed="false">
      <c r="A458" s="5" t="s">
        <v>503</v>
      </c>
      <c r="B458" s="2" t="s">
        <v>672</v>
      </c>
      <c r="C458" s="5" t="s">
        <v>70</v>
      </c>
      <c r="D458" s="5" t="s">
        <v>71</v>
      </c>
      <c r="E458" s="5" t="s">
        <v>72</v>
      </c>
      <c r="F458" s="21" t="n">
        <v>13.5900001525879</v>
      </c>
      <c r="G458" s="21" t="n">
        <v>0</v>
      </c>
      <c r="H458" s="22" t="n">
        <f aca="false">F458+G458</f>
        <v>13.5900001525879</v>
      </c>
      <c r="I458" s="13" t="n">
        <f aca="false">INDEX(RM_Rates!$F$5:$F$137,MATCH(C458,RM_Rates!$A$5:$A$137,0))</f>
        <v>2.86922955513001</v>
      </c>
      <c r="J458" s="22" t="n">
        <f aca="false">H458*I458</f>
        <v>38.9928300920266</v>
      </c>
    </row>
    <row r="459" customFormat="false" ht="15" hidden="false" customHeight="false" outlineLevel="0" collapsed="false">
      <c r="A459" s="5" t="s">
        <v>503</v>
      </c>
      <c r="B459" s="2" t="s">
        <v>672</v>
      </c>
      <c r="C459" s="5" t="s">
        <v>206</v>
      </c>
      <c r="D459" s="5" t="s">
        <v>207</v>
      </c>
      <c r="E459" s="5" t="s">
        <v>72</v>
      </c>
      <c r="F459" s="21" t="n">
        <v>1.67659997940063</v>
      </c>
      <c r="G459" s="21" t="n">
        <v>0</v>
      </c>
      <c r="H459" s="22" t="n">
        <f aca="false">F459+G459</f>
        <v>1.67659997940063</v>
      </c>
      <c r="I459" s="13" t="n">
        <f aca="false">INDEX(RM_Rates!$F$5:$F$137,MATCH(C459,RM_Rates!$A$5:$A$137,0))</f>
        <v>0.750177025794983</v>
      </c>
      <c r="J459" s="22" t="n">
        <f aca="false">H459*I459</f>
        <v>1.25774678599469</v>
      </c>
    </row>
    <row r="460" customFormat="false" ht="15" hidden="false" customHeight="false" outlineLevel="0" collapsed="false">
      <c r="A460" s="5" t="s">
        <v>503</v>
      </c>
      <c r="B460" s="2" t="s">
        <v>672</v>
      </c>
      <c r="C460" s="5" t="s">
        <v>222</v>
      </c>
      <c r="D460" s="5" t="s">
        <v>223</v>
      </c>
      <c r="E460" s="5" t="s">
        <v>72</v>
      </c>
      <c r="F460" s="21" t="n">
        <v>8.88799953460693</v>
      </c>
      <c r="G460" s="21" t="n">
        <v>0</v>
      </c>
      <c r="H460" s="22" t="n">
        <f aca="false">F460+G460</f>
        <v>8.88799953460693</v>
      </c>
      <c r="I460" s="13" t="n">
        <f aca="false">INDEX(RM_Rates!$F$5:$F$137,MATCH(C460,RM_Rates!$A$5:$A$137,0))</f>
        <v>0.379036813974381</v>
      </c>
      <c r="J460" s="22" t="n">
        <f aca="false">H460*I460</f>
        <v>3.36887902620319</v>
      </c>
    </row>
    <row r="461" customFormat="false" ht="15" hidden="false" customHeight="false" outlineLevel="0" collapsed="false">
      <c r="A461" s="5" t="s">
        <v>503</v>
      </c>
      <c r="B461" s="2" t="s">
        <v>672</v>
      </c>
      <c r="C461" s="5" t="s">
        <v>214</v>
      </c>
      <c r="D461" s="5" t="s">
        <v>215</v>
      </c>
      <c r="E461" s="5" t="s">
        <v>72</v>
      </c>
      <c r="F461" s="21" t="n">
        <v>1.42999994754791</v>
      </c>
      <c r="G461" s="21" t="n">
        <v>0</v>
      </c>
      <c r="H461" s="22" t="n">
        <f aca="false">F461+G461</f>
        <v>1.42999994754791</v>
      </c>
      <c r="I461" s="13" t="n">
        <f aca="false">INDEX(RM_Rates!$F$5:$F$137,MATCH(C461,RM_Rates!$A$5:$A$137,0))</f>
        <v>0.750177025794983</v>
      </c>
      <c r="J461" s="22" t="n">
        <f aca="false">H461*I461</f>
        <v>1.07275310753847</v>
      </c>
    </row>
    <row r="462" customFormat="false" ht="15" hidden="false" customHeight="false" outlineLevel="0" collapsed="false">
      <c r="A462" s="5" t="s">
        <v>503</v>
      </c>
      <c r="B462" s="2" t="s">
        <v>672</v>
      </c>
      <c r="C462" s="5" t="s">
        <v>68</v>
      </c>
      <c r="D462" s="5" t="s">
        <v>69</v>
      </c>
      <c r="E462" s="5" t="s">
        <v>60</v>
      </c>
      <c r="F462" s="21" t="n">
        <v>2.5</v>
      </c>
      <c r="G462" s="21" t="n">
        <v>0.025000000372529</v>
      </c>
      <c r="H462" s="22" t="n">
        <f aca="false">F462+G462</f>
        <v>2.52500000037253</v>
      </c>
      <c r="I462" s="13" t="n">
        <f aca="false">INDEX(RM_Rates!$F$5:$F$137,MATCH(C462,RM_Rates!$A$5:$A$137,0))</f>
        <v>1.83595955371857</v>
      </c>
      <c r="J462" s="22" t="n">
        <f aca="false">H462*I462</f>
        <v>4.63579787382334</v>
      </c>
    </row>
    <row r="463" customFormat="false" ht="15" hidden="false" customHeight="false" outlineLevel="0" collapsed="false">
      <c r="A463" s="5" t="s">
        <v>503</v>
      </c>
      <c r="B463" s="2" t="s">
        <v>672</v>
      </c>
      <c r="C463" s="5" t="s">
        <v>210</v>
      </c>
      <c r="D463" s="5" t="s">
        <v>211</v>
      </c>
      <c r="E463" s="5" t="s">
        <v>72</v>
      </c>
      <c r="F463" s="21" t="n">
        <v>1.19000005722046</v>
      </c>
      <c r="G463" s="21" t="n">
        <v>0</v>
      </c>
      <c r="H463" s="22" t="n">
        <f aca="false">F463+G463</f>
        <v>1.19000005722046</v>
      </c>
      <c r="I463" s="13" t="n">
        <f aca="false">INDEX(RM_Rates!$F$5:$F$137,MATCH(C463,RM_Rates!$A$5:$A$137,0))</f>
        <v>0.750177025794983</v>
      </c>
      <c r="J463" s="22" t="n">
        <f aca="false">H463*I463</f>
        <v>0.892710703621504</v>
      </c>
    </row>
    <row r="464" customFormat="false" ht="15" hidden="false" customHeight="false" outlineLevel="0" collapsed="false">
      <c r="A464" s="5" t="s">
        <v>503</v>
      </c>
      <c r="B464" s="2" t="s">
        <v>672</v>
      </c>
      <c r="C464" s="5" t="s">
        <v>244</v>
      </c>
      <c r="D464" s="5" t="s">
        <v>245</v>
      </c>
      <c r="E464" s="5" t="s">
        <v>60</v>
      </c>
      <c r="F464" s="21" t="n">
        <v>156.399993896484</v>
      </c>
      <c r="G464" s="21" t="n">
        <v>0.391000002622604</v>
      </c>
      <c r="H464" s="22" t="n">
        <f aca="false">F464+G464</f>
        <v>156.790993899107</v>
      </c>
      <c r="I464" s="13" t="n">
        <f aca="false">INDEX(RM_Rates!$F$5:$F$137,MATCH(C464,RM_Rates!$A$5:$A$137,0))</f>
        <v>0.648000001907349</v>
      </c>
      <c r="J464" s="22" t="n">
        <f aca="false">H464*I464</f>
        <v>101.600564345676</v>
      </c>
    </row>
    <row r="465" customFormat="false" ht="15" hidden="false" customHeight="false" outlineLevel="0" collapsed="false">
      <c r="A465" s="5" t="s">
        <v>503</v>
      </c>
      <c r="B465" s="2" t="s">
        <v>672</v>
      </c>
      <c r="C465" s="5" t="s">
        <v>232</v>
      </c>
      <c r="D465" s="5" t="s">
        <v>233</v>
      </c>
      <c r="E465" s="5" t="s">
        <v>72</v>
      </c>
      <c r="F465" s="21" t="n">
        <v>2.50239992141724</v>
      </c>
      <c r="G465" s="21" t="n">
        <v>0.00600000005215406</v>
      </c>
      <c r="H465" s="22" t="n">
        <f aca="false">F465+G465</f>
        <v>2.50839992146939</v>
      </c>
      <c r="I465" s="13" t="n">
        <f aca="false">INDEX(RM_Rates!$F$5:$F$137,MATCH(C465,RM_Rates!$A$5:$A$137,0))</f>
        <v>1.45200002193451</v>
      </c>
      <c r="J465" s="22" t="n">
        <f aca="false">H465*I465</f>
        <v>3.64219674099408</v>
      </c>
    </row>
    <row r="466" customFormat="false" ht="15" hidden="false" customHeight="false" outlineLevel="0" collapsed="false">
      <c r="A466" s="5" t="s">
        <v>503</v>
      </c>
      <c r="B466" s="2" t="s">
        <v>672</v>
      </c>
      <c r="C466" s="5" t="s">
        <v>267</v>
      </c>
      <c r="D466" s="5" t="s">
        <v>268</v>
      </c>
      <c r="E466" s="5" t="s">
        <v>72</v>
      </c>
      <c r="F466" s="21" t="n">
        <v>190</v>
      </c>
      <c r="G466" s="21" t="n">
        <v>1.89999997615814</v>
      </c>
      <c r="H466" s="22" t="n">
        <f aca="false">F466+G466</f>
        <v>191.899999976158</v>
      </c>
      <c r="I466" s="13" t="n">
        <f aca="false">INDEX(RM_Rates!$F$5:$F$137,MATCH(C466,RM_Rates!$A$5:$A$137,0))</f>
        <v>0.487615048885345</v>
      </c>
      <c r="J466" s="22" t="n">
        <f aca="false">H466*I466</f>
        <v>93.5733278694721</v>
      </c>
    </row>
    <row r="467" customFormat="false" ht="15" hidden="false" customHeight="false" outlineLevel="0" collapsed="false">
      <c r="A467" s="5" t="s">
        <v>503</v>
      </c>
      <c r="B467" s="2" t="s">
        <v>672</v>
      </c>
      <c r="C467" s="5" t="s">
        <v>281</v>
      </c>
      <c r="D467" s="5" t="s">
        <v>282</v>
      </c>
      <c r="E467" s="5" t="s">
        <v>166</v>
      </c>
      <c r="F467" s="21" t="n">
        <v>1</v>
      </c>
      <c r="G467" s="21" t="n">
        <v>0</v>
      </c>
      <c r="H467" s="22" t="n">
        <f aca="false">F467+G467</f>
        <v>1</v>
      </c>
      <c r="I467" s="13" t="n">
        <f aca="false">INDEX(RM_Rates!$F$5:$F$137,MATCH(C467,RM_Rates!$A$5:$A$137,0))</f>
        <v>31.1947288513184</v>
      </c>
      <c r="J467" s="22" t="n">
        <f aca="false">H467*I467</f>
        <v>31.1947288513184</v>
      </c>
    </row>
    <row r="468" customFormat="false" ht="15" hidden="false" customHeight="false" outlineLevel="0" collapsed="false">
      <c r="A468" s="5" t="s">
        <v>503</v>
      </c>
      <c r="B468" s="2" t="s">
        <v>672</v>
      </c>
      <c r="C468" s="5" t="s">
        <v>167</v>
      </c>
      <c r="D468" s="5" t="s">
        <v>168</v>
      </c>
      <c r="E468" s="5" t="s">
        <v>166</v>
      </c>
      <c r="F468" s="21" t="n">
        <v>2</v>
      </c>
      <c r="G468" s="21" t="n">
        <v>0</v>
      </c>
      <c r="H468" s="22" t="n">
        <f aca="false">F468+G468</f>
        <v>2</v>
      </c>
      <c r="I468" s="13" t="n">
        <f aca="false">INDEX(RM_Rates!$F$5:$F$137,MATCH(C468,RM_Rates!$A$5:$A$137,0))</f>
        <v>0.124766282737255</v>
      </c>
      <c r="J468" s="22" t="n">
        <f aca="false">H468*I468</f>
        <v>0.24953256547451</v>
      </c>
    </row>
    <row r="469" customFormat="false" ht="15" hidden="false" customHeight="false" outlineLevel="0" collapsed="false">
      <c r="A469" s="5" t="s">
        <v>503</v>
      </c>
      <c r="B469" s="2" t="s">
        <v>672</v>
      </c>
      <c r="C469" s="5" t="s">
        <v>308</v>
      </c>
      <c r="D469" s="5" t="s">
        <v>309</v>
      </c>
      <c r="E469" s="5" t="s">
        <v>297</v>
      </c>
      <c r="F469" s="21" t="n">
        <v>3.5</v>
      </c>
      <c r="G469" s="21" t="n">
        <v>0</v>
      </c>
      <c r="H469" s="22" t="n">
        <f aca="false">F469+G469</f>
        <v>3.5</v>
      </c>
      <c r="I469" s="13" t="n">
        <f aca="false">INDEX(RM_Rates!$F$5:$F$137,MATCH(C469,RM_Rates!$A$5:$A$137,0))</f>
        <v>1.40752077102661</v>
      </c>
      <c r="J469" s="22" t="n">
        <f aca="false">H469*I469</f>
        <v>4.92632269859314</v>
      </c>
    </row>
    <row r="470" customFormat="false" ht="15" hidden="false" customHeight="false" outlineLevel="0" collapsed="false">
      <c r="A470" s="5" t="s">
        <v>503</v>
      </c>
      <c r="B470" s="2" t="s">
        <v>672</v>
      </c>
      <c r="C470" s="5" t="s">
        <v>189</v>
      </c>
      <c r="D470" s="5" t="s">
        <v>190</v>
      </c>
      <c r="E470" s="5" t="s">
        <v>60</v>
      </c>
      <c r="F470" s="21" t="n">
        <v>0.349999994039536</v>
      </c>
      <c r="G470" s="21" t="n">
        <v>0</v>
      </c>
      <c r="H470" s="22" t="n">
        <f aca="false">F470+G470</f>
        <v>0.349999994039536</v>
      </c>
      <c r="I470" s="13" t="n">
        <f aca="false">INDEX(RM_Rates!$F$5:$F$137,MATCH(C470,RM_Rates!$A$5:$A$137,0))</f>
        <v>0.568400025367737</v>
      </c>
      <c r="J470" s="22" t="n">
        <f aca="false">H470*I470</f>
        <v>0.19894000549078</v>
      </c>
    </row>
    <row r="471" customFormat="false" ht="15" hidden="false" customHeight="false" outlineLevel="0" collapsed="false">
      <c r="A471" s="5" t="s">
        <v>505</v>
      </c>
      <c r="B471" s="2" t="s">
        <v>673</v>
      </c>
      <c r="C471" s="5" t="s">
        <v>102</v>
      </c>
      <c r="D471" s="5" t="s">
        <v>103</v>
      </c>
      <c r="E471" s="5" t="s">
        <v>72</v>
      </c>
      <c r="F471" s="21" t="n">
        <v>1227</v>
      </c>
      <c r="G471" s="21" t="n">
        <v>6.13500022888184</v>
      </c>
      <c r="H471" s="22" t="n">
        <f aca="false">F471+G471</f>
        <v>1233.13500022888</v>
      </c>
      <c r="I471" s="13" t="n">
        <f aca="false">INDEX(RM_Rates!$F$5:$F$137,MATCH(C471,RM_Rates!$A$5:$A$137,0))</f>
        <v>1.975162</v>
      </c>
      <c r="J471" s="22" t="n">
        <f aca="false">H471*I471</f>
        <v>2435.64139332208</v>
      </c>
    </row>
    <row r="472" customFormat="false" ht="15" hidden="false" customHeight="false" outlineLevel="0" collapsed="false">
      <c r="A472" s="5" t="s">
        <v>505</v>
      </c>
      <c r="B472" s="2" t="s">
        <v>673</v>
      </c>
      <c r="C472" s="5" t="s">
        <v>328</v>
      </c>
      <c r="D472" s="5" t="s">
        <v>329</v>
      </c>
      <c r="E472" s="5" t="s">
        <v>72</v>
      </c>
      <c r="F472" s="21" t="n">
        <v>128.990997314453</v>
      </c>
      <c r="G472" s="21" t="n">
        <v>6.44999980926514</v>
      </c>
      <c r="H472" s="22" t="n">
        <f aca="false">F472+G472</f>
        <v>135.440997123718</v>
      </c>
      <c r="I472" s="13" t="n">
        <f aca="false">INDEX(RM_Rates!$F$5:$F$137,MATCH(C472,RM_Rates!$A$5:$A$137,0))</f>
        <v>0.821246385574341</v>
      </c>
      <c r="J472" s="22" t="n">
        <f aca="false">H472*I472</f>
        <v>111.230429346438</v>
      </c>
    </row>
    <row r="473" customFormat="false" ht="15" hidden="false" customHeight="false" outlineLevel="0" collapsed="false">
      <c r="A473" s="5" t="s">
        <v>505</v>
      </c>
      <c r="B473" s="2" t="s">
        <v>673</v>
      </c>
      <c r="C473" s="5" t="s">
        <v>312</v>
      </c>
      <c r="D473" s="5" t="s">
        <v>313</v>
      </c>
      <c r="E473" s="5" t="s">
        <v>72</v>
      </c>
      <c r="F473" s="21" t="n">
        <v>267</v>
      </c>
      <c r="G473" s="21" t="n">
        <v>13.3499994277954</v>
      </c>
      <c r="H473" s="22" t="n">
        <f aca="false">F473+G473</f>
        <v>280.349999427795</v>
      </c>
      <c r="I473" s="13" t="n">
        <f aca="false">INDEX(RM_Rates!$F$5:$F$137,MATCH(C473,RM_Rates!$A$5:$A$137,0))</f>
        <v>0.600000023841858</v>
      </c>
      <c r="J473" s="22" t="n">
        <f aca="false">H473*I473</f>
        <v>168.210006340742</v>
      </c>
    </row>
    <row r="474" customFormat="false" ht="15" hidden="false" customHeight="false" outlineLevel="0" collapsed="false">
      <c r="A474" s="5" t="s">
        <v>505</v>
      </c>
      <c r="B474" s="2" t="s">
        <v>673</v>
      </c>
      <c r="C474" s="5" t="s">
        <v>158</v>
      </c>
      <c r="D474" s="5" t="s">
        <v>159</v>
      </c>
      <c r="E474" s="5" t="s">
        <v>72</v>
      </c>
      <c r="F474" s="21" t="n">
        <v>69.8999938964844</v>
      </c>
      <c r="G474" s="21" t="n">
        <v>0.699000000953674</v>
      </c>
      <c r="H474" s="22" t="n">
        <f aca="false">F474+G474</f>
        <v>70.5989938974381</v>
      </c>
      <c r="I474" s="13" t="n">
        <f aca="false">INDEX(RM_Rates!$F$5:$F$137,MATCH(C474,RM_Rates!$A$5:$A$137,0))</f>
        <v>3.00841188430786</v>
      </c>
      <c r="J474" s="22" t="n">
        <f aca="false">H474*I474</f>
        <v>212.390852261231</v>
      </c>
    </row>
    <row r="475" customFormat="false" ht="15" hidden="false" customHeight="false" outlineLevel="0" collapsed="false">
      <c r="A475" s="5" t="s">
        <v>505</v>
      </c>
      <c r="B475" s="2" t="s">
        <v>673</v>
      </c>
      <c r="C475" s="5" t="s">
        <v>220</v>
      </c>
      <c r="D475" s="5" t="s">
        <v>221</v>
      </c>
      <c r="E475" s="5" t="s">
        <v>72</v>
      </c>
      <c r="F475" s="21" t="n">
        <v>137.639999389648</v>
      </c>
      <c r="G475" s="21" t="n">
        <v>0</v>
      </c>
      <c r="H475" s="22" t="n">
        <f aca="false">F475+G475</f>
        <v>137.639999389648</v>
      </c>
      <c r="I475" s="13" t="n">
        <f aca="false">INDEX(RM_Rates!$F$5:$F$137,MATCH(C475,RM_Rates!$A$5:$A$137,0))</f>
        <v>0.379036813974381</v>
      </c>
      <c r="J475" s="22" t="n">
        <f aca="false">H475*I475</f>
        <v>52.1706268440879</v>
      </c>
    </row>
    <row r="476" customFormat="false" ht="15" hidden="false" customHeight="false" outlineLevel="0" collapsed="false">
      <c r="A476" s="5" t="s">
        <v>505</v>
      </c>
      <c r="B476" s="2" t="s">
        <v>673</v>
      </c>
      <c r="C476" s="5" t="s">
        <v>228</v>
      </c>
      <c r="D476" s="5" t="s">
        <v>229</v>
      </c>
      <c r="E476" s="5" t="s">
        <v>72</v>
      </c>
      <c r="F476" s="21" t="n">
        <v>14.8000001907349</v>
      </c>
      <c r="G476" s="21" t="n">
        <v>0</v>
      </c>
      <c r="H476" s="22" t="n">
        <f aca="false">F476+G476</f>
        <v>14.8000001907349</v>
      </c>
      <c r="I476" s="13" t="n">
        <f aca="false">INDEX(RM_Rates!$F$5:$F$137,MATCH(C476,RM_Rates!$A$5:$A$137,0))</f>
        <v>0.742858171463013</v>
      </c>
      <c r="J476" s="22" t="n">
        <f aca="false">H476*I476</f>
        <v>10.9943010793416</v>
      </c>
    </row>
    <row r="477" customFormat="false" ht="15" hidden="false" customHeight="false" outlineLevel="0" collapsed="false">
      <c r="A477" s="5" t="s">
        <v>505</v>
      </c>
      <c r="B477" s="2" t="s">
        <v>673</v>
      </c>
      <c r="C477" s="5" t="s">
        <v>246</v>
      </c>
      <c r="D477" s="5" t="s">
        <v>247</v>
      </c>
      <c r="E477" s="5" t="s">
        <v>72</v>
      </c>
      <c r="F477" s="21" t="n">
        <v>625.200012207031</v>
      </c>
      <c r="G477" s="21" t="n">
        <v>1.56299996376038</v>
      </c>
      <c r="H477" s="22" t="n">
        <f aca="false">F477+G477</f>
        <v>626.763012170791</v>
      </c>
      <c r="I477" s="13" t="n">
        <f aca="false">INDEX(RM_Rates!$F$5:$F$137,MATCH(C477,RM_Rates!$A$5:$A$137,0))</f>
        <v>0.420493960380554</v>
      </c>
      <c r="J477" s="22" t="n">
        <f aca="false">H477*I477</f>
        <v>263.550061207741</v>
      </c>
    </row>
    <row r="478" customFormat="false" ht="15" hidden="false" customHeight="false" outlineLevel="0" collapsed="false">
      <c r="A478" s="5" t="s">
        <v>505</v>
      </c>
      <c r="B478" s="2" t="s">
        <v>673</v>
      </c>
      <c r="C478" s="5" t="s">
        <v>232</v>
      </c>
      <c r="D478" s="5" t="s">
        <v>233</v>
      </c>
      <c r="E478" s="5" t="s">
        <v>72</v>
      </c>
      <c r="F478" s="21" t="n">
        <v>10.0031995773315</v>
      </c>
      <c r="G478" s="21" t="n">
        <v>0.0249999985098839</v>
      </c>
      <c r="H478" s="22" t="n">
        <f aca="false">F478+G478</f>
        <v>10.0281995758414</v>
      </c>
      <c r="I478" s="13" t="n">
        <f aca="false">INDEX(RM_Rates!$F$5:$F$137,MATCH(C478,RM_Rates!$A$5:$A$137,0))</f>
        <v>1.45200002193451</v>
      </c>
      <c r="J478" s="22" t="n">
        <f aca="false">H478*I478</f>
        <v>14.5609460040853</v>
      </c>
    </row>
    <row r="479" customFormat="false" ht="15" hidden="false" customHeight="false" outlineLevel="0" collapsed="false">
      <c r="A479" s="5" t="s">
        <v>505</v>
      </c>
      <c r="B479" s="2" t="s">
        <v>673</v>
      </c>
      <c r="C479" s="5" t="s">
        <v>275</v>
      </c>
      <c r="D479" s="5" t="s">
        <v>276</v>
      </c>
      <c r="E479" s="5" t="s">
        <v>72</v>
      </c>
      <c r="F479" s="21" t="n">
        <v>1645.90002441406</v>
      </c>
      <c r="G479" s="21" t="n">
        <v>16.4589996337891</v>
      </c>
      <c r="H479" s="22" t="n">
        <f aca="false">F479+G479</f>
        <v>1662.35902404785</v>
      </c>
      <c r="I479" s="13" t="n">
        <f aca="false">INDEX(RM_Rates!$F$5:$F$137,MATCH(C479,RM_Rates!$A$5:$A$137,0))</f>
        <v>0.367191910743713</v>
      </c>
      <c r="J479" s="22" t="n">
        <f aca="false">H479*I479</f>
        <v>610.404786382184</v>
      </c>
    </row>
    <row r="480" customFormat="false" ht="15" hidden="false" customHeight="false" outlineLevel="0" collapsed="false">
      <c r="A480" s="5" t="s">
        <v>505</v>
      </c>
      <c r="B480" s="2" t="s">
        <v>673</v>
      </c>
      <c r="C480" s="5" t="s">
        <v>255</v>
      </c>
      <c r="D480" s="5" t="s">
        <v>256</v>
      </c>
      <c r="E480" s="5" t="s">
        <v>166</v>
      </c>
      <c r="F480" s="21" t="n">
        <v>2</v>
      </c>
      <c r="G480" s="21" t="n">
        <v>0</v>
      </c>
      <c r="H480" s="22" t="n">
        <f aca="false">F480+G480</f>
        <v>2</v>
      </c>
      <c r="I480" s="13" t="n">
        <f aca="false">INDEX(RM_Rates!$F$5:$F$137,MATCH(C480,RM_Rates!$A$5:$A$137,0))</f>
        <v>114.500701904297</v>
      </c>
      <c r="J480" s="22" t="n">
        <f aca="false">H480*I480</f>
        <v>229.001403808594</v>
      </c>
    </row>
    <row r="481" customFormat="false" ht="15" hidden="false" customHeight="false" outlineLevel="0" collapsed="false">
      <c r="A481" s="5" t="s">
        <v>505</v>
      </c>
      <c r="B481" s="2" t="s">
        <v>673</v>
      </c>
      <c r="C481" s="5" t="s">
        <v>173</v>
      </c>
      <c r="D481" s="5" t="s">
        <v>174</v>
      </c>
      <c r="E481" s="5" t="s">
        <v>166</v>
      </c>
      <c r="F481" s="21" t="n">
        <v>4</v>
      </c>
      <c r="G481" s="21" t="n">
        <v>0</v>
      </c>
      <c r="H481" s="22" t="n">
        <f aca="false">F481+G481</f>
        <v>4</v>
      </c>
      <c r="I481" s="13" t="n">
        <f aca="false">INDEX(RM_Rates!$F$5:$F$137,MATCH(C481,RM_Rates!$A$5:$A$137,0))</f>
        <v>0.255849838256836</v>
      </c>
      <c r="J481" s="22" t="n">
        <f aca="false">H481*I481</f>
        <v>1.02339935302734</v>
      </c>
    </row>
    <row r="482" customFormat="false" ht="15" hidden="false" customHeight="false" outlineLevel="0" collapsed="false">
      <c r="A482" s="5" t="s">
        <v>505</v>
      </c>
      <c r="B482" s="2" t="s">
        <v>673</v>
      </c>
      <c r="C482" s="5" t="s">
        <v>189</v>
      </c>
      <c r="D482" s="5" t="s">
        <v>190</v>
      </c>
      <c r="E482" s="5" t="s">
        <v>60</v>
      </c>
      <c r="F482" s="21" t="n">
        <v>1.53999996185303</v>
      </c>
      <c r="G482" s="21" t="n">
        <v>0</v>
      </c>
      <c r="H482" s="22" t="n">
        <f aca="false">F482+G482</f>
        <v>1.53999996185303</v>
      </c>
      <c r="I482" s="13" t="n">
        <f aca="false">INDEX(RM_Rates!$F$5:$F$137,MATCH(C482,RM_Rates!$A$5:$A$137,0))</f>
        <v>0.568400025367737</v>
      </c>
      <c r="J482" s="22" t="n">
        <f aca="false">H482*I482</f>
        <v>0.875336017383576</v>
      </c>
    </row>
    <row r="483" customFormat="false" ht="15" hidden="false" customHeight="false" outlineLevel="0" collapsed="false">
      <c r="A483" s="5" t="s">
        <v>505</v>
      </c>
      <c r="B483" s="2" t="s">
        <v>673</v>
      </c>
      <c r="C483" s="5" t="s">
        <v>295</v>
      </c>
      <c r="D483" s="5" t="s">
        <v>296</v>
      </c>
      <c r="E483" s="5" t="s">
        <v>297</v>
      </c>
      <c r="F483" s="21" t="n">
        <v>12.6000003814697</v>
      </c>
      <c r="G483" s="21" t="n">
        <v>0</v>
      </c>
      <c r="H483" s="22" t="n">
        <f aca="false">F483+G483</f>
        <v>12.6000003814697</v>
      </c>
      <c r="I483" s="13" t="n">
        <f aca="false">INDEX(RM_Rates!$F$5:$F$137,MATCH(C483,RM_Rates!$A$5:$A$137,0))</f>
        <v>1.40752077102661</v>
      </c>
      <c r="J483" s="22" t="n">
        <f aca="false">H483*I483</f>
        <v>17.7347622518618</v>
      </c>
    </row>
    <row r="484" customFormat="false" ht="15" hidden="false" customHeight="false" outlineLevel="0" collapsed="false">
      <c r="A484" s="5" t="s">
        <v>507</v>
      </c>
      <c r="B484" s="2" t="s">
        <v>674</v>
      </c>
      <c r="C484" s="5" t="s">
        <v>128</v>
      </c>
      <c r="D484" s="5" t="s">
        <v>129</v>
      </c>
      <c r="E484" s="5" t="s">
        <v>72</v>
      </c>
      <c r="F484" s="21" t="n">
        <v>1227</v>
      </c>
      <c r="G484" s="21" t="n">
        <v>6.13500022888184</v>
      </c>
      <c r="H484" s="22" t="n">
        <f aca="false">F484+G484</f>
        <v>1233.13500022888</v>
      </c>
      <c r="I484" s="13" t="n">
        <f aca="false">INDEX(RM_Rates!$F$5:$F$137,MATCH(C484,RM_Rates!$A$5:$A$137,0))</f>
        <v>1.968214</v>
      </c>
      <c r="J484" s="22" t="n">
        <f aca="false">H484*I484</f>
        <v>2427.07357134049</v>
      </c>
    </row>
    <row r="485" customFormat="false" ht="15" hidden="false" customHeight="false" outlineLevel="0" collapsed="false">
      <c r="A485" s="5" t="s">
        <v>507</v>
      </c>
      <c r="B485" s="2" t="s">
        <v>674</v>
      </c>
      <c r="C485" s="5" t="s">
        <v>326</v>
      </c>
      <c r="D485" s="5" t="s">
        <v>327</v>
      </c>
      <c r="E485" s="5" t="s">
        <v>72</v>
      </c>
      <c r="F485" s="21" t="n">
        <v>87.6000061035156</v>
      </c>
      <c r="G485" s="21" t="n">
        <v>4.38000011444092</v>
      </c>
      <c r="H485" s="22" t="n">
        <f aca="false">F485+G485</f>
        <v>91.9800062179565</v>
      </c>
      <c r="I485" s="13" t="n">
        <f aca="false">INDEX(RM_Rates!$F$5:$F$137,MATCH(C485,RM_Rates!$A$5:$A$137,0))</f>
        <v>0.596000015735626</v>
      </c>
      <c r="J485" s="22" t="n">
        <f aca="false">H485*I485</f>
        <v>54.8200851532651</v>
      </c>
    </row>
    <row r="486" customFormat="false" ht="15" hidden="false" customHeight="false" outlineLevel="0" collapsed="false">
      <c r="A486" s="5" t="s">
        <v>507</v>
      </c>
      <c r="B486" s="2" t="s">
        <v>674</v>
      </c>
      <c r="C486" s="5" t="s">
        <v>324</v>
      </c>
      <c r="D486" s="5" t="s">
        <v>325</v>
      </c>
      <c r="E486" s="5" t="s">
        <v>72</v>
      </c>
      <c r="F486" s="21" t="n">
        <v>4.81799983978272</v>
      </c>
      <c r="G486" s="21" t="n">
        <v>0.239999994635582</v>
      </c>
      <c r="H486" s="22" t="n">
        <f aca="false">F486+G486</f>
        <v>5.0579998344183</v>
      </c>
      <c r="I486" s="13" t="n">
        <f aca="false">INDEX(RM_Rates!$F$5:$F$137,MATCH(C486,RM_Rates!$A$5:$A$137,0))</f>
        <v>1.35229277610779</v>
      </c>
      <c r="J486" s="22" t="n">
        <f aca="false">H486*I486</f>
        <v>6.83989663763827</v>
      </c>
    </row>
    <row r="487" customFormat="false" ht="15" hidden="false" customHeight="false" outlineLevel="0" collapsed="false">
      <c r="A487" s="5" t="s">
        <v>507</v>
      </c>
      <c r="B487" s="2" t="s">
        <v>674</v>
      </c>
      <c r="C487" s="5" t="s">
        <v>318</v>
      </c>
      <c r="D487" s="5" t="s">
        <v>319</v>
      </c>
      <c r="E487" s="5" t="s">
        <v>72</v>
      </c>
      <c r="F487" s="21" t="n">
        <v>0.437999993562698</v>
      </c>
      <c r="G487" s="21" t="n">
        <v>0.0219999998807907</v>
      </c>
      <c r="H487" s="22" t="n">
        <f aca="false">F487+G487</f>
        <v>0.459999993443489</v>
      </c>
      <c r="I487" s="13" t="n">
        <f aca="false">INDEX(RM_Rates!$F$5:$F$137,MATCH(C487,RM_Rates!$A$5:$A$137,0))</f>
        <v>1.6441433429718</v>
      </c>
      <c r="J487" s="22" t="n">
        <f aca="false">H487*I487</f>
        <v>0.756305926987184</v>
      </c>
    </row>
    <row r="488" customFormat="false" ht="15" hidden="false" customHeight="false" outlineLevel="0" collapsed="false">
      <c r="A488" s="5" t="s">
        <v>507</v>
      </c>
      <c r="B488" s="2" t="s">
        <v>674</v>
      </c>
      <c r="C488" s="5" t="s">
        <v>322</v>
      </c>
      <c r="D488" s="5" t="s">
        <v>323</v>
      </c>
      <c r="E488" s="5" t="s">
        <v>72</v>
      </c>
      <c r="F488" s="21" t="n">
        <v>0.437999993562698</v>
      </c>
      <c r="G488" s="21" t="n">
        <v>0.0219999998807907</v>
      </c>
      <c r="H488" s="22" t="n">
        <f aca="false">F488+G488</f>
        <v>0.459999993443489</v>
      </c>
      <c r="I488" s="13" t="n">
        <f aca="false">INDEX(RM_Rates!$F$5:$F$137,MATCH(C488,RM_Rates!$A$5:$A$137,0))</f>
        <v>1.6441433429718</v>
      </c>
      <c r="J488" s="22" t="n">
        <f aca="false">H488*I488</f>
        <v>0.756305926987184</v>
      </c>
    </row>
    <row r="489" customFormat="false" ht="15" hidden="false" customHeight="false" outlineLevel="0" collapsed="false">
      <c r="A489" s="5" t="s">
        <v>507</v>
      </c>
      <c r="B489" s="2" t="s">
        <v>674</v>
      </c>
      <c r="C489" s="5" t="s">
        <v>316</v>
      </c>
      <c r="D489" s="5" t="s">
        <v>317</v>
      </c>
      <c r="E489" s="5" t="s">
        <v>72</v>
      </c>
      <c r="F489" s="21" t="n">
        <v>0.437999993562698</v>
      </c>
      <c r="G489" s="21" t="n">
        <v>0.0219999998807907</v>
      </c>
      <c r="H489" s="22" t="n">
        <f aca="false">F489+G489</f>
        <v>0.459999993443489</v>
      </c>
      <c r="I489" s="13" t="n">
        <f aca="false">INDEX(RM_Rates!$F$5:$F$137,MATCH(C489,RM_Rates!$A$5:$A$137,0))</f>
        <v>1.6441433429718</v>
      </c>
      <c r="J489" s="22" t="n">
        <f aca="false">H489*I489</f>
        <v>0.756305926987184</v>
      </c>
    </row>
    <row r="490" customFormat="false" ht="15" hidden="false" customHeight="false" outlineLevel="0" collapsed="false">
      <c r="A490" s="5" t="s">
        <v>507</v>
      </c>
      <c r="B490" s="2" t="s">
        <v>674</v>
      </c>
      <c r="C490" s="5" t="s">
        <v>222</v>
      </c>
      <c r="D490" s="5" t="s">
        <v>223</v>
      </c>
      <c r="E490" s="5" t="s">
        <v>72</v>
      </c>
      <c r="F490" s="21" t="n">
        <v>17.7600002288818</v>
      </c>
      <c r="G490" s="21" t="n">
        <v>0</v>
      </c>
      <c r="H490" s="22" t="n">
        <f aca="false">F490+G490</f>
        <v>17.7600002288818</v>
      </c>
      <c r="I490" s="13" t="n">
        <f aca="false">INDEX(RM_Rates!$F$5:$F$137,MATCH(C490,RM_Rates!$A$5:$A$137,0))</f>
        <v>0.379036813974381</v>
      </c>
      <c r="J490" s="22" t="n">
        <f aca="false">H490*I490</f>
        <v>6.73169390293964</v>
      </c>
    </row>
    <row r="491" customFormat="false" ht="15" hidden="false" customHeight="false" outlineLevel="0" collapsed="false">
      <c r="A491" s="5" t="s">
        <v>507</v>
      </c>
      <c r="B491" s="2" t="s">
        <v>674</v>
      </c>
      <c r="C491" s="5" t="s">
        <v>224</v>
      </c>
      <c r="D491" s="5" t="s">
        <v>225</v>
      </c>
      <c r="E491" s="5" t="s">
        <v>72</v>
      </c>
      <c r="F491" s="21" t="n">
        <v>4.69999980926514</v>
      </c>
      <c r="G491" s="21" t="n">
        <v>0</v>
      </c>
      <c r="H491" s="22" t="n">
        <f aca="false">F491+G491</f>
        <v>4.69999980926514</v>
      </c>
      <c r="I491" s="13" t="n">
        <f aca="false">INDEX(RM_Rates!$F$5:$F$137,MATCH(C491,RM_Rates!$A$5:$A$137,0))</f>
        <v>0.742858171463013</v>
      </c>
      <c r="J491" s="22" t="n">
        <f aca="false">H491*I491</f>
        <v>3.49143326418721</v>
      </c>
    </row>
    <row r="492" customFormat="false" ht="15" hidden="false" customHeight="false" outlineLevel="0" collapsed="false">
      <c r="A492" s="5" t="s">
        <v>507</v>
      </c>
      <c r="B492" s="2" t="s">
        <v>674</v>
      </c>
      <c r="C492" s="5" t="s">
        <v>240</v>
      </c>
      <c r="D492" s="5" t="s">
        <v>241</v>
      </c>
      <c r="E492" s="5" t="s">
        <v>72</v>
      </c>
      <c r="F492" s="21" t="n">
        <v>291.200012207031</v>
      </c>
      <c r="G492" s="21" t="n">
        <v>5.82400035858154</v>
      </c>
      <c r="H492" s="22" t="n">
        <f aca="false">F492+G492</f>
        <v>297.024012565613</v>
      </c>
      <c r="I492" s="13" t="n">
        <f aca="false">INDEX(RM_Rates!$F$5:$F$137,MATCH(C492,RM_Rates!$A$5:$A$137,0))</f>
        <v>0.363999992609024</v>
      </c>
      <c r="J492" s="22" t="n">
        <f aca="false">H492*I492</f>
        <v>108.116738378586</v>
      </c>
    </row>
    <row r="493" customFormat="false" ht="15" hidden="false" customHeight="false" outlineLevel="0" collapsed="false">
      <c r="A493" s="5" t="s">
        <v>507</v>
      </c>
      <c r="B493" s="2" t="s">
        <v>674</v>
      </c>
      <c r="C493" s="5" t="s">
        <v>271</v>
      </c>
      <c r="D493" s="5" t="s">
        <v>272</v>
      </c>
      <c r="E493" s="5" t="s">
        <v>72</v>
      </c>
      <c r="F493" s="21" t="n">
        <v>620.099975585938</v>
      </c>
      <c r="G493" s="21" t="n">
        <v>6.20100021362305</v>
      </c>
      <c r="H493" s="22" t="n">
        <f aca="false">F493+G493</f>
        <v>626.300975799561</v>
      </c>
      <c r="I493" s="13" t="n">
        <f aca="false">INDEX(RM_Rates!$F$5:$F$137,MATCH(C493,RM_Rates!$A$5:$A$137,0))</f>
        <v>0.388907551765442</v>
      </c>
      <c r="J493" s="22" t="n">
        <f aca="false">H493*I493</f>
        <v>243.573179166515</v>
      </c>
    </row>
    <row r="494" customFormat="false" ht="15" hidden="false" customHeight="false" outlineLevel="0" collapsed="false">
      <c r="A494" s="5" t="s">
        <v>507</v>
      </c>
      <c r="B494" s="2" t="s">
        <v>674</v>
      </c>
      <c r="C494" s="5" t="s">
        <v>287</v>
      </c>
      <c r="D494" s="5" t="s">
        <v>288</v>
      </c>
      <c r="E494" s="5" t="s">
        <v>166</v>
      </c>
      <c r="F494" s="21" t="n">
        <v>1</v>
      </c>
      <c r="G494" s="21" t="n">
        <v>0</v>
      </c>
      <c r="H494" s="22" t="n">
        <f aca="false">F494+G494</f>
        <v>1</v>
      </c>
      <c r="I494" s="13" t="n">
        <f aca="false">INDEX(RM_Rates!$F$5:$F$137,MATCH(C494,RM_Rates!$A$5:$A$137,0))</f>
        <v>57.848518371582</v>
      </c>
      <c r="J494" s="22" t="n">
        <f aca="false">H494*I494</f>
        <v>57.848518371582</v>
      </c>
    </row>
    <row r="495" customFormat="false" ht="15" hidden="false" customHeight="false" outlineLevel="0" collapsed="false">
      <c r="A495" s="5" t="s">
        <v>507</v>
      </c>
      <c r="B495" s="2" t="s">
        <v>674</v>
      </c>
      <c r="C495" s="5" t="s">
        <v>171</v>
      </c>
      <c r="D495" s="5" t="s">
        <v>172</v>
      </c>
      <c r="E495" s="5" t="s">
        <v>166</v>
      </c>
      <c r="F495" s="21" t="n">
        <v>2</v>
      </c>
      <c r="G495" s="21" t="n">
        <v>0</v>
      </c>
      <c r="H495" s="22" t="n">
        <f aca="false">F495+G495</f>
        <v>2</v>
      </c>
      <c r="I495" s="13" t="n">
        <f aca="false">INDEX(RM_Rates!$F$5:$F$137,MATCH(C495,RM_Rates!$A$5:$A$137,0))</f>
        <v>0.124766282737255</v>
      </c>
      <c r="J495" s="22" t="n">
        <f aca="false">H495*I495</f>
        <v>0.24953256547451</v>
      </c>
    </row>
    <row r="496" customFormat="false" ht="15" hidden="false" customHeight="false" outlineLevel="0" collapsed="false">
      <c r="A496" s="5" t="s">
        <v>507</v>
      </c>
      <c r="B496" s="2" t="s">
        <v>674</v>
      </c>
      <c r="C496" s="5" t="s">
        <v>308</v>
      </c>
      <c r="D496" s="5" t="s">
        <v>309</v>
      </c>
      <c r="E496" s="5" t="s">
        <v>297</v>
      </c>
      <c r="F496" s="21" t="n">
        <v>5</v>
      </c>
      <c r="G496" s="21" t="n">
        <v>0</v>
      </c>
      <c r="H496" s="22" t="n">
        <f aca="false">F496+G496</f>
        <v>5</v>
      </c>
      <c r="I496" s="13" t="n">
        <f aca="false">INDEX(RM_Rates!$F$5:$F$137,MATCH(C496,RM_Rates!$A$5:$A$137,0))</f>
        <v>1.40752077102661</v>
      </c>
      <c r="J496" s="22" t="n">
        <f aca="false">H496*I496</f>
        <v>7.03760385513305</v>
      </c>
    </row>
    <row r="497" customFormat="false" ht="15" hidden="false" customHeight="false" outlineLevel="0" collapsed="false">
      <c r="A497" s="5" t="s">
        <v>507</v>
      </c>
      <c r="B497" s="2" t="s">
        <v>674</v>
      </c>
      <c r="C497" s="5" t="s">
        <v>189</v>
      </c>
      <c r="D497" s="5" t="s">
        <v>190</v>
      </c>
      <c r="E497" s="5" t="s">
        <v>60</v>
      </c>
      <c r="F497" s="21" t="n">
        <v>0.5</v>
      </c>
      <c r="G497" s="21" t="n">
        <v>0</v>
      </c>
      <c r="H497" s="22" t="n">
        <f aca="false">F497+G497</f>
        <v>0.5</v>
      </c>
      <c r="I497" s="13" t="n">
        <f aca="false">INDEX(RM_Rates!$F$5:$F$137,MATCH(C497,RM_Rates!$A$5:$A$137,0))</f>
        <v>0.568400025367737</v>
      </c>
      <c r="J497" s="22" t="n">
        <f aca="false">H497*I497</f>
        <v>0.284200012683869</v>
      </c>
    </row>
    <row r="498" customFormat="false" ht="15" hidden="false" customHeight="false" outlineLevel="0" collapsed="false">
      <c r="A498" s="5" t="s">
        <v>510</v>
      </c>
      <c r="B498" s="2" t="s">
        <v>675</v>
      </c>
      <c r="C498" s="5" t="s">
        <v>86</v>
      </c>
      <c r="D498" s="5" t="s">
        <v>87</v>
      </c>
      <c r="E498" s="5" t="s">
        <v>72</v>
      </c>
      <c r="F498" s="21" t="n">
        <v>63.8999977111816</v>
      </c>
      <c r="G498" s="21" t="n">
        <v>0.321000009775162</v>
      </c>
      <c r="H498" s="22" t="n">
        <f aca="false">F498+G498</f>
        <v>64.2209977209568</v>
      </c>
      <c r="I498" s="13" t="n">
        <f aca="false">INDEX(RM_Rates!$F$5:$F$137,MATCH(C498,RM_Rates!$A$5:$A$137,0))</f>
        <v>1.997936</v>
      </c>
      <c r="J498" s="22" t="n">
        <f aca="false">H498*I498</f>
        <v>128.309443302617</v>
      </c>
    </row>
    <row r="499" customFormat="false" ht="15" hidden="false" customHeight="false" outlineLevel="0" collapsed="false">
      <c r="A499" s="5" t="s">
        <v>510</v>
      </c>
      <c r="B499" s="2" t="s">
        <v>675</v>
      </c>
      <c r="C499" s="5" t="s">
        <v>326</v>
      </c>
      <c r="D499" s="5" t="s">
        <v>327</v>
      </c>
      <c r="E499" s="5" t="s">
        <v>72</v>
      </c>
      <c r="F499" s="21" t="n">
        <v>18.2999992370605</v>
      </c>
      <c r="G499" s="21" t="n">
        <v>0.915000021457672</v>
      </c>
      <c r="H499" s="22" t="n">
        <f aca="false">F499+G499</f>
        <v>19.2149992585182</v>
      </c>
      <c r="I499" s="13" t="n">
        <f aca="false">INDEX(RM_Rates!$F$5:$F$137,MATCH(C499,RM_Rates!$A$5:$A$137,0))</f>
        <v>0.596000015735626</v>
      </c>
      <c r="J499" s="22" t="n">
        <f aca="false">H499*I499</f>
        <v>11.4521398604369</v>
      </c>
    </row>
    <row r="500" customFormat="false" ht="15" hidden="false" customHeight="false" outlineLevel="0" collapsed="false">
      <c r="A500" s="5" t="s">
        <v>510</v>
      </c>
      <c r="B500" s="2" t="s">
        <v>675</v>
      </c>
      <c r="C500" s="5" t="s">
        <v>324</v>
      </c>
      <c r="D500" s="5" t="s">
        <v>325</v>
      </c>
      <c r="E500" s="5" t="s">
        <v>72</v>
      </c>
      <c r="F500" s="21" t="n">
        <v>1.00650000572205</v>
      </c>
      <c r="G500" s="21" t="n">
        <v>0.051000002771616</v>
      </c>
      <c r="H500" s="22" t="n">
        <f aca="false">F500+G500</f>
        <v>1.05750000849367</v>
      </c>
      <c r="I500" s="13" t="n">
        <f aca="false">INDEX(RM_Rates!$F$5:$F$137,MATCH(C500,RM_Rates!$A$5:$A$137,0))</f>
        <v>1.35229277610779</v>
      </c>
      <c r="J500" s="22" t="n">
        <f aca="false">H500*I500</f>
        <v>1.43004962221991</v>
      </c>
    </row>
    <row r="501" customFormat="false" ht="15" hidden="false" customHeight="false" outlineLevel="0" collapsed="false">
      <c r="A501" s="5" t="s">
        <v>510</v>
      </c>
      <c r="B501" s="2" t="s">
        <v>675</v>
      </c>
      <c r="C501" s="5" t="s">
        <v>318</v>
      </c>
      <c r="D501" s="5" t="s">
        <v>319</v>
      </c>
      <c r="E501" s="5" t="s">
        <v>72</v>
      </c>
      <c r="F501" s="21" t="n">
        <v>0.091499999165535</v>
      </c>
      <c r="G501" s="21" t="n">
        <v>0.00499999988824129</v>
      </c>
      <c r="H501" s="22" t="n">
        <f aca="false">F501+G501</f>
        <v>0.0964999990537763</v>
      </c>
      <c r="I501" s="13" t="n">
        <f aca="false">INDEX(RM_Rates!$F$5:$F$137,MATCH(C501,RM_Rates!$A$5:$A$137,0))</f>
        <v>1.6441433429718</v>
      </c>
      <c r="J501" s="22" t="n">
        <f aca="false">H501*I501</f>
        <v>0.158659831041051</v>
      </c>
    </row>
    <row r="502" customFormat="false" ht="15" hidden="false" customHeight="false" outlineLevel="0" collapsed="false">
      <c r="A502" s="5" t="s">
        <v>510</v>
      </c>
      <c r="B502" s="2" t="s">
        <v>675</v>
      </c>
      <c r="C502" s="5" t="s">
        <v>322</v>
      </c>
      <c r="D502" s="5" t="s">
        <v>323</v>
      </c>
      <c r="E502" s="5" t="s">
        <v>72</v>
      </c>
      <c r="F502" s="21" t="n">
        <v>0.091499999165535</v>
      </c>
      <c r="G502" s="21" t="n">
        <v>0.00499999988824129</v>
      </c>
      <c r="H502" s="22" t="n">
        <f aca="false">F502+G502</f>
        <v>0.0964999990537763</v>
      </c>
      <c r="I502" s="13" t="n">
        <f aca="false">INDEX(RM_Rates!$F$5:$F$137,MATCH(C502,RM_Rates!$A$5:$A$137,0))</f>
        <v>1.6441433429718</v>
      </c>
      <c r="J502" s="22" t="n">
        <f aca="false">H502*I502</f>
        <v>0.158659831041051</v>
      </c>
    </row>
    <row r="503" customFormat="false" ht="15" hidden="false" customHeight="false" outlineLevel="0" collapsed="false">
      <c r="A503" s="5" t="s">
        <v>510</v>
      </c>
      <c r="B503" s="2" t="s">
        <v>675</v>
      </c>
      <c r="C503" s="5" t="s">
        <v>316</v>
      </c>
      <c r="D503" s="5" t="s">
        <v>317</v>
      </c>
      <c r="E503" s="5" t="s">
        <v>72</v>
      </c>
      <c r="F503" s="21" t="n">
        <v>0.091499999165535</v>
      </c>
      <c r="G503" s="21" t="n">
        <v>0.00499999988824129</v>
      </c>
      <c r="H503" s="22" t="n">
        <f aca="false">F503+G503</f>
        <v>0.0964999990537763</v>
      </c>
      <c r="I503" s="13" t="n">
        <f aca="false">INDEX(RM_Rates!$F$5:$F$137,MATCH(C503,RM_Rates!$A$5:$A$137,0))</f>
        <v>1.6441433429718</v>
      </c>
      <c r="J503" s="22" t="n">
        <f aca="false">H503*I503</f>
        <v>0.158659831041051</v>
      </c>
    </row>
    <row r="504" customFormat="false" ht="15" hidden="false" customHeight="false" outlineLevel="0" collapsed="false">
      <c r="A504" s="5" t="s">
        <v>510</v>
      </c>
      <c r="B504" s="2" t="s">
        <v>675</v>
      </c>
      <c r="C504" s="5" t="s">
        <v>240</v>
      </c>
      <c r="D504" s="5" t="s">
        <v>241</v>
      </c>
      <c r="E504" s="5" t="s">
        <v>72</v>
      </c>
      <c r="F504" s="21" t="n">
        <v>150.100006103516</v>
      </c>
      <c r="G504" s="21" t="n">
        <v>3.0019998550415</v>
      </c>
      <c r="H504" s="22" t="n">
        <f aca="false">F504+G504</f>
        <v>153.102005958558</v>
      </c>
      <c r="I504" s="13" t="n">
        <f aca="false">INDEX(RM_Rates!$F$5:$F$137,MATCH(C504,RM_Rates!$A$5:$A$137,0))</f>
        <v>0.363999992609024</v>
      </c>
      <c r="J504" s="22" t="n">
        <f aca="false">H504*I504</f>
        <v>55.7291290373417</v>
      </c>
    </row>
    <row r="505" customFormat="false" ht="15" hidden="false" customHeight="false" outlineLevel="0" collapsed="false">
      <c r="A505" s="5" t="s">
        <v>510</v>
      </c>
      <c r="B505" s="2" t="s">
        <v>675</v>
      </c>
      <c r="C505" s="5" t="s">
        <v>267</v>
      </c>
      <c r="D505" s="5" t="s">
        <v>268</v>
      </c>
      <c r="E505" s="5" t="s">
        <v>72</v>
      </c>
      <c r="F505" s="21" t="n">
        <v>150</v>
      </c>
      <c r="G505" s="21" t="n">
        <v>1.5</v>
      </c>
      <c r="H505" s="22" t="n">
        <f aca="false">F505+G505</f>
        <v>151.5</v>
      </c>
      <c r="I505" s="13" t="n">
        <f aca="false">INDEX(RM_Rates!$F$5:$F$137,MATCH(C505,RM_Rates!$A$5:$A$137,0))</f>
        <v>0.487615048885345</v>
      </c>
      <c r="J505" s="22" t="n">
        <f aca="false">H505*I505</f>
        <v>73.8736799061298</v>
      </c>
    </row>
    <row r="506" customFormat="false" ht="15" hidden="false" customHeight="false" outlineLevel="0" collapsed="false">
      <c r="A506" s="5" t="s">
        <v>510</v>
      </c>
      <c r="B506" s="2" t="s">
        <v>675</v>
      </c>
      <c r="C506" s="5" t="s">
        <v>279</v>
      </c>
      <c r="D506" s="5" t="s">
        <v>280</v>
      </c>
      <c r="E506" s="5" t="s">
        <v>166</v>
      </c>
      <c r="F506" s="21" t="n">
        <v>1</v>
      </c>
      <c r="G506" s="21" t="n">
        <v>0</v>
      </c>
      <c r="H506" s="22" t="n">
        <f aca="false">F506+G506</f>
        <v>1</v>
      </c>
      <c r="I506" s="13" t="n">
        <f aca="false">INDEX(RM_Rates!$F$5:$F$137,MATCH(C506,RM_Rates!$A$5:$A$137,0))</f>
        <v>17.5683555603027</v>
      </c>
      <c r="J506" s="22" t="n">
        <f aca="false">H506*I506</f>
        <v>17.5683555603027</v>
      </c>
    </row>
    <row r="507" customFormat="false" ht="15" hidden="false" customHeight="false" outlineLevel="0" collapsed="false">
      <c r="A507" s="5" t="s">
        <v>510</v>
      </c>
      <c r="B507" s="2" t="s">
        <v>675</v>
      </c>
      <c r="C507" s="5" t="s">
        <v>167</v>
      </c>
      <c r="D507" s="5" t="s">
        <v>168</v>
      </c>
      <c r="E507" s="5" t="s">
        <v>166</v>
      </c>
      <c r="F507" s="21" t="n">
        <v>2</v>
      </c>
      <c r="G507" s="21" t="n">
        <v>0</v>
      </c>
      <c r="H507" s="22" t="n">
        <f aca="false">F507+G507</f>
        <v>2</v>
      </c>
      <c r="I507" s="13" t="n">
        <f aca="false">INDEX(RM_Rates!$F$5:$F$137,MATCH(C507,RM_Rates!$A$5:$A$137,0))</f>
        <v>0.124766282737255</v>
      </c>
      <c r="J507" s="22" t="n">
        <f aca="false">H507*I507</f>
        <v>0.24953256547451</v>
      </c>
    </row>
    <row r="508" customFormat="false" ht="15" hidden="false" customHeight="false" outlineLevel="0" collapsed="false">
      <c r="A508" s="5" t="s">
        <v>510</v>
      </c>
      <c r="B508" s="2" t="s">
        <v>675</v>
      </c>
      <c r="C508" s="5" t="s">
        <v>306</v>
      </c>
      <c r="D508" s="5" t="s">
        <v>307</v>
      </c>
      <c r="E508" s="5" t="s">
        <v>297</v>
      </c>
      <c r="F508" s="21" t="n">
        <v>3.09999990463257</v>
      </c>
      <c r="G508" s="21" t="n">
        <v>0</v>
      </c>
      <c r="H508" s="22" t="n">
        <f aca="false">F508+G508</f>
        <v>3.09999990463257</v>
      </c>
      <c r="I508" s="13" t="n">
        <f aca="false">INDEX(RM_Rates!$F$5:$F$137,MATCH(C508,RM_Rates!$A$5:$A$137,0))</f>
        <v>1.40752077102661</v>
      </c>
      <c r="J508" s="22" t="n">
        <f aca="false">H508*I508</f>
        <v>4.36331425595085</v>
      </c>
    </row>
    <row r="509" customFormat="false" ht="15" hidden="false" customHeight="false" outlineLevel="0" collapsed="false">
      <c r="A509" s="5" t="s">
        <v>510</v>
      </c>
      <c r="B509" s="2" t="s">
        <v>675</v>
      </c>
      <c r="C509" s="5" t="s">
        <v>189</v>
      </c>
      <c r="D509" s="5" t="s">
        <v>190</v>
      </c>
      <c r="E509" s="5" t="s">
        <v>60</v>
      </c>
      <c r="F509" s="21" t="n">
        <v>0.200000002980232</v>
      </c>
      <c r="G509" s="21" t="n">
        <v>0</v>
      </c>
      <c r="H509" s="22" t="n">
        <f aca="false">F509+G509</f>
        <v>0.200000002980232</v>
      </c>
      <c r="I509" s="13" t="n">
        <f aca="false">INDEX(RM_Rates!$F$5:$F$137,MATCH(C509,RM_Rates!$A$5:$A$137,0))</f>
        <v>0.568400025367737</v>
      </c>
      <c r="J509" s="22" t="n">
        <f aca="false">H509*I509</f>
        <v>0.113680006767511</v>
      </c>
    </row>
    <row r="510" customFormat="false" ht="15" hidden="false" customHeight="false" outlineLevel="0" collapsed="false">
      <c r="A510" s="5" t="s">
        <v>512</v>
      </c>
      <c r="B510" s="2" t="s">
        <v>676</v>
      </c>
      <c r="C510" s="5" t="s">
        <v>88</v>
      </c>
      <c r="D510" s="5" t="s">
        <v>89</v>
      </c>
      <c r="E510" s="5" t="s">
        <v>72</v>
      </c>
      <c r="F510" s="21" t="n">
        <v>100.5</v>
      </c>
      <c r="G510" s="21" t="n">
        <v>0.504000008106232</v>
      </c>
      <c r="H510" s="22" t="n">
        <f aca="false">F510+G510</f>
        <v>101.004000008106</v>
      </c>
      <c r="I510" s="13" t="n">
        <f aca="false">INDEX(RM_Rates!$F$5:$F$137,MATCH(C510,RM_Rates!$A$5:$A$137,0))</f>
        <v>2.003726</v>
      </c>
      <c r="J510" s="22" t="n">
        <f aca="false">H510*I510</f>
        <v>202.384340920243</v>
      </c>
    </row>
    <row r="511" customFormat="false" ht="15" hidden="false" customHeight="false" outlineLevel="0" collapsed="false">
      <c r="A511" s="5" t="s">
        <v>512</v>
      </c>
      <c r="B511" s="2" t="s">
        <v>676</v>
      </c>
      <c r="C511" s="5" t="s">
        <v>326</v>
      </c>
      <c r="D511" s="5" t="s">
        <v>327</v>
      </c>
      <c r="E511" s="5" t="s">
        <v>72</v>
      </c>
      <c r="F511" s="21" t="n">
        <v>21.5999984741211</v>
      </c>
      <c r="G511" s="21" t="n">
        <v>1.08000004291534</v>
      </c>
      <c r="H511" s="22" t="n">
        <f aca="false">F511+G511</f>
        <v>22.6799985170364</v>
      </c>
      <c r="I511" s="13" t="n">
        <f aca="false">INDEX(RM_Rates!$F$5:$F$137,MATCH(C511,RM_Rates!$A$5:$A$137,0))</f>
        <v>0.596000015735626</v>
      </c>
      <c r="J511" s="22" t="n">
        <f aca="false">H511*I511</f>
        <v>13.5172794730377</v>
      </c>
    </row>
    <row r="512" customFormat="false" ht="15" hidden="false" customHeight="false" outlineLevel="0" collapsed="false">
      <c r="A512" s="5" t="s">
        <v>512</v>
      </c>
      <c r="B512" s="2" t="s">
        <v>676</v>
      </c>
      <c r="C512" s="5" t="s">
        <v>324</v>
      </c>
      <c r="D512" s="5" t="s">
        <v>325</v>
      </c>
      <c r="E512" s="5" t="s">
        <v>72</v>
      </c>
      <c r="F512" s="21" t="n">
        <v>1.18799996376038</v>
      </c>
      <c r="G512" s="21" t="n">
        <v>0.0599999986588955</v>
      </c>
      <c r="H512" s="22" t="n">
        <f aca="false">F512+G512</f>
        <v>1.24799996241928</v>
      </c>
      <c r="I512" s="13" t="n">
        <f aca="false">INDEX(RM_Rates!$F$5:$F$137,MATCH(C512,RM_Rates!$A$5:$A$137,0))</f>
        <v>1.35229277610779</v>
      </c>
      <c r="J512" s="22" t="n">
        <f aca="false">H512*I512</f>
        <v>1.68766133376238</v>
      </c>
    </row>
    <row r="513" customFormat="false" ht="15" hidden="false" customHeight="false" outlineLevel="0" collapsed="false">
      <c r="A513" s="5" t="s">
        <v>512</v>
      </c>
      <c r="B513" s="2" t="s">
        <v>676</v>
      </c>
      <c r="C513" s="5" t="s">
        <v>318</v>
      </c>
      <c r="D513" s="5" t="s">
        <v>319</v>
      </c>
      <c r="E513" s="5" t="s">
        <v>72</v>
      </c>
      <c r="F513" s="21" t="n">
        <v>0.108000002801418</v>
      </c>
      <c r="G513" s="21" t="n">
        <v>0.00499999988824129</v>
      </c>
      <c r="H513" s="22" t="n">
        <f aca="false">F513+G513</f>
        <v>0.113000002689659</v>
      </c>
      <c r="I513" s="13" t="n">
        <f aca="false">INDEX(RM_Rates!$F$5:$F$137,MATCH(C513,RM_Rates!$A$5:$A$137,0))</f>
        <v>1.6441433429718</v>
      </c>
      <c r="J513" s="22" t="n">
        <f aca="false">H513*I513</f>
        <v>0.185788202177999</v>
      </c>
    </row>
    <row r="514" customFormat="false" ht="15" hidden="false" customHeight="false" outlineLevel="0" collapsed="false">
      <c r="A514" s="5" t="s">
        <v>512</v>
      </c>
      <c r="B514" s="2" t="s">
        <v>676</v>
      </c>
      <c r="C514" s="5" t="s">
        <v>322</v>
      </c>
      <c r="D514" s="5" t="s">
        <v>323</v>
      </c>
      <c r="E514" s="5" t="s">
        <v>72</v>
      </c>
      <c r="F514" s="21" t="n">
        <v>0.108000002801418</v>
      </c>
      <c r="G514" s="21" t="n">
        <v>0.00499999988824129</v>
      </c>
      <c r="H514" s="22" t="n">
        <f aca="false">F514+G514</f>
        <v>0.113000002689659</v>
      </c>
      <c r="I514" s="13" t="n">
        <f aca="false">INDEX(RM_Rates!$F$5:$F$137,MATCH(C514,RM_Rates!$A$5:$A$137,0))</f>
        <v>1.6441433429718</v>
      </c>
      <c r="J514" s="22" t="n">
        <f aca="false">H514*I514</f>
        <v>0.185788202177999</v>
      </c>
    </row>
    <row r="515" customFormat="false" ht="15" hidden="false" customHeight="false" outlineLevel="0" collapsed="false">
      <c r="A515" s="5" t="s">
        <v>512</v>
      </c>
      <c r="B515" s="2" t="s">
        <v>676</v>
      </c>
      <c r="C515" s="5" t="s">
        <v>316</v>
      </c>
      <c r="D515" s="5" t="s">
        <v>317</v>
      </c>
      <c r="E515" s="5" t="s">
        <v>72</v>
      </c>
      <c r="F515" s="21" t="n">
        <v>0.108000002801418</v>
      </c>
      <c r="G515" s="21" t="n">
        <v>0.00499999988824129</v>
      </c>
      <c r="H515" s="22" t="n">
        <f aca="false">F515+G515</f>
        <v>0.113000002689659</v>
      </c>
      <c r="I515" s="13" t="n">
        <f aca="false">INDEX(RM_Rates!$F$5:$F$137,MATCH(C515,RM_Rates!$A$5:$A$137,0))</f>
        <v>1.6441433429718</v>
      </c>
      <c r="J515" s="22" t="n">
        <f aca="false">H515*I515</f>
        <v>0.185788202177999</v>
      </c>
    </row>
    <row r="516" customFormat="false" ht="15" hidden="false" customHeight="false" outlineLevel="0" collapsed="false">
      <c r="A516" s="5" t="s">
        <v>512</v>
      </c>
      <c r="B516" s="2" t="s">
        <v>676</v>
      </c>
      <c r="C516" s="5" t="s">
        <v>210</v>
      </c>
      <c r="D516" s="5" t="s">
        <v>211</v>
      </c>
      <c r="E516" s="5" t="s">
        <v>72</v>
      </c>
      <c r="F516" s="21" t="n">
        <v>2.02999997138977</v>
      </c>
      <c r="G516" s="21" t="n">
        <v>0</v>
      </c>
      <c r="H516" s="22" t="n">
        <f aca="false">F516+G516</f>
        <v>2.02999997138977</v>
      </c>
      <c r="I516" s="13" t="n">
        <f aca="false">INDEX(RM_Rates!$F$5:$F$137,MATCH(C516,RM_Rates!$A$5:$A$137,0))</f>
        <v>0.750177025794983</v>
      </c>
      <c r="J516" s="22" t="n">
        <f aca="false">H516*I516</f>
        <v>1.52285934090108</v>
      </c>
    </row>
    <row r="517" customFormat="false" ht="15" hidden="false" customHeight="false" outlineLevel="0" collapsed="false">
      <c r="A517" s="5" t="s">
        <v>512</v>
      </c>
      <c r="B517" s="2" t="s">
        <v>676</v>
      </c>
      <c r="C517" s="5" t="s">
        <v>240</v>
      </c>
      <c r="D517" s="5" t="s">
        <v>241</v>
      </c>
      <c r="E517" s="5" t="s">
        <v>72</v>
      </c>
      <c r="F517" s="21" t="n">
        <v>170.5</v>
      </c>
      <c r="G517" s="21" t="n">
        <v>3.40999984741211</v>
      </c>
      <c r="H517" s="22" t="n">
        <f aca="false">F517+G517</f>
        <v>173.909999847412</v>
      </c>
      <c r="I517" s="13" t="n">
        <f aca="false">INDEX(RM_Rates!$F$5:$F$137,MATCH(C517,RM_Rates!$A$5:$A$137,0))</f>
        <v>0.363999992609024</v>
      </c>
      <c r="J517" s="22" t="n">
        <f aca="false">H517*I517</f>
        <v>63.3032386590934</v>
      </c>
    </row>
    <row r="518" customFormat="false" ht="15" hidden="false" customHeight="false" outlineLevel="0" collapsed="false">
      <c r="A518" s="5" t="s">
        <v>512</v>
      </c>
      <c r="B518" s="2" t="s">
        <v>676</v>
      </c>
      <c r="C518" s="5" t="s">
        <v>267</v>
      </c>
      <c r="D518" s="5" t="s">
        <v>268</v>
      </c>
      <c r="E518" s="5" t="s">
        <v>72</v>
      </c>
      <c r="F518" s="21" t="n">
        <v>170</v>
      </c>
      <c r="G518" s="21" t="n">
        <v>1.70000004768372</v>
      </c>
      <c r="H518" s="22" t="n">
        <f aca="false">F518+G518</f>
        <v>171.700000047684</v>
      </c>
      <c r="I518" s="13" t="n">
        <f aca="false">INDEX(RM_Rates!$F$5:$F$137,MATCH(C518,RM_Rates!$A$5:$A$137,0))</f>
        <v>0.487615048885345</v>
      </c>
      <c r="J518" s="22" t="n">
        <f aca="false">H518*I518</f>
        <v>83.723503916865</v>
      </c>
    </row>
    <row r="519" customFormat="false" ht="15" hidden="false" customHeight="false" outlineLevel="0" collapsed="false">
      <c r="A519" s="5" t="s">
        <v>512</v>
      </c>
      <c r="B519" s="2" t="s">
        <v>676</v>
      </c>
      <c r="C519" s="5" t="s">
        <v>279</v>
      </c>
      <c r="D519" s="5" t="s">
        <v>280</v>
      </c>
      <c r="E519" s="5" t="s">
        <v>166</v>
      </c>
      <c r="F519" s="21" t="n">
        <v>1</v>
      </c>
      <c r="G519" s="21" t="n">
        <v>0</v>
      </c>
      <c r="H519" s="22" t="n">
        <f aca="false">F519+G519</f>
        <v>1</v>
      </c>
      <c r="I519" s="13" t="n">
        <f aca="false">INDEX(RM_Rates!$F$5:$F$137,MATCH(C519,RM_Rates!$A$5:$A$137,0))</f>
        <v>17.5683555603027</v>
      </c>
      <c r="J519" s="22" t="n">
        <f aca="false">H519*I519</f>
        <v>17.5683555603027</v>
      </c>
    </row>
    <row r="520" customFormat="false" ht="15" hidden="false" customHeight="false" outlineLevel="0" collapsed="false">
      <c r="A520" s="5" t="s">
        <v>512</v>
      </c>
      <c r="B520" s="2" t="s">
        <v>676</v>
      </c>
      <c r="C520" s="5" t="s">
        <v>167</v>
      </c>
      <c r="D520" s="5" t="s">
        <v>168</v>
      </c>
      <c r="E520" s="5" t="s">
        <v>166</v>
      </c>
      <c r="F520" s="21" t="n">
        <v>2</v>
      </c>
      <c r="G520" s="21" t="n">
        <v>0</v>
      </c>
      <c r="H520" s="22" t="n">
        <f aca="false">F520+G520</f>
        <v>2</v>
      </c>
      <c r="I520" s="13" t="n">
        <f aca="false">INDEX(RM_Rates!$F$5:$F$137,MATCH(C520,RM_Rates!$A$5:$A$137,0))</f>
        <v>0.124766282737255</v>
      </c>
      <c r="J520" s="22" t="n">
        <f aca="false">H520*I520</f>
        <v>0.24953256547451</v>
      </c>
    </row>
    <row r="521" customFormat="false" ht="15" hidden="false" customHeight="false" outlineLevel="0" collapsed="false">
      <c r="A521" s="5" t="s">
        <v>512</v>
      </c>
      <c r="B521" s="2" t="s">
        <v>676</v>
      </c>
      <c r="C521" s="5" t="s">
        <v>306</v>
      </c>
      <c r="D521" s="5" t="s">
        <v>307</v>
      </c>
      <c r="E521" s="5" t="s">
        <v>297</v>
      </c>
      <c r="F521" s="21" t="n">
        <v>3.09999990463257</v>
      </c>
      <c r="G521" s="21" t="n">
        <v>0</v>
      </c>
      <c r="H521" s="22" t="n">
        <f aca="false">F521+G521</f>
        <v>3.09999990463257</v>
      </c>
      <c r="I521" s="13" t="n">
        <f aca="false">INDEX(RM_Rates!$F$5:$F$137,MATCH(C521,RM_Rates!$A$5:$A$137,0))</f>
        <v>1.40752077102661</v>
      </c>
      <c r="J521" s="22" t="n">
        <f aca="false">H521*I521</f>
        <v>4.36331425595085</v>
      </c>
    </row>
    <row r="522" customFormat="false" ht="15" hidden="false" customHeight="false" outlineLevel="0" collapsed="false">
      <c r="A522" s="5" t="s">
        <v>512</v>
      </c>
      <c r="B522" s="2" t="s">
        <v>676</v>
      </c>
      <c r="C522" s="5" t="s">
        <v>189</v>
      </c>
      <c r="D522" s="5" t="s">
        <v>190</v>
      </c>
      <c r="E522" s="5" t="s">
        <v>60</v>
      </c>
      <c r="F522" s="21" t="n">
        <v>0.200000002980232</v>
      </c>
      <c r="G522" s="21" t="n">
        <v>0</v>
      </c>
      <c r="H522" s="22" t="n">
        <f aca="false">F522+G522</f>
        <v>0.200000002980232</v>
      </c>
      <c r="I522" s="13" t="n">
        <f aca="false">INDEX(RM_Rates!$F$5:$F$137,MATCH(C522,RM_Rates!$A$5:$A$137,0))</f>
        <v>0.568400025367737</v>
      </c>
      <c r="J522" s="22" t="n">
        <f aca="false">H522*I522</f>
        <v>0.113680006767511</v>
      </c>
    </row>
    <row r="523" customFormat="false" ht="15" hidden="false" customHeight="false" outlineLevel="0" collapsed="false">
      <c r="A523" s="5" t="s">
        <v>514</v>
      </c>
      <c r="B523" s="2" t="s">
        <v>677</v>
      </c>
      <c r="C523" s="5" t="s">
        <v>84</v>
      </c>
      <c r="D523" s="5" t="s">
        <v>85</v>
      </c>
      <c r="E523" s="5" t="s">
        <v>72</v>
      </c>
      <c r="F523" s="21" t="n">
        <v>39.3899993896484</v>
      </c>
      <c r="G523" s="21" t="n">
        <v>0.0649999976158142</v>
      </c>
      <c r="H523" s="22" t="n">
        <f aca="false">F523+G523</f>
        <v>39.4549993872642</v>
      </c>
      <c r="I523" s="13" t="n">
        <f aca="false">INDEX(RM_Rates!$F$5:$F$137,MATCH(C523,RM_Rates!$A$5:$A$137,0))</f>
        <v>1.990602</v>
      </c>
      <c r="J523" s="22" t="n">
        <f aca="false">H523*I523</f>
        <v>78.5392006902869</v>
      </c>
    </row>
    <row r="524" customFormat="false" ht="15" hidden="false" customHeight="false" outlineLevel="0" collapsed="false">
      <c r="A524" s="5" t="s">
        <v>514</v>
      </c>
      <c r="B524" s="2" t="s">
        <v>677</v>
      </c>
      <c r="C524" s="5" t="s">
        <v>195</v>
      </c>
      <c r="D524" s="5" t="s">
        <v>196</v>
      </c>
      <c r="E524" s="5" t="s">
        <v>72</v>
      </c>
      <c r="F524" s="21" t="n">
        <v>11.6957998275757</v>
      </c>
      <c r="G524" s="21" t="n">
        <v>0</v>
      </c>
      <c r="H524" s="22" t="n">
        <f aca="false">F524+G524</f>
        <v>11.6957998275757</v>
      </c>
      <c r="I524" s="13" t="n">
        <f aca="false">INDEX(RM_Rates!$F$5:$F$137,MATCH(C524,RM_Rates!$A$5:$A$137,0))</f>
        <v>5.34994649887085</v>
      </c>
      <c r="J524" s="22" t="n">
        <f aca="false">H524*I524</f>
        <v>62.5719033390329</v>
      </c>
    </row>
    <row r="525" customFormat="false" ht="15" hidden="false" customHeight="false" outlineLevel="0" collapsed="false">
      <c r="A525" s="5" t="s">
        <v>514</v>
      </c>
      <c r="B525" s="2" t="s">
        <v>677</v>
      </c>
      <c r="C525" s="5" t="s">
        <v>326</v>
      </c>
      <c r="D525" s="5" t="s">
        <v>327</v>
      </c>
      <c r="E525" s="5" t="s">
        <v>72</v>
      </c>
      <c r="F525" s="21" t="n">
        <v>21.2099990844727</v>
      </c>
      <c r="G525" s="21" t="n">
        <v>0.349999994039536</v>
      </c>
      <c r="H525" s="22" t="n">
        <f aca="false">F525+G525</f>
        <v>21.5599990785122</v>
      </c>
      <c r="I525" s="13" t="n">
        <f aca="false">INDEX(RM_Rates!$F$5:$F$137,MATCH(C525,RM_Rates!$A$5:$A$137,0))</f>
        <v>0.596000015735626</v>
      </c>
      <c r="J525" s="22" t="n">
        <f aca="false">H525*I525</f>
        <v>12.8497597900534</v>
      </c>
    </row>
    <row r="526" customFormat="false" ht="15" hidden="false" customHeight="false" outlineLevel="0" collapsed="false">
      <c r="A526" s="5" t="s">
        <v>514</v>
      </c>
      <c r="B526" s="2" t="s">
        <v>677</v>
      </c>
      <c r="C526" s="5" t="s">
        <v>324</v>
      </c>
      <c r="D526" s="5" t="s">
        <v>325</v>
      </c>
      <c r="E526" s="5" t="s">
        <v>72</v>
      </c>
      <c r="F526" s="21" t="n">
        <v>1.16654992103577</v>
      </c>
      <c r="G526" s="21" t="n">
        <v>0.0189999993890524</v>
      </c>
      <c r="H526" s="22" t="n">
        <f aca="false">F526+G526</f>
        <v>1.18554992042482</v>
      </c>
      <c r="I526" s="13" t="n">
        <f aca="false">INDEX(RM_Rates!$F$5:$F$137,MATCH(C526,RM_Rates!$A$5:$A$137,0))</f>
        <v>1.35229277610779</v>
      </c>
      <c r="J526" s="22" t="n">
        <f aca="false">H526*I526</f>
        <v>1.60321059310565</v>
      </c>
    </row>
    <row r="527" customFormat="false" ht="15" hidden="false" customHeight="false" outlineLevel="0" collapsed="false">
      <c r="A527" s="5" t="s">
        <v>514</v>
      </c>
      <c r="B527" s="2" t="s">
        <v>677</v>
      </c>
      <c r="C527" s="5" t="s">
        <v>320</v>
      </c>
      <c r="D527" s="5" t="s">
        <v>321</v>
      </c>
      <c r="E527" s="5" t="s">
        <v>72</v>
      </c>
      <c r="F527" s="21" t="n">
        <v>0.318149983882904</v>
      </c>
      <c r="G527" s="21" t="n">
        <v>0.00499999988824129</v>
      </c>
      <c r="H527" s="22" t="n">
        <f aca="false">F527+G527</f>
        <v>0.323149983771145</v>
      </c>
      <c r="I527" s="13" t="n">
        <f aca="false">INDEX(RM_Rates!$F$5:$F$137,MATCH(C527,RM_Rates!$A$5:$A$137,0))</f>
        <v>1.6441433429718</v>
      </c>
      <c r="J527" s="22" t="n">
        <f aca="false">H527*I527</f>
        <v>0.531304894598774</v>
      </c>
    </row>
    <row r="528" customFormat="false" ht="15" hidden="false" customHeight="false" outlineLevel="0" collapsed="false">
      <c r="A528" s="5" t="s">
        <v>514</v>
      </c>
      <c r="B528" s="2" t="s">
        <v>677</v>
      </c>
      <c r="C528" s="5" t="s">
        <v>210</v>
      </c>
      <c r="D528" s="5" t="s">
        <v>211</v>
      </c>
      <c r="E528" s="5" t="s">
        <v>72</v>
      </c>
      <c r="F528" s="21" t="n">
        <v>1.19000005722046</v>
      </c>
      <c r="G528" s="21" t="n">
        <v>0</v>
      </c>
      <c r="H528" s="22" t="n">
        <f aca="false">F528+G528</f>
        <v>1.19000005722046</v>
      </c>
      <c r="I528" s="13" t="n">
        <f aca="false">INDEX(RM_Rates!$F$5:$F$137,MATCH(C528,RM_Rates!$A$5:$A$137,0))</f>
        <v>0.750177025794983</v>
      </c>
      <c r="J528" s="22" t="n">
        <f aca="false">H528*I528</f>
        <v>0.892710703621504</v>
      </c>
    </row>
    <row r="529" customFormat="false" ht="15" hidden="false" customHeight="false" outlineLevel="0" collapsed="false">
      <c r="A529" s="5" t="s">
        <v>514</v>
      </c>
      <c r="B529" s="2" t="s">
        <v>677</v>
      </c>
      <c r="C529" s="5" t="s">
        <v>62</v>
      </c>
      <c r="D529" s="5" t="s">
        <v>63</v>
      </c>
      <c r="E529" s="5" t="s">
        <v>60</v>
      </c>
      <c r="F529" s="21" t="n">
        <v>1.5</v>
      </c>
      <c r="G529" s="21" t="n">
        <v>0.0149999996647239</v>
      </c>
      <c r="H529" s="22" t="n">
        <f aca="false">F529+G529</f>
        <v>1.51499999966472</v>
      </c>
      <c r="I529" s="13" t="n">
        <f aca="false">INDEX(RM_Rates!$F$5:$F$137,MATCH(C529,RM_Rates!$A$5:$A$137,0))</f>
        <v>1.83595955371857</v>
      </c>
      <c r="J529" s="22" t="n">
        <f aca="false">H529*I529</f>
        <v>2.78147872326808</v>
      </c>
    </row>
    <row r="530" customFormat="false" ht="15" hidden="false" customHeight="false" outlineLevel="0" collapsed="false">
      <c r="A530" s="5" t="s">
        <v>514</v>
      </c>
      <c r="B530" s="2" t="s">
        <v>677</v>
      </c>
      <c r="C530" s="5" t="s">
        <v>70</v>
      </c>
      <c r="D530" s="5" t="s">
        <v>71</v>
      </c>
      <c r="E530" s="5" t="s">
        <v>72</v>
      </c>
      <c r="F530" s="21" t="n">
        <v>4.5</v>
      </c>
      <c r="G530" s="21" t="n">
        <v>0</v>
      </c>
      <c r="H530" s="22" t="n">
        <f aca="false">F530+G530</f>
        <v>4.5</v>
      </c>
      <c r="I530" s="13" t="n">
        <f aca="false">INDEX(RM_Rates!$F$5:$F$137,MATCH(C530,RM_Rates!$A$5:$A$137,0))</f>
        <v>2.86922955513001</v>
      </c>
      <c r="J530" s="22" t="n">
        <f aca="false">H530*I530</f>
        <v>12.911532998085</v>
      </c>
    </row>
    <row r="531" customFormat="false" ht="15" hidden="false" customHeight="false" outlineLevel="0" collapsed="false">
      <c r="A531" s="5" t="s">
        <v>514</v>
      </c>
      <c r="B531" s="2" t="s">
        <v>677</v>
      </c>
      <c r="C531" s="5" t="s">
        <v>202</v>
      </c>
      <c r="D531" s="5" t="s">
        <v>203</v>
      </c>
      <c r="E531" s="5" t="s">
        <v>72</v>
      </c>
      <c r="F531" s="21" t="n">
        <v>0.709999978542328</v>
      </c>
      <c r="G531" s="21" t="n">
        <v>0</v>
      </c>
      <c r="H531" s="22" t="n">
        <f aca="false">F531+G531</f>
        <v>0.709999978542328</v>
      </c>
      <c r="I531" s="13" t="n">
        <f aca="false">INDEX(RM_Rates!$F$5:$F$137,MATCH(C531,RM_Rates!$A$5:$A$137,0))</f>
        <v>0.750177025794983</v>
      </c>
      <c r="J531" s="22" t="n">
        <f aca="false">H531*I531</f>
        <v>0.532625672217385</v>
      </c>
    </row>
    <row r="532" customFormat="false" ht="15" hidden="false" customHeight="false" outlineLevel="0" collapsed="false">
      <c r="A532" s="5" t="s">
        <v>514</v>
      </c>
      <c r="B532" s="2" t="s">
        <v>677</v>
      </c>
      <c r="C532" s="5" t="s">
        <v>193</v>
      </c>
      <c r="D532" s="5" t="s">
        <v>194</v>
      </c>
      <c r="E532" s="5" t="s">
        <v>72</v>
      </c>
      <c r="F532" s="21" t="n">
        <v>173.200012207031</v>
      </c>
      <c r="G532" s="21" t="n">
        <v>3.46399998664856</v>
      </c>
      <c r="H532" s="22" t="n">
        <f aca="false">F532+G532</f>
        <v>176.66401219368</v>
      </c>
      <c r="I532" s="13" t="n">
        <f aca="false">INDEX(RM_Rates!$F$5:$F$137,MATCH(C532,RM_Rates!$A$5:$A$137,0))</f>
        <v>0.769918501377106</v>
      </c>
      <c r="J532" s="22" t="n">
        <f aca="false">H532*I532</f>
        <v>136.016891515425</v>
      </c>
    </row>
    <row r="533" customFormat="false" ht="15" hidden="false" customHeight="false" outlineLevel="0" collapsed="false">
      <c r="A533" s="5" t="s">
        <v>514</v>
      </c>
      <c r="B533" s="2" t="s">
        <v>677</v>
      </c>
      <c r="C533" s="5" t="s">
        <v>191</v>
      </c>
      <c r="D533" s="5" t="s">
        <v>192</v>
      </c>
      <c r="E533" s="5" t="s">
        <v>72</v>
      </c>
      <c r="F533" s="21" t="n">
        <v>2.77119994163513</v>
      </c>
      <c r="G533" s="21" t="n">
        <v>0.0549999997019768</v>
      </c>
      <c r="H533" s="22" t="n">
        <f aca="false">F533+G533</f>
        <v>2.82619994133711</v>
      </c>
      <c r="I533" s="13" t="n">
        <f aca="false">INDEX(RM_Rates!$F$5:$F$137,MATCH(C533,RM_Rates!$A$5:$A$137,0))</f>
        <v>2.39035940170288</v>
      </c>
      <c r="J533" s="22" t="n">
        <f aca="false">H533*I533</f>
        <v>6.75563360086728</v>
      </c>
    </row>
    <row r="534" customFormat="false" ht="15" hidden="false" customHeight="false" outlineLevel="0" collapsed="false">
      <c r="A534" s="5" t="s">
        <v>514</v>
      </c>
      <c r="B534" s="2" t="s">
        <v>677</v>
      </c>
      <c r="C534" s="5" t="s">
        <v>267</v>
      </c>
      <c r="D534" s="5" t="s">
        <v>268</v>
      </c>
      <c r="E534" s="5" t="s">
        <v>72</v>
      </c>
      <c r="F534" s="21" t="n">
        <v>170</v>
      </c>
      <c r="G534" s="21" t="n">
        <v>1.70000004768372</v>
      </c>
      <c r="H534" s="22" t="n">
        <f aca="false">F534+G534</f>
        <v>171.700000047684</v>
      </c>
      <c r="I534" s="13" t="n">
        <f aca="false">INDEX(RM_Rates!$F$5:$F$137,MATCH(C534,RM_Rates!$A$5:$A$137,0))</f>
        <v>0.487615048885345</v>
      </c>
      <c r="J534" s="22" t="n">
        <f aca="false">H534*I534</f>
        <v>83.723503916865</v>
      </c>
    </row>
    <row r="535" customFormat="false" ht="15" hidden="false" customHeight="false" outlineLevel="0" collapsed="false">
      <c r="A535" s="5" t="s">
        <v>514</v>
      </c>
      <c r="B535" s="2" t="s">
        <v>677</v>
      </c>
      <c r="C535" s="5" t="s">
        <v>279</v>
      </c>
      <c r="D535" s="5" t="s">
        <v>280</v>
      </c>
      <c r="E535" s="5" t="s">
        <v>166</v>
      </c>
      <c r="F535" s="21" t="n">
        <v>1</v>
      </c>
      <c r="G535" s="21" t="n">
        <v>0</v>
      </c>
      <c r="H535" s="22" t="n">
        <f aca="false">F535+G535</f>
        <v>1</v>
      </c>
      <c r="I535" s="13" t="n">
        <f aca="false">INDEX(RM_Rates!$F$5:$F$137,MATCH(C535,RM_Rates!$A$5:$A$137,0))</f>
        <v>17.5683555603027</v>
      </c>
      <c r="J535" s="22" t="n">
        <f aca="false">H535*I535</f>
        <v>17.5683555603027</v>
      </c>
    </row>
    <row r="536" customFormat="false" ht="15" hidden="false" customHeight="false" outlineLevel="0" collapsed="false">
      <c r="A536" s="5" t="s">
        <v>514</v>
      </c>
      <c r="B536" s="2" t="s">
        <v>677</v>
      </c>
      <c r="C536" s="5" t="s">
        <v>167</v>
      </c>
      <c r="D536" s="5" t="s">
        <v>168</v>
      </c>
      <c r="E536" s="5" t="s">
        <v>166</v>
      </c>
      <c r="F536" s="21" t="n">
        <v>2</v>
      </c>
      <c r="G536" s="21" t="n">
        <v>0</v>
      </c>
      <c r="H536" s="22" t="n">
        <f aca="false">F536+G536</f>
        <v>2</v>
      </c>
      <c r="I536" s="13" t="n">
        <f aca="false">INDEX(RM_Rates!$F$5:$F$137,MATCH(C536,RM_Rates!$A$5:$A$137,0))</f>
        <v>0.124766282737255</v>
      </c>
      <c r="J536" s="22" t="n">
        <f aca="false">H536*I536</f>
        <v>0.24953256547451</v>
      </c>
    </row>
    <row r="537" customFormat="false" ht="15" hidden="false" customHeight="false" outlineLevel="0" collapsed="false">
      <c r="A537" s="5" t="s">
        <v>514</v>
      </c>
      <c r="B537" s="2" t="s">
        <v>677</v>
      </c>
      <c r="C537" s="5" t="s">
        <v>306</v>
      </c>
      <c r="D537" s="5" t="s">
        <v>307</v>
      </c>
      <c r="E537" s="5" t="s">
        <v>297</v>
      </c>
      <c r="F537" s="21" t="n">
        <v>3.09999990463257</v>
      </c>
      <c r="G537" s="21" t="n">
        <v>0</v>
      </c>
      <c r="H537" s="22" t="n">
        <f aca="false">F537+G537</f>
        <v>3.09999990463257</v>
      </c>
      <c r="I537" s="13" t="n">
        <f aca="false">INDEX(RM_Rates!$F$5:$F$137,MATCH(C537,RM_Rates!$A$5:$A$137,0))</f>
        <v>1.40752077102661</v>
      </c>
      <c r="J537" s="22" t="n">
        <f aca="false">H537*I537</f>
        <v>4.36331425595085</v>
      </c>
    </row>
    <row r="538" customFormat="false" ht="15" hidden="false" customHeight="false" outlineLevel="0" collapsed="false">
      <c r="A538" s="5" t="s">
        <v>514</v>
      </c>
      <c r="B538" s="2" t="s">
        <v>677</v>
      </c>
      <c r="C538" s="5" t="s">
        <v>189</v>
      </c>
      <c r="D538" s="5" t="s">
        <v>190</v>
      </c>
      <c r="E538" s="5" t="s">
        <v>60</v>
      </c>
      <c r="F538" s="21" t="n">
        <v>0.200000002980232</v>
      </c>
      <c r="G538" s="21" t="n">
        <v>0</v>
      </c>
      <c r="H538" s="22" t="n">
        <f aca="false">F538+G538</f>
        <v>0.200000002980232</v>
      </c>
      <c r="I538" s="13" t="n">
        <f aca="false">INDEX(RM_Rates!$F$5:$F$137,MATCH(C538,RM_Rates!$A$5:$A$137,0))</f>
        <v>0.568400025367737</v>
      </c>
      <c r="J538" s="22" t="n">
        <f aca="false">H538*I538</f>
        <v>0.113680006767511</v>
      </c>
    </row>
    <row r="539" customFormat="false" ht="15" hidden="false" customHeight="false" outlineLevel="0" collapsed="false">
      <c r="A539" s="5" t="s">
        <v>516</v>
      </c>
      <c r="B539" s="2" t="s">
        <v>678</v>
      </c>
      <c r="C539" s="5" t="s">
        <v>108</v>
      </c>
      <c r="D539" s="5" t="s">
        <v>109</v>
      </c>
      <c r="E539" s="5" t="s">
        <v>72</v>
      </c>
      <c r="F539" s="21" t="n">
        <v>3114</v>
      </c>
      <c r="G539" s="21" t="n">
        <v>15.5699996948242</v>
      </c>
      <c r="H539" s="22" t="n">
        <f aca="false">F539+G539</f>
        <v>3129.56999969482</v>
      </c>
      <c r="I539" s="13" t="n">
        <f aca="false">INDEX(RM_Rates!$F$5:$F$137,MATCH(C539,RM_Rates!$A$5:$A$137,0))</f>
        <v>1.968214</v>
      </c>
      <c r="J539" s="22" t="n">
        <f aca="false">H539*I539</f>
        <v>6159.66348737935</v>
      </c>
    </row>
    <row r="540" customFormat="false" ht="15" hidden="false" customHeight="false" outlineLevel="0" collapsed="false">
      <c r="A540" s="5" t="s">
        <v>516</v>
      </c>
      <c r="B540" s="2" t="s">
        <v>678</v>
      </c>
      <c r="C540" s="5" t="s">
        <v>328</v>
      </c>
      <c r="D540" s="5" t="s">
        <v>329</v>
      </c>
      <c r="E540" s="5" t="s">
        <v>72</v>
      </c>
      <c r="F540" s="21" t="n">
        <v>249.405014038086</v>
      </c>
      <c r="G540" s="21" t="n">
        <v>12.4709997177124</v>
      </c>
      <c r="H540" s="22" t="n">
        <f aca="false">F540+G540</f>
        <v>261.876013755798</v>
      </c>
      <c r="I540" s="13" t="n">
        <f aca="false">INDEX(RM_Rates!$F$5:$F$137,MATCH(C540,RM_Rates!$A$5:$A$137,0))</f>
        <v>0.821246385574341</v>
      </c>
      <c r="J540" s="22" t="n">
        <f aca="false">H540*I540</f>
        <v>215.064729765566</v>
      </c>
    </row>
    <row r="541" customFormat="false" ht="15" hidden="false" customHeight="false" outlineLevel="0" collapsed="false">
      <c r="A541" s="5" t="s">
        <v>516</v>
      </c>
      <c r="B541" s="2" t="s">
        <v>678</v>
      </c>
      <c r="C541" s="5" t="s">
        <v>312</v>
      </c>
      <c r="D541" s="5" t="s">
        <v>313</v>
      </c>
      <c r="E541" s="5" t="s">
        <v>72</v>
      </c>
      <c r="F541" s="21" t="n">
        <v>774.600036621094</v>
      </c>
      <c r="G541" s="21" t="n">
        <v>38.7299995422363</v>
      </c>
      <c r="H541" s="22" t="n">
        <f aca="false">F541+G541</f>
        <v>813.33003616333</v>
      </c>
      <c r="I541" s="13" t="n">
        <f aca="false">INDEX(RM_Rates!$F$5:$F$137,MATCH(C541,RM_Rates!$A$5:$A$137,0))</f>
        <v>0.600000023841858</v>
      </c>
      <c r="J541" s="22" t="n">
        <f aca="false">H541*I541</f>
        <v>487.998041089297</v>
      </c>
    </row>
    <row r="542" customFormat="false" ht="15" hidden="false" customHeight="false" outlineLevel="0" collapsed="false">
      <c r="A542" s="5" t="s">
        <v>516</v>
      </c>
      <c r="B542" s="2" t="s">
        <v>678</v>
      </c>
      <c r="C542" s="5" t="s">
        <v>160</v>
      </c>
      <c r="D542" s="5" t="s">
        <v>161</v>
      </c>
      <c r="E542" s="5" t="s">
        <v>72</v>
      </c>
      <c r="F542" s="21" t="n">
        <v>112.799995422363</v>
      </c>
      <c r="G542" s="21" t="n">
        <v>1.12800002098084</v>
      </c>
      <c r="H542" s="22" t="n">
        <f aca="false">F542+G542</f>
        <v>113.927995443344</v>
      </c>
      <c r="I542" s="13" t="n">
        <f aca="false">INDEX(RM_Rates!$F$5:$F$137,MATCH(C542,RM_Rates!$A$5:$A$137,0))</f>
        <v>3.00841188430786</v>
      </c>
      <c r="J542" s="22" t="n">
        <f aca="false">H542*I542</f>
        <v>342.742335447127</v>
      </c>
    </row>
    <row r="543" customFormat="false" ht="15" hidden="false" customHeight="false" outlineLevel="0" collapsed="false">
      <c r="A543" s="5" t="s">
        <v>516</v>
      </c>
      <c r="B543" s="2" t="s">
        <v>678</v>
      </c>
      <c r="C543" s="5" t="s">
        <v>220</v>
      </c>
      <c r="D543" s="5" t="s">
        <v>221</v>
      </c>
      <c r="E543" s="5" t="s">
        <v>72</v>
      </c>
      <c r="F543" s="21" t="n">
        <v>404.040008544922</v>
      </c>
      <c r="G543" s="21" t="n">
        <v>0</v>
      </c>
      <c r="H543" s="22" t="n">
        <f aca="false">F543+G543</f>
        <v>404.040008544922</v>
      </c>
      <c r="I543" s="13" t="n">
        <f aca="false">INDEX(RM_Rates!$F$5:$F$137,MATCH(C543,RM_Rates!$A$5:$A$137,0))</f>
        <v>0.379036813974381</v>
      </c>
      <c r="J543" s="22" t="n">
        <f aca="false">H543*I543</f>
        <v>153.146037557049</v>
      </c>
    </row>
    <row r="544" customFormat="false" ht="15" hidden="false" customHeight="false" outlineLevel="0" collapsed="false">
      <c r="A544" s="5" t="s">
        <v>516</v>
      </c>
      <c r="B544" s="2" t="s">
        <v>678</v>
      </c>
      <c r="C544" s="5" t="s">
        <v>230</v>
      </c>
      <c r="D544" s="5" t="s">
        <v>231</v>
      </c>
      <c r="E544" s="5" t="s">
        <v>72</v>
      </c>
      <c r="F544" s="21" t="n">
        <v>23.8999996185303</v>
      </c>
      <c r="G544" s="21" t="n">
        <v>0</v>
      </c>
      <c r="H544" s="22" t="n">
        <f aca="false">F544+G544</f>
        <v>23.8999996185303</v>
      </c>
      <c r="I544" s="13" t="n">
        <f aca="false">INDEX(RM_Rates!$F$5:$F$137,MATCH(C544,RM_Rates!$A$5:$A$137,0))</f>
        <v>0.742858171463013</v>
      </c>
      <c r="J544" s="22" t="n">
        <f aca="false">H544*I544</f>
        <v>17.7543100145881</v>
      </c>
    </row>
    <row r="545" customFormat="false" ht="15" hidden="false" customHeight="false" outlineLevel="0" collapsed="false">
      <c r="A545" s="5" t="s">
        <v>516</v>
      </c>
      <c r="B545" s="2" t="s">
        <v>678</v>
      </c>
      <c r="C545" s="5" t="s">
        <v>246</v>
      </c>
      <c r="D545" s="5" t="s">
        <v>247</v>
      </c>
      <c r="E545" s="5" t="s">
        <v>72</v>
      </c>
      <c r="F545" s="21" t="n">
        <v>1186.72998046875</v>
      </c>
      <c r="G545" s="21" t="n">
        <v>2.96700000762939</v>
      </c>
      <c r="H545" s="22" t="n">
        <f aca="false">F545+G545</f>
        <v>1189.69698047638</v>
      </c>
      <c r="I545" s="13" t="n">
        <f aca="false">INDEX(RM_Rates!$F$5:$F$137,MATCH(C545,RM_Rates!$A$5:$A$137,0))</f>
        <v>0.420493960380554</v>
      </c>
      <c r="J545" s="22" t="n">
        <f aca="false">H545*I545</f>
        <v>500.260394973299</v>
      </c>
    </row>
    <row r="546" customFormat="false" ht="15" hidden="false" customHeight="false" outlineLevel="0" collapsed="false">
      <c r="A546" s="5" t="s">
        <v>516</v>
      </c>
      <c r="B546" s="2" t="s">
        <v>678</v>
      </c>
      <c r="C546" s="5" t="s">
        <v>232</v>
      </c>
      <c r="D546" s="5" t="s">
        <v>233</v>
      </c>
      <c r="E546" s="5" t="s">
        <v>72</v>
      </c>
      <c r="F546" s="21" t="n">
        <v>18.9876804351807</v>
      </c>
      <c r="G546" s="21" t="n">
        <v>0.0470000021159649</v>
      </c>
      <c r="H546" s="22" t="n">
        <f aca="false">F546+G546</f>
        <v>19.0346804372967</v>
      </c>
      <c r="I546" s="13" t="n">
        <f aca="false">INDEX(RM_Rates!$F$5:$F$137,MATCH(C546,RM_Rates!$A$5:$A$137,0))</f>
        <v>1.45200002193451</v>
      </c>
      <c r="J546" s="22" t="n">
        <f aca="false">H546*I546</f>
        <v>27.6383564124711</v>
      </c>
    </row>
    <row r="547" customFormat="false" ht="15" hidden="false" customHeight="false" outlineLevel="0" collapsed="false">
      <c r="A547" s="5" t="s">
        <v>516</v>
      </c>
      <c r="B547" s="2" t="s">
        <v>678</v>
      </c>
      <c r="C547" s="5" t="s">
        <v>275</v>
      </c>
      <c r="D547" s="5" t="s">
        <v>276</v>
      </c>
      <c r="E547" s="5" t="s">
        <v>72</v>
      </c>
      <c r="F547" s="21" t="n">
        <v>2586.39990234375</v>
      </c>
      <c r="G547" s="21" t="n">
        <v>25.8640003204346</v>
      </c>
      <c r="H547" s="22" t="n">
        <f aca="false">F547+G547</f>
        <v>2612.26390266418</v>
      </c>
      <c r="I547" s="13" t="n">
        <f aca="false">INDEX(RM_Rates!$F$5:$F$137,MATCH(C547,RM_Rates!$A$5:$A$137,0))</f>
        <v>0.367191910743713</v>
      </c>
      <c r="J547" s="22" t="n">
        <f aca="false">H547*I547</f>
        <v>959.202173786091</v>
      </c>
    </row>
    <row r="548" customFormat="false" ht="15" hidden="false" customHeight="false" outlineLevel="0" collapsed="false">
      <c r="A548" s="5" t="s">
        <v>516</v>
      </c>
      <c r="B548" s="2" t="s">
        <v>678</v>
      </c>
      <c r="C548" s="5" t="s">
        <v>261</v>
      </c>
      <c r="D548" s="5" t="s">
        <v>262</v>
      </c>
      <c r="E548" s="5" t="s">
        <v>166</v>
      </c>
      <c r="F548" s="21" t="n">
        <v>2</v>
      </c>
      <c r="G548" s="21" t="n">
        <v>0</v>
      </c>
      <c r="H548" s="22" t="n">
        <f aca="false">F548+G548</f>
        <v>2</v>
      </c>
      <c r="I548" s="13" t="n">
        <f aca="false">INDEX(RM_Rates!$F$5:$F$137,MATCH(C548,RM_Rates!$A$5:$A$137,0))</f>
        <v>185</v>
      </c>
      <c r="J548" s="22" t="n">
        <f aca="false">H548*I548</f>
        <v>370</v>
      </c>
    </row>
    <row r="549" customFormat="false" ht="15" hidden="false" customHeight="false" outlineLevel="0" collapsed="false">
      <c r="A549" s="5" t="s">
        <v>516</v>
      </c>
      <c r="B549" s="2" t="s">
        <v>678</v>
      </c>
      <c r="C549" s="5" t="s">
        <v>175</v>
      </c>
      <c r="D549" s="5" t="s">
        <v>176</v>
      </c>
      <c r="E549" s="5" t="s">
        <v>166</v>
      </c>
      <c r="F549" s="21" t="n">
        <v>4</v>
      </c>
      <c r="G549" s="21" t="n">
        <v>0</v>
      </c>
      <c r="H549" s="22" t="n">
        <f aca="false">F549+G549</f>
        <v>4</v>
      </c>
      <c r="I549" s="13" t="n">
        <f aca="false">INDEX(RM_Rates!$F$5:$F$137,MATCH(C549,RM_Rates!$A$5:$A$137,0))</f>
        <v>0.39300000667572</v>
      </c>
      <c r="J549" s="22" t="n">
        <f aca="false">H549*I549</f>
        <v>1.57200002670288</v>
      </c>
    </row>
    <row r="550" customFormat="false" ht="15" hidden="false" customHeight="false" outlineLevel="0" collapsed="false">
      <c r="A550" s="5" t="s">
        <v>516</v>
      </c>
      <c r="B550" s="2" t="s">
        <v>678</v>
      </c>
      <c r="C550" s="5" t="s">
        <v>189</v>
      </c>
      <c r="D550" s="5" t="s">
        <v>190</v>
      </c>
      <c r="E550" s="5" t="s">
        <v>60</v>
      </c>
      <c r="F550" s="21" t="n">
        <v>2.35999989509583</v>
      </c>
      <c r="G550" s="21" t="n">
        <v>0</v>
      </c>
      <c r="H550" s="22" t="n">
        <f aca="false">F550+G550</f>
        <v>2.35999989509583</v>
      </c>
      <c r="I550" s="13" t="n">
        <f aca="false">INDEX(RM_Rates!$F$5:$F$137,MATCH(C550,RM_Rates!$A$5:$A$137,0))</f>
        <v>0.568400025367737</v>
      </c>
      <c r="J550" s="22" t="n">
        <f aca="false">H550*I550</f>
        <v>1.34142400024033</v>
      </c>
    </row>
    <row r="551" customFormat="false" ht="15" hidden="false" customHeight="false" outlineLevel="0" collapsed="false">
      <c r="A551" s="5" t="s">
        <v>516</v>
      </c>
      <c r="B551" s="2" t="s">
        <v>678</v>
      </c>
      <c r="C551" s="5" t="s">
        <v>302</v>
      </c>
      <c r="D551" s="5" t="s">
        <v>303</v>
      </c>
      <c r="E551" s="5" t="s">
        <v>297</v>
      </c>
      <c r="F551" s="21" t="n">
        <v>15</v>
      </c>
      <c r="G551" s="21" t="n">
        <v>0</v>
      </c>
      <c r="H551" s="22" t="n">
        <f aca="false">F551+G551</f>
        <v>15</v>
      </c>
      <c r="I551" s="13" t="n">
        <f aca="false">INDEX(RM_Rates!$F$5:$F$137,MATCH(C551,RM_Rates!$A$5:$A$137,0))</f>
        <v>1.40752077102661</v>
      </c>
      <c r="J551" s="22" t="n">
        <f aca="false">H551*I551</f>
        <v>21.1128115653992</v>
      </c>
    </row>
    <row r="552" customFormat="false" ht="15" hidden="false" customHeight="false" outlineLevel="0" collapsed="false">
      <c r="A552" s="5" t="s">
        <v>518</v>
      </c>
      <c r="B552" s="2" t="s">
        <v>679</v>
      </c>
      <c r="C552" s="5" t="s">
        <v>108</v>
      </c>
      <c r="D552" s="5" t="s">
        <v>109</v>
      </c>
      <c r="E552" s="5" t="s">
        <v>72</v>
      </c>
      <c r="F552" s="21" t="n">
        <v>3114</v>
      </c>
      <c r="G552" s="21" t="n">
        <v>15.5699996948242</v>
      </c>
      <c r="H552" s="22" t="n">
        <f aca="false">F552+G552</f>
        <v>3129.56999969482</v>
      </c>
      <c r="I552" s="13" t="n">
        <f aca="false">INDEX(RM_Rates!$F$5:$F$137,MATCH(C552,RM_Rates!$A$5:$A$137,0))</f>
        <v>1.968214</v>
      </c>
      <c r="J552" s="22" t="n">
        <f aca="false">H552*I552</f>
        <v>6159.66348737935</v>
      </c>
    </row>
    <row r="553" customFormat="false" ht="15" hidden="false" customHeight="false" outlineLevel="0" collapsed="false">
      <c r="A553" s="5" t="s">
        <v>518</v>
      </c>
      <c r="B553" s="2" t="s">
        <v>679</v>
      </c>
      <c r="C553" s="5" t="s">
        <v>328</v>
      </c>
      <c r="D553" s="5" t="s">
        <v>329</v>
      </c>
      <c r="E553" s="5" t="s">
        <v>72</v>
      </c>
      <c r="F553" s="21" t="n">
        <v>347.169006347656</v>
      </c>
      <c r="G553" s="21" t="n">
        <v>17.3610000610352</v>
      </c>
      <c r="H553" s="22" t="n">
        <f aca="false">F553+G553</f>
        <v>364.530006408691</v>
      </c>
      <c r="I553" s="13" t="n">
        <f aca="false">INDEX(RM_Rates!$F$5:$F$137,MATCH(C553,RM_Rates!$A$5:$A$137,0))</f>
        <v>0.821246385574341</v>
      </c>
      <c r="J553" s="22" t="n">
        <f aca="false">H553*I553</f>
        <v>299.368950196529</v>
      </c>
    </row>
    <row r="554" customFormat="false" ht="15" hidden="false" customHeight="false" outlineLevel="0" collapsed="false">
      <c r="A554" s="5" t="s">
        <v>518</v>
      </c>
      <c r="B554" s="2" t="s">
        <v>679</v>
      </c>
      <c r="C554" s="5" t="s">
        <v>312</v>
      </c>
      <c r="D554" s="5" t="s">
        <v>313</v>
      </c>
      <c r="E554" s="5" t="s">
        <v>72</v>
      </c>
      <c r="F554" s="21" t="n">
        <v>1649.10009765625</v>
      </c>
      <c r="G554" s="21" t="n">
        <v>82.4550018310547</v>
      </c>
      <c r="H554" s="22" t="n">
        <f aca="false">F554+G554</f>
        <v>1731.5550994873</v>
      </c>
      <c r="I554" s="13" t="n">
        <f aca="false">INDEX(RM_Rates!$F$5:$F$137,MATCH(C554,RM_Rates!$A$5:$A$137,0))</f>
        <v>0.600000023841858</v>
      </c>
      <c r="J554" s="22" t="n">
        <f aca="false">H554*I554</f>
        <v>1038.93310097587</v>
      </c>
    </row>
    <row r="555" customFormat="false" ht="15" hidden="false" customHeight="false" outlineLevel="0" collapsed="false">
      <c r="A555" s="5" t="s">
        <v>518</v>
      </c>
      <c r="B555" s="2" t="s">
        <v>679</v>
      </c>
      <c r="C555" s="5" t="s">
        <v>160</v>
      </c>
      <c r="D555" s="5" t="s">
        <v>161</v>
      </c>
      <c r="E555" s="5" t="s">
        <v>72</v>
      </c>
      <c r="F555" s="21" t="n">
        <v>146.700012207031</v>
      </c>
      <c r="G555" s="21" t="n">
        <v>1.46700000762939</v>
      </c>
      <c r="H555" s="22" t="n">
        <f aca="false">F555+G555</f>
        <v>148.16701221466</v>
      </c>
      <c r="I555" s="13" t="n">
        <f aca="false">INDEX(RM_Rates!$F$5:$F$137,MATCH(C555,RM_Rates!$A$5:$A$137,0))</f>
        <v>3.00841188430786</v>
      </c>
      <c r="J555" s="22" t="n">
        <f aca="false">H555*I555</f>
        <v>445.747400408972</v>
      </c>
    </row>
    <row r="556" customFormat="false" ht="15" hidden="false" customHeight="false" outlineLevel="0" collapsed="false">
      <c r="A556" s="5" t="s">
        <v>518</v>
      </c>
      <c r="B556" s="2" t="s">
        <v>679</v>
      </c>
      <c r="C556" s="5" t="s">
        <v>220</v>
      </c>
      <c r="D556" s="5" t="s">
        <v>221</v>
      </c>
      <c r="E556" s="5" t="s">
        <v>72</v>
      </c>
      <c r="F556" s="21" t="n">
        <v>745.919982910156</v>
      </c>
      <c r="G556" s="21" t="n">
        <v>0</v>
      </c>
      <c r="H556" s="22" t="n">
        <f aca="false">F556+G556</f>
        <v>745.919982910156</v>
      </c>
      <c r="I556" s="13" t="n">
        <f aca="false">INDEX(RM_Rates!$F$5:$F$137,MATCH(C556,RM_Rates!$A$5:$A$137,0))</f>
        <v>0.379036813974381</v>
      </c>
      <c r="J556" s="22" t="n">
        <f aca="false">H556*I556</f>
        <v>282.73113380209</v>
      </c>
    </row>
    <row r="557" customFormat="false" ht="15" hidden="false" customHeight="false" outlineLevel="0" collapsed="false">
      <c r="A557" s="5" t="s">
        <v>518</v>
      </c>
      <c r="B557" s="2" t="s">
        <v>679</v>
      </c>
      <c r="C557" s="5" t="s">
        <v>230</v>
      </c>
      <c r="D557" s="5" t="s">
        <v>231</v>
      </c>
      <c r="E557" s="5" t="s">
        <v>72</v>
      </c>
      <c r="F557" s="21" t="n">
        <v>31</v>
      </c>
      <c r="G557" s="21" t="n">
        <v>0</v>
      </c>
      <c r="H557" s="22" t="n">
        <f aca="false">F557+G557</f>
        <v>31</v>
      </c>
      <c r="I557" s="13" t="n">
        <f aca="false">INDEX(RM_Rates!$F$5:$F$137,MATCH(C557,RM_Rates!$A$5:$A$137,0))</f>
        <v>0.742858171463013</v>
      </c>
      <c r="J557" s="22" t="n">
        <f aca="false">H557*I557</f>
        <v>23.0286033153534</v>
      </c>
    </row>
    <row r="558" customFormat="false" ht="15" hidden="false" customHeight="false" outlineLevel="0" collapsed="false">
      <c r="A558" s="5" t="s">
        <v>518</v>
      </c>
      <c r="B558" s="2" t="s">
        <v>679</v>
      </c>
      <c r="C558" s="5" t="s">
        <v>246</v>
      </c>
      <c r="D558" s="5" t="s">
        <v>247</v>
      </c>
      <c r="E558" s="5" t="s">
        <v>72</v>
      </c>
      <c r="F558" s="21" t="n">
        <v>1832.0400390625</v>
      </c>
      <c r="G558" s="21" t="n">
        <v>4.57999992370606</v>
      </c>
      <c r="H558" s="22" t="n">
        <f aca="false">F558+G558</f>
        <v>1836.62003898621</v>
      </c>
      <c r="I558" s="13" t="n">
        <f aca="false">INDEX(RM_Rates!$F$5:$F$137,MATCH(C558,RM_Rates!$A$5:$A$137,0))</f>
        <v>0.420493960380554</v>
      </c>
      <c r="J558" s="22" t="n">
        <f aca="false">H558*I558</f>
        <v>772.287633907597</v>
      </c>
    </row>
    <row r="559" customFormat="false" ht="15" hidden="false" customHeight="false" outlineLevel="0" collapsed="false">
      <c r="A559" s="5" t="s">
        <v>518</v>
      </c>
      <c r="B559" s="2" t="s">
        <v>679</v>
      </c>
      <c r="C559" s="5" t="s">
        <v>232</v>
      </c>
      <c r="D559" s="5" t="s">
        <v>233</v>
      </c>
      <c r="E559" s="5" t="s">
        <v>72</v>
      </c>
      <c r="F559" s="21" t="n">
        <v>29.3126411437988</v>
      </c>
      <c r="G559" s="21" t="n">
        <v>0.0729999989271164</v>
      </c>
      <c r="H559" s="22" t="n">
        <f aca="false">F559+G559</f>
        <v>29.3856411427259</v>
      </c>
      <c r="I559" s="13" t="n">
        <f aca="false">INDEX(RM_Rates!$F$5:$F$137,MATCH(C559,RM_Rates!$A$5:$A$137,0))</f>
        <v>1.45200002193451</v>
      </c>
      <c r="J559" s="22" t="n">
        <f aca="false">H559*I559</f>
        <v>42.6679515837977</v>
      </c>
    </row>
    <row r="560" customFormat="false" ht="15" hidden="false" customHeight="false" outlineLevel="0" collapsed="false">
      <c r="A560" s="5" t="s">
        <v>518</v>
      </c>
      <c r="B560" s="2" t="s">
        <v>679</v>
      </c>
      <c r="C560" s="5" t="s">
        <v>277</v>
      </c>
      <c r="D560" s="5" t="s">
        <v>278</v>
      </c>
      <c r="E560" s="5" t="s">
        <v>72</v>
      </c>
      <c r="F560" s="21" t="n">
        <v>4230.7001953125</v>
      </c>
      <c r="G560" s="21" t="n">
        <v>42.306999206543</v>
      </c>
      <c r="H560" s="22" t="n">
        <f aca="false">F560+G560</f>
        <v>4273.00719451904</v>
      </c>
      <c r="I560" s="13" t="n">
        <f aca="false">INDEX(RM_Rates!$F$5:$F$137,MATCH(C560,RM_Rates!$A$5:$A$137,0))</f>
        <v>0.363243609666824</v>
      </c>
      <c r="J560" s="22" t="n">
        <f aca="false">H560*I560</f>
        <v>1552.14255746941</v>
      </c>
    </row>
    <row r="561" customFormat="false" ht="15" hidden="false" customHeight="false" outlineLevel="0" collapsed="false">
      <c r="A561" s="5" t="s">
        <v>518</v>
      </c>
      <c r="B561" s="2" t="s">
        <v>679</v>
      </c>
      <c r="C561" s="5" t="s">
        <v>259</v>
      </c>
      <c r="D561" s="5" t="s">
        <v>260</v>
      </c>
      <c r="E561" s="5" t="s">
        <v>166</v>
      </c>
      <c r="F561" s="21" t="n">
        <v>4</v>
      </c>
      <c r="G561" s="21" t="n">
        <v>0</v>
      </c>
      <c r="H561" s="22" t="n">
        <f aca="false">F561+G561</f>
        <v>4</v>
      </c>
      <c r="I561" s="13" t="n">
        <f aca="false">INDEX(RM_Rates!$F$5:$F$137,MATCH(C561,RM_Rates!$A$5:$A$137,0))</f>
        <v>162</v>
      </c>
      <c r="J561" s="22" t="n">
        <f aca="false">H561*I561</f>
        <v>648</v>
      </c>
    </row>
    <row r="562" customFormat="false" ht="15" hidden="false" customHeight="false" outlineLevel="0" collapsed="false">
      <c r="A562" s="5" t="s">
        <v>518</v>
      </c>
      <c r="B562" s="2" t="s">
        <v>679</v>
      </c>
      <c r="C562" s="5" t="s">
        <v>177</v>
      </c>
      <c r="D562" s="5" t="s">
        <v>178</v>
      </c>
      <c r="E562" s="5" t="s">
        <v>166</v>
      </c>
      <c r="F562" s="21" t="n">
        <v>8</v>
      </c>
      <c r="G562" s="21" t="n">
        <v>0</v>
      </c>
      <c r="H562" s="22" t="n">
        <f aca="false">F562+G562</f>
        <v>8</v>
      </c>
      <c r="I562" s="13" t="n">
        <f aca="false">INDEX(RM_Rates!$F$5:$F$137,MATCH(C562,RM_Rates!$A$5:$A$137,0))</f>
        <v>0.39300000667572</v>
      </c>
      <c r="J562" s="22" t="n">
        <f aca="false">H562*I562</f>
        <v>3.14400005340576</v>
      </c>
    </row>
    <row r="563" customFormat="false" ht="15" hidden="false" customHeight="false" outlineLevel="0" collapsed="false">
      <c r="A563" s="5" t="s">
        <v>518</v>
      </c>
      <c r="B563" s="2" t="s">
        <v>679</v>
      </c>
      <c r="C563" s="5" t="s">
        <v>189</v>
      </c>
      <c r="D563" s="5" t="s">
        <v>190</v>
      </c>
      <c r="E563" s="5" t="s">
        <v>60</v>
      </c>
      <c r="F563" s="21" t="n">
        <v>4</v>
      </c>
      <c r="G563" s="21" t="n">
        <v>0</v>
      </c>
      <c r="H563" s="22" t="n">
        <f aca="false">F563+G563</f>
        <v>4</v>
      </c>
      <c r="I563" s="13" t="n">
        <f aca="false">INDEX(RM_Rates!$F$5:$F$137,MATCH(C563,RM_Rates!$A$5:$A$137,0))</f>
        <v>0.568400025367737</v>
      </c>
      <c r="J563" s="22" t="n">
        <f aca="false">H563*I563</f>
        <v>2.27360010147095</v>
      </c>
    </row>
    <row r="564" customFormat="false" ht="15" hidden="false" customHeight="false" outlineLevel="0" collapsed="false">
      <c r="A564" s="5" t="s">
        <v>518</v>
      </c>
      <c r="B564" s="2" t="s">
        <v>679</v>
      </c>
      <c r="C564" s="5" t="s">
        <v>300</v>
      </c>
      <c r="D564" s="5" t="s">
        <v>301</v>
      </c>
      <c r="E564" s="5" t="s">
        <v>297</v>
      </c>
      <c r="F564" s="21" t="n">
        <v>27.6000003814697</v>
      </c>
      <c r="G564" s="21" t="n">
        <v>0</v>
      </c>
      <c r="H564" s="22" t="n">
        <f aca="false">F564+G564</f>
        <v>27.6000003814697</v>
      </c>
      <c r="I564" s="13" t="n">
        <f aca="false">INDEX(RM_Rates!$F$5:$F$137,MATCH(C564,RM_Rates!$A$5:$A$137,0))</f>
        <v>1.40752077102661</v>
      </c>
      <c r="J564" s="22" t="n">
        <f aca="false">H564*I564</f>
        <v>38.847573817261</v>
      </c>
    </row>
    <row r="565" customFormat="false" ht="15" hidden="false" customHeight="false" outlineLevel="0" collapsed="false">
      <c r="A565" s="5" t="s">
        <v>520</v>
      </c>
      <c r="B565" s="2" t="s">
        <v>680</v>
      </c>
      <c r="C565" s="5" t="s">
        <v>112</v>
      </c>
      <c r="D565" s="5" t="s">
        <v>113</v>
      </c>
      <c r="E565" s="5" t="s">
        <v>72</v>
      </c>
      <c r="F565" s="21" t="n">
        <v>3840</v>
      </c>
      <c r="G565" s="21" t="n">
        <v>19.2000007629395</v>
      </c>
      <c r="H565" s="22" t="n">
        <f aca="false">F565+G565</f>
        <v>3859.20000076294</v>
      </c>
      <c r="I565" s="13" t="n">
        <f aca="false">INDEX(RM_Rates!$F$5:$F$137,MATCH(C565,RM_Rates!$A$5:$A$137,0))</f>
        <v>1.970916</v>
      </c>
      <c r="J565" s="22" t="n">
        <f aca="false">H565*I565</f>
        <v>7606.15902870369</v>
      </c>
    </row>
    <row r="566" customFormat="false" ht="15" hidden="false" customHeight="false" outlineLevel="0" collapsed="false">
      <c r="A566" s="5" t="s">
        <v>520</v>
      </c>
      <c r="B566" s="2" t="s">
        <v>680</v>
      </c>
      <c r="C566" s="5" t="s">
        <v>328</v>
      </c>
      <c r="D566" s="5" t="s">
        <v>329</v>
      </c>
      <c r="E566" s="5" t="s">
        <v>72</v>
      </c>
      <c r="F566" s="21" t="n">
        <v>270.945007324219</v>
      </c>
      <c r="G566" s="21" t="n">
        <v>13.5480003356934</v>
      </c>
      <c r="H566" s="22" t="n">
        <f aca="false">F566+G566</f>
        <v>284.493007659912</v>
      </c>
      <c r="I566" s="13" t="n">
        <f aca="false">INDEX(RM_Rates!$F$5:$F$137,MATCH(C566,RM_Rates!$A$5:$A$137,0))</f>
        <v>0.821246385574341</v>
      </c>
      <c r="J566" s="22" t="n">
        <f aca="false">H566*I566</f>
        <v>233.638854261876</v>
      </c>
    </row>
    <row r="567" customFormat="false" ht="15" hidden="false" customHeight="false" outlineLevel="0" collapsed="false">
      <c r="A567" s="5" t="s">
        <v>520</v>
      </c>
      <c r="B567" s="2" t="s">
        <v>680</v>
      </c>
      <c r="C567" s="5" t="s">
        <v>312</v>
      </c>
      <c r="D567" s="5" t="s">
        <v>313</v>
      </c>
      <c r="E567" s="5" t="s">
        <v>72</v>
      </c>
      <c r="F567" s="21" t="n">
        <v>840.600036621094</v>
      </c>
      <c r="G567" s="21" t="n">
        <v>42.0299987792969</v>
      </c>
      <c r="H567" s="22" t="n">
        <f aca="false">F567+G567</f>
        <v>882.630035400391</v>
      </c>
      <c r="I567" s="13" t="n">
        <f aca="false">INDEX(RM_Rates!$F$5:$F$137,MATCH(C567,RM_Rates!$A$5:$A$137,0))</f>
        <v>0.600000023841858</v>
      </c>
      <c r="J567" s="22" t="n">
        <f aca="false">H567*I567</f>
        <v>529.578042283775</v>
      </c>
    </row>
    <row r="568" customFormat="false" ht="15" hidden="false" customHeight="false" outlineLevel="0" collapsed="false">
      <c r="A568" s="5" t="s">
        <v>520</v>
      </c>
      <c r="B568" s="2" t="s">
        <v>680</v>
      </c>
      <c r="C568" s="5" t="s">
        <v>160</v>
      </c>
      <c r="D568" s="5" t="s">
        <v>161</v>
      </c>
      <c r="E568" s="5" t="s">
        <v>72</v>
      </c>
      <c r="F568" s="21" t="n">
        <v>120</v>
      </c>
      <c r="G568" s="21" t="n">
        <v>1.20000004768372</v>
      </c>
      <c r="H568" s="22" t="n">
        <f aca="false">F568+G568</f>
        <v>121.200000047684</v>
      </c>
      <c r="I568" s="13" t="n">
        <f aca="false">INDEX(RM_Rates!$F$5:$F$137,MATCH(C568,RM_Rates!$A$5:$A$137,0))</f>
        <v>3.00841188430786</v>
      </c>
      <c r="J568" s="22" t="n">
        <f aca="false">H568*I568</f>
        <v>364.619520521565</v>
      </c>
    </row>
    <row r="569" customFormat="false" ht="15" hidden="false" customHeight="false" outlineLevel="0" collapsed="false">
      <c r="A569" s="5" t="s">
        <v>520</v>
      </c>
      <c r="B569" s="2" t="s">
        <v>680</v>
      </c>
      <c r="C569" s="5" t="s">
        <v>220</v>
      </c>
      <c r="D569" s="5" t="s">
        <v>221</v>
      </c>
      <c r="E569" s="5" t="s">
        <v>72</v>
      </c>
      <c r="F569" s="21" t="n">
        <v>475.079986572266</v>
      </c>
      <c r="G569" s="21" t="n">
        <v>0</v>
      </c>
      <c r="H569" s="22" t="n">
        <f aca="false">F569+G569</f>
        <v>475.079986572266</v>
      </c>
      <c r="I569" s="13" t="n">
        <f aca="false">INDEX(RM_Rates!$F$5:$F$137,MATCH(C569,RM_Rates!$A$5:$A$137,0))</f>
        <v>0.379036813974381</v>
      </c>
      <c r="J569" s="22" t="n">
        <f aca="false">H569*I569</f>
        <v>180.072804493343</v>
      </c>
    </row>
    <row r="570" customFormat="false" ht="15" hidden="false" customHeight="false" outlineLevel="0" collapsed="false">
      <c r="A570" s="5" t="s">
        <v>520</v>
      </c>
      <c r="B570" s="2" t="s">
        <v>680</v>
      </c>
      <c r="C570" s="5" t="s">
        <v>230</v>
      </c>
      <c r="D570" s="5" t="s">
        <v>231</v>
      </c>
      <c r="E570" s="5" t="s">
        <v>72</v>
      </c>
      <c r="F570" s="21" t="n">
        <v>25.3999996185303</v>
      </c>
      <c r="G570" s="21" t="n">
        <v>0</v>
      </c>
      <c r="H570" s="22" t="n">
        <f aca="false">F570+G570</f>
        <v>25.3999996185303</v>
      </c>
      <c r="I570" s="13" t="n">
        <f aca="false">INDEX(RM_Rates!$F$5:$F$137,MATCH(C570,RM_Rates!$A$5:$A$137,0))</f>
        <v>0.742858171463013</v>
      </c>
      <c r="J570" s="22" t="n">
        <f aca="false">H570*I570</f>
        <v>18.8685972717826</v>
      </c>
    </row>
    <row r="571" customFormat="false" ht="15" hidden="false" customHeight="false" outlineLevel="0" collapsed="false">
      <c r="A571" s="5" t="s">
        <v>520</v>
      </c>
      <c r="B571" s="2" t="s">
        <v>680</v>
      </c>
      <c r="C571" s="5" t="s">
        <v>246</v>
      </c>
      <c r="D571" s="5" t="s">
        <v>247</v>
      </c>
      <c r="E571" s="5" t="s">
        <v>72</v>
      </c>
      <c r="F571" s="21" t="n">
        <v>1288.47998046875</v>
      </c>
      <c r="G571" s="21" t="n">
        <v>3.22099995613098</v>
      </c>
      <c r="H571" s="22" t="n">
        <f aca="false">F571+G571</f>
        <v>1291.70098042488</v>
      </c>
      <c r="I571" s="13" t="n">
        <f aca="false">INDEX(RM_Rates!$F$5:$F$137,MATCH(C571,RM_Rates!$A$5:$A$137,0))</f>
        <v>0.420493960380554</v>
      </c>
      <c r="J571" s="22" t="n">
        <f aca="false">H571*I571</f>
        <v>543.152460886303</v>
      </c>
    </row>
    <row r="572" customFormat="false" ht="15" hidden="false" customHeight="false" outlineLevel="0" collapsed="false">
      <c r="A572" s="5" t="s">
        <v>520</v>
      </c>
      <c r="B572" s="2" t="s">
        <v>680</v>
      </c>
      <c r="C572" s="5" t="s">
        <v>232</v>
      </c>
      <c r="D572" s="5" t="s">
        <v>233</v>
      </c>
      <c r="E572" s="5" t="s">
        <v>72</v>
      </c>
      <c r="F572" s="21" t="n">
        <v>20.6156806945801</v>
      </c>
      <c r="G572" s="21" t="n">
        <v>0.0509999990463257</v>
      </c>
      <c r="H572" s="22" t="n">
        <f aca="false">F572+G572</f>
        <v>20.6666806936264</v>
      </c>
      <c r="I572" s="13" t="n">
        <f aca="false">INDEX(RM_Rates!$F$5:$F$137,MATCH(C572,RM_Rates!$A$5:$A$137,0))</f>
        <v>1.45200002193451</v>
      </c>
      <c r="J572" s="22" t="n">
        <f aca="false">H572*I572</f>
        <v>30.0080208204591</v>
      </c>
    </row>
    <row r="573" customFormat="false" ht="15" hidden="false" customHeight="false" outlineLevel="0" collapsed="false">
      <c r="A573" s="5" t="s">
        <v>520</v>
      </c>
      <c r="B573" s="2" t="s">
        <v>680</v>
      </c>
      <c r="C573" s="5" t="s">
        <v>275</v>
      </c>
      <c r="D573" s="5" t="s">
        <v>276</v>
      </c>
      <c r="E573" s="5" t="s">
        <v>72</v>
      </c>
      <c r="F573" s="21" t="n">
        <v>2743.19995117188</v>
      </c>
      <c r="G573" s="21" t="n">
        <v>27.431999206543</v>
      </c>
      <c r="H573" s="22" t="n">
        <f aca="false">F573+G573</f>
        <v>2770.63195037842</v>
      </c>
      <c r="I573" s="13" t="n">
        <f aca="false">INDEX(RM_Rates!$F$5:$F$137,MATCH(C573,RM_Rates!$A$5:$A$137,0))</f>
        <v>0.367191910743713</v>
      </c>
      <c r="J573" s="22" t="n">
        <f aca="false">H573*I573</f>
        <v>1017.35363982703</v>
      </c>
    </row>
    <row r="574" customFormat="false" ht="15" hidden="false" customHeight="false" outlineLevel="0" collapsed="false">
      <c r="A574" s="5" t="s">
        <v>520</v>
      </c>
      <c r="B574" s="2" t="s">
        <v>680</v>
      </c>
      <c r="C574" s="5" t="s">
        <v>255</v>
      </c>
      <c r="D574" s="5" t="s">
        <v>256</v>
      </c>
      <c r="E574" s="5" t="s">
        <v>166</v>
      </c>
      <c r="F574" s="21" t="n">
        <v>4</v>
      </c>
      <c r="G574" s="21" t="n">
        <v>0</v>
      </c>
      <c r="H574" s="22" t="n">
        <f aca="false">F574+G574</f>
        <v>4</v>
      </c>
      <c r="I574" s="13" t="n">
        <f aca="false">INDEX(RM_Rates!$F$5:$F$137,MATCH(C574,RM_Rates!$A$5:$A$137,0))</f>
        <v>114.500701904297</v>
      </c>
      <c r="J574" s="22" t="n">
        <f aca="false">H574*I574</f>
        <v>458.002807617188</v>
      </c>
    </row>
    <row r="575" customFormat="false" ht="15" hidden="false" customHeight="false" outlineLevel="0" collapsed="false">
      <c r="A575" s="5" t="s">
        <v>520</v>
      </c>
      <c r="B575" s="2" t="s">
        <v>680</v>
      </c>
      <c r="C575" s="5" t="s">
        <v>177</v>
      </c>
      <c r="D575" s="5" t="s">
        <v>178</v>
      </c>
      <c r="E575" s="5" t="s">
        <v>166</v>
      </c>
      <c r="F575" s="21" t="n">
        <v>8</v>
      </c>
      <c r="G575" s="21" t="n">
        <v>0</v>
      </c>
      <c r="H575" s="22" t="n">
        <f aca="false">F575+G575</f>
        <v>8</v>
      </c>
      <c r="I575" s="13" t="n">
        <f aca="false">INDEX(RM_Rates!$F$5:$F$137,MATCH(C575,RM_Rates!$A$5:$A$137,0))</f>
        <v>0.39300000667572</v>
      </c>
      <c r="J575" s="22" t="n">
        <f aca="false">H575*I575</f>
        <v>3.14400005340576</v>
      </c>
    </row>
    <row r="576" customFormat="false" ht="15" hidden="false" customHeight="false" outlineLevel="0" collapsed="false">
      <c r="A576" s="5" t="s">
        <v>520</v>
      </c>
      <c r="B576" s="2" t="s">
        <v>680</v>
      </c>
      <c r="C576" s="5" t="s">
        <v>189</v>
      </c>
      <c r="D576" s="5" t="s">
        <v>190</v>
      </c>
      <c r="E576" s="5" t="s">
        <v>60</v>
      </c>
      <c r="F576" s="21" t="n">
        <v>3.07999992370605</v>
      </c>
      <c r="G576" s="21" t="n">
        <v>0</v>
      </c>
      <c r="H576" s="22" t="n">
        <f aca="false">F576+G576</f>
        <v>3.07999992370605</v>
      </c>
      <c r="I576" s="13" t="n">
        <f aca="false">INDEX(RM_Rates!$F$5:$F$137,MATCH(C576,RM_Rates!$A$5:$A$137,0))</f>
        <v>0.568400025367737</v>
      </c>
      <c r="J576" s="22" t="n">
        <f aca="false">H576*I576</f>
        <v>1.75067203476715</v>
      </c>
    </row>
    <row r="577" customFormat="false" ht="15" hidden="false" customHeight="false" outlineLevel="0" collapsed="false">
      <c r="A577" s="5" t="s">
        <v>520</v>
      </c>
      <c r="B577" s="2" t="s">
        <v>680</v>
      </c>
      <c r="C577" s="5" t="s">
        <v>295</v>
      </c>
      <c r="D577" s="5" t="s">
        <v>296</v>
      </c>
      <c r="E577" s="5" t="s">
        <v>297</v>
      </c>
      <c r="F577" s="21" t="n">
        <v>25.2000007629395</v>
      </c>
      <c r="G577" s="21" t="n">
        <v>0</v>
      </c>
      <c r="H577" s="22" t="n">
        <f aca="false">F577+G577</f>
        <v>25.2000007629395</v>
      </c>
      <c r="I577" s="13" t="n">
        <f aca="false">INDEX(RM_Rates!$F$5:$F$137,MATCH(C577,RM_Rates!$A$5:$A$137,0))</f>
        <v>1.40752077102661</v>
      </c>
      <c r="J577" s="22" t="n">
        <f aca="false">H577*I577</f>
        <v>35.4695245037238</v>
      </c>
    </row>
    <row r="578" customFormat="false" ht="15" hidden="false" customHeight="false" outlineLevel="0" collapsed="false">
      <c r="A578" s="5" t="s">
        <v>522</v>
      </c>
      <c r="B578" s="2" t="s">
        <v>681</v>
      </c>
      <c r="C578" s="5" t="s">
        <v>110</v>
      </c>
      <c r="D578" s="5" t="s">
        <v>111</v>
      </c>
      <c r="E578" s="5" t="s">
        <v>72</v>
      </c>
      <c r="F578" s="21" t="n">
        <v>3840</v>
      </c>
      <c r="G578" s="21" t="n">
        <v>19.2000007629395</v>
      </c>
      <c r="H578" s="22" t="n">
        <f aca="false">F578+G578</f>
        <v>3859.20000076294</v>
      </c>
      <c r="I578" s="13" t="n">
        <f aca="false">INDEX(RM_Rates!$F$5:$F$137,MATCH(C578,RM_Rates!$A$5:$A$137,0))</f>
        <v>1.968214</v>
      </c>
      <c r="J578" s="22" t="n">
        <f aca="false">H578*I578</f>
        <v>7595.73147030163</v>
      </c>
    </row>
    <row r="579" customFormat="false" ht="15" hidden="false" customHeight="false" outlineLevel="0" collapsed="false">
      <c r="A579" s="5" t="s">
        <v>522</v>
      </c>
      <c r="B579" s="2" t="s">
        <v>681</v>
      </c>
      <c r="C579" s="5" t="s">
        <v>328</v>
      </c>
      <c r="D579" s="5" t="s">
        <v>329</v>
      </c>
      <c r="E579" s="5" t="s">
        <v>72</v>
      </c>
      <c r="F579" s="21" t="n">
        <v>372.299987792969</v>
      </c>
      <c r="G579" s="21" t="n">
        <v>18.6149997711182</v>
      </c>
      <c r="H579" s="22" t="n">
        <f aca="false">F579+G579</f>
        <v>390.914987564087</v>
      </c>
      <c r="I579" s="13" t="n">
        <f aca="false">INDEX(RM_Rates!$F$5:$F$137,MATCH(C579,RM_Rates!$A$5:$A$137,0))</f>
        <v>0.821246385574341</v>
      </c>
      <c r="J579" s="22" t="n">
        <f aca="false">H579*I579</f>
        <v>321.037520603845</v>
      </c>
    </row>
    <row r="580" customFormat="false" ht="15" hidden="false" customHeight="false" outlineLevel="0" collapsed="false">
      <c r="A580" s="5" t="s">
        <v>522</v>
      </c>
      <c r="B580" s="2" t="s">
        <v>681</v>
      </c>
      <c r="C580" s="5" t="s">
        <v>312</v>
      </c>
      <c r="D580" s="5" t="s">
        <v>313</v>
      </c>
      <c r="E580" s="5" t="s">
        <v>72</v>
      </c>
      <c r="F580" s="21" t="n">
        <v>1767</v>
      </c>
      <c r="G580" s="21" t="n">
        <v>88.3500061035156</v>
      </c>
      <c r="H580" s="22" t="n">
        <f aca="false">F580+G580</f>
        <v>1855.35000610352</v>
      </c>
      <c r="I580" s="13" t="n">
        <f aca="false">INDEX(RM_Rates!$F$5:$F$137,MATCH(C580,RM_Rates!$A$5:$A$137,0))</f>
        <v>0.600000023841858</v>
      </c>
      <c r="J580" s="22" t="n">
        <f aca="false">H580*I580</f>
        <v>1113.2100478971</v>
      </c>
    </row>
    <row r="581" customFormat="false" ht="15" hidden="false" customHeight="false" outlineLevel="0" collapsed="false">
      <c r="A581" s="5" t="s">
        <v>522</v>
      </c>
      <c r="B581" s="2" t="s">
        <v>681</v>
      </c>
      <c r="C581" s="5" t="s">
        <v>160</v>
      </c>
      <c r="D581" s="5" t="s">
        <v>161</v>
      </c>
      <c r="E581" s="5" t="s">
        <v>72</v>
      </c>
      <c r="F581" s="21" t="n">
        <v>154.200012207031</v>
      </c>
      <c r="G581" s="21" t="n">
        <v>1.54200005531311</v>
      </c>
      <c r="H581" s="22" t="n">
        <f aca="false">F581+G581</f>
        <v>155.742012262344</v>
      </c>
      <c r="I581" s="13" t="n">
        <f aca="false">INDEX(RM_Rates!$F$5:$F$137,MATCH(C581,RM_Rates!$A$5:$A$137,0))</f>
        <v>3.00841188430786</v>
      </c>
      <c r="J581" s="22" t="n">
        <f aca="false">H581*I581</f>
        <v>468.536120576057</v>
      </c>
    </row>
    <row r="582" customFormat="false" ht="15" hidden="false" customHeight="false" outlineLevel="0" collapsed="false">
      <c r="A582" s="5" t="s">
        <v>522</v>
      </c>
      <c r="B582" s="2" t="s">
        <v>681</v>
      </c>
      <c r="C582" s="5" t="s">
        <v>220</v>
      </c>
      <c r="D582" s="5" t="s">
        <v>221</v>
      </c>
      <c r="E582" s="5" t="s">
        <v>72</v>
      </c>
      <c r="F582" s="21" t="n">
        <v>812.52001953125</v>
      </c>
      <c r="G582" s="21" t="n">
        <v>0</v>
      </c>
      <c r="H582" s="22" t="n">
        <f aca="false">F582+G582</f>
        <v>812.52001953125</v>
      </c>
      <c r="I582" s="13" t="n">
        <f aca="false">INDEX(RM_Rates!$F$5:$F$137,MATCH(C582,RM_Rates!$A$5:$A$137,0))</f>
        <v>0.379036813974381</v>
      </c>
      <c r="J582" s="22" t="n">
        <f aca="false">H582*I582</f>
        <v>307.974999493527</v>
      </c>
    </row>
    <row r="583" customFormat="false" ht="15" hidden="false" customHeight="false" outlineLevel="0" collapsed="false">
      <c r="A583" s="5" t="s">
        <v>522</v>
      </c>
      <c r="B583" s="2" t="s">
        <v>681</v>
      </c>
      <c r="C583" s="5" t="s">
        <v>230</v>
      </c>
      <c r="D583" s="5" t="s">
        <v>231</v>
      </c>
      <c r="E583" s="5" t="s">
        <v>72</v>
      </c>
      <c r="F583" s="21" t="n">
        <v>32.5999984741211</v>
      </c>
      <c r="G583" s="21" t="n">
        <v>0</v>
      </c>
      <c r="H583" s="22" t="n">
        <f aca="false">F583+G583</f>
        <v>32.5999984741211</v>
      </c>
      <c r="I583" s="13" t="n">
        <f aca="false">INDEX(RM_Rates!$F$5:$F$137,MATCH(C583,RM_Rates!$A$5:$A$137,0))</f>
        <v>0.742858171463013</v>
      </c>
      <c r="J583" s="22" t="n">
        <f aca="false">H583*I583</f>
        <v>24.2171752561826</v>
      </c>
    </row>
    <row r="584" customFormat="false" ht="15" hidden="false" customHeight="false" outlineLevel="0" collapsed="false">
      <c r="A584" s="5" t="s">
        <v>522</v>
      </c>
      <c r="B584" s="2" t="s">
        <v>681</v>
      </c>
      <c r="C584" s="5" t="s">
        <v>246</v>
      </c>
      <c r="D584" s="5" t="s">
        <v>247</v>
      </c>
      <c r="E584" s="5" t="s">
        <v>72</v>
      </c>
      <c r="F584" s="21" t="n">
        <v>1956.17993164063</v>
      </c>
      <c r="G584" s="21" t="n">
        <v>4.89000034332275</v>
      </c>
      <c r="H584" s="22" t="n">
        <f aca="false">F584+G584</f>
        <v>1961.06993198395</v>
      </c>
      <c r="I584" s="13" t="n">
        <f aca="false">INDEX(RM_Rates!$F$5:$F$137,MATCH(C584,RM_Rates!$A$5:$A$137,0))</f>
        <v>0.420493960380554</v>
      </c>
      <c r="J584" s="22" t="n">
        <f aca="false">H584*I584</f>
        <v>824.618062283156</v>
      </c>
    </row>
    <row r="585" customFormat="false" ht="15" hidden="false" customHeight="false" outlineLevel="0" collapsed="false">
      <c r="A585" s="5" t="s">
        <v>522</v>
      </c>
      <c r="B585" s="2" t="s">
        <v>681</v>
      </c>
      <c r="C585" s="5" t="s">
        <v>232</v>
      </c>
      <c r="D585" s="5" t="s">
        <v>233</v>
      </c>
      <c r="E585" s="5" t="s">
        <v>72</v>
      </c>
      <c r="F585" s="21" t="n">
        <v>31.2988796234131</v>
      </c>
      <c r="G585" s="21" t="n">
        <v>0.0780000016093254</v>
      </c>
      <c r="H585" s="22" t="n">
        <f aca="false">F585+G585</f>
        <v>31.3768796250224</v>
      </c>
      <c r="I585" s="13" t="n">
        <f aca="false">INDEX(RM_Rates!$F$5:$F$137,MATCH(C585,RM_Rates!$A$5:$A$137,0))</f>
        <v>1.45200002193451</v>
      </c>
      <c r="J585" s="22" t="n">
        <f aca="false">H585*I585</f>
        <v>45.559229903769</v>
      </c>
    </row>
    <row r="586" customFormat="false" ht="15" hidden="false" customHeight="false" outlineLevel="0" collapsed="false">
      <c r="A586" s="5" t="s">
        <v>522</v>
      </c>
      <c r="B586" s="2" t="s">
        <v>681</v>
      </c>
      <c r="C586" s="5" t="s">
        <v>277</v>
      </c>
      <c r="D586" s="5" t="s">
        <v>278</v>
      </c>
      <c r="E586" s="5" t="s">
        <v>72</v>
      </c>
      <c r="F586" s="21" t="n">
        <v>4479.60009765625</v>
      </c>
      <c r="G586" s="21" t="n">
        <v>44.7960014343262</v>
      </c>
      <c r="H586" s="22" t="n">
        <f aca="false">F586+G586</f>
        <v>4524.39609909058</v>
      </c>
      <c r="I586" s="13" t="n">
        <f aca="false">INDEX(RM_Rates!$F$5:$F$137,MATCH(C586,RM_Rates!$A$5:$A$137,0))</f>
        <v>0.363243609666824</v>
      </c>
      <c r="J586" s="22" t="n">
        <f aca="false">H586*I586</f>
        <v>1643.45797059616</v>
      </c>
    </row>
    <row r="587" customFormat="false" ht="15" hidden="false" customHeight="false" outlineLevel="0" collapsed="false">
      <c r="A587" s="5" t="s">
        <v>522</v>
      </c>
      <c r="B587" s="2" t="s">
        <v>681</v>
      </c>
      <c r="C587" s="5" t="s">
        <v>259</v>
      </c>
      <c r="D587" s="5" t="s">
        <v>260</v>
      </c>
      <c r="E587" s="5" t="s">
        <v>166</v>
      </c>
      <c r="F587" s="21" t="n">
        <v>4</v>
      </c>
      <c r="G587" s="21" t="n">
        <v>0</v>
      </c>
      <c r="H587" s="22" t="n">
        <f aca="false">F587+G587</f>
        <v>4</v>
      </c>
      <c r="I587" s="13" t="n">
        <f aca="false">INDEX(RM_Rates!$F$5:$F$137,MATCH(C587,RM_Rates!$A$5:$A$137,0))</f>
        <v>162</v>
      </c>
      <c r="J587" s="22" t="n">
        <f aca="false">H587*I587</f>
        <v>648</v>
      </c>
    </row>
    <row r="588" customFormat="false" ht="15" hidden="false" customHeight="false" outlineLevel="0" collapsed="false">
      <c r="A588" s="5" t="s">
        <v>522</v>
      </c>
      <c r="B588" s="2" t="s">
        <v>681</v>
      </c>
      <c r="C588" s="5" t="s">
        <v>177</v>
      </c>
      <c r="D588" s="5" t="s">
        <v>178</v>
      </c>
      <c r="E588" s="5" t="s">
        <v>166</v>
      </c>
      <c r="F588" s="21" t="n">
        <v>8</v>
      </c>
      <c r="G588" s="21" t="n">
        <v>0</v>
      </c>
      <c r="H588" s="22" t="n">
        <f aca="false">F588+G588</f>
        <v>8</v>
      </c>
      <c r="I588" s="13" t="n">
        <f aca="false">INDEX(RM_Rates!$F$5:$F$137,MATCH(C588,RM_Rates!$A$5:$A$137,0))</f>
        <v>0.39300000667572</v>
      </c>
      <c r="J588" s="22" t="n">
        <f aca="false">H588*I588</f>
        <v>3.14400005340576</v>
      </c>
    </row>
    <row r="589" customFormat="false" ht="15" hidden="false" customHeight="false" outlineLevel="0" collapsed="false">
      <c r="A589" s="5" t="s">
        <v>522</v>
      </c>
      <c r="B589" s="2" t="s">
        <v>681</v>
      </c>
      <c r="C589" s="5" t="s">
        <v>189</v>
      </c>
      <c r="D589" s="5" t="s">
        <v>190</v>
      </c>
      <c r="E589" s="5" t="s">
        <v>60</v>
      </c>
      <c r="F589" s="21" t="n">
        <v>4</v>
      </c>
      <c r="G589" s="21" t="n">
        <v>0</v>
      </c>
      <c r="H589" s="22" t="n">
        <f aca="false">F589+G589</f>
        <v>4</v>
      </c>
      <c r="I589" s="13" t="n">
        <f aca="false">INDEX(RM_Rates!$F$5:$F$137,MATCH(C589,RM_Rates!$A$5:$A$137,0))</f>
        <v>0.568400025367737</v>
      </c>
      <c r="J589" s="22" t="n">
        <f aca="false">H589*I589</f>
        <v>2.27360010147095</v>
      </c>
    </row>
    <row r="590" customFormat="false" ht="15" hidden="false" customHeight="false" outlineLevel="0" collapsed="false">
      <c r="A590" s="5" t="s">
        <v>522</v>
      </c>
      <c r="B590" s="2" t="s">
        <v>681</v>
      </c>
      <c r="C590" s="5" t="s">
        <v>300</v>
      </c>
      <c r="D590" s="5" t="s">
        <v>301</v>
      </c>
      <c r="E590" s="5" t="s">
        <v>297</v>
      </c>
      <c r="F590" s="21" t="n">
        <v>27.6000003814697</v>
      </c>
      <c r="G590" s="21" t="n">
        <v>0</v>
      </c>
      <c r="H590" s="22" t="n">
        <f aca="false">F590+G590</f>
        <v>27.6000003814697</v>
      </c>
      <c r="I590" s="13" t="n">
        <f aca="false">INDEX(RM_Rates!$F$5:$F$137,MATCH(C590,RM_Rates!$A$5:$A$137,0))</f>
        <v>1.40752077102661</v>
      </c>
      <c r="J590" s="22" t="n">
        <f aca="false">H590*I590</f>
        <v>38.847573817261</v>
      </c>
    </row>
    <row r="591" customFormat="false" ht="15" hidden="false" customHeight="false" outlineLevel="0" collapsed="false">
      <c r="A591" s="5" t="s">
        <v>524</v>
      </c>
      <c r="B591" s="2" t="s">
        <v>682</v>
      </c>
      <c r="C591" s="5" t="s">
        <v>114</v>
      </c>
      <c r="D591" s="5" t="s">
        <v>115</v>
      </c>
      <c r="E591" s="5" t="s">
        <v>72</v>
      </c>
      <c r="F591" s="21" t="n">
        <v>4749</v>
      </c>
      <c r="G591" s="21" t="n">
        <v>23.7449989318848</v>
      </c>
      <c r="H591" s="22" t="n">
        <f aca="false">F591+G591</f>
        <v>4772.74499893189</v>
      </c>
      <c r="I591" s="13" t="n">
        <f aca="false">INDEX(RM_Rates!$F$5:$F$137,MATCH(C591,RM_Rates!$A$5:$A$137,0))</f>
        <v>1.969372</v>
      </c>
      <c r="J591" s="22" t="n">
        <f aca="false">H591*I591</f>
        <v>9399.31036403648</v>
      </c>
    </row>
    <row r="592" customFormat="false" ht="15" hidden="false" customHeight="false" outlineLevel="0" collapsed="false">
      <c r="A592" s="5" t="s">
        <v>524</v>
      </c>
      <c r="B592" s="2" t="s">
        <v>682</v>
      </c>
      <c r="C592" s="5" t="s">
        <v>328</v>
      </c>
      <c r="D592" s="5" t="s">
        <v>329</v>
      </c>
      <c r="E592" s="5" t="s">
        <v>72</v>
      </c>
      <c r="F592" s="21" t="n">
        <v>289.790985107422</v>
      </c>
      <c r="G592" s="21" t="n">
        <v>14.4899997711182</v>
      </c>
      <c r="H592" s="22" t="n">
        <f aca="false">F592+G592</f>
        <v>304.28098487854</v>
      </c>
      <c r="I592" s="13" t="n">
        <f aca="false">INDEX(RM_Rates!$F$5:$F$137,MATCH(C592,RM_Rates!$A$5:$A$137,0))</f>
        <v>0.821246385574341</v>
      </c>
      <c r="J592" s="22" t="n">
        <f aca="false">H592*I592</f>
        <v>249.889659030502</v>
      </c>
    </row>
    <row r="593" customFormat="false" ht="15" hidden="false" customHeight="false" outlineLevel="0" collapsed="false">
      <c r="A593" s="5" t="s">
        <v>524</v>
      </c>
      <c r="B593" s="2" t="s">
        <v>682</v>
      </c>
      <c r="C593" s="5" t="s">
        <v>312</v>
      </c>
      <c r="D593" s="5" t="s">
        <v>313</v>
      </c>
      <c r="E593" s="5" t="s">
        <v>72</v>
      </c>
      <c r="F593" s="21" t="n">
        <v>898.800048828125</v>
      </c>
      <c r="G593" s="21" t="n">
        <v>44.939998626709</v>
      </c>
      <c r="H593" s="22" t="n">
        <f aca="false">F593+G593</f>
        <v>943.740047454834</v>
      </c>
      <c r="I593" s="13" t="n">
        <f aca="false">INDEX(RM_Rates!$F$5:$F$137,MATCH(C593,RM_Rates!$A$5:$A$137,0))</f>
        <v>0.600000023841858</v>
      </c>
      <c r="J593" s="22" t="n">
        <f aca="false">H593*I593</f>
        <v>566.244050973417</v>
      </c>
    </row>
    <row r="594" customFormat="false" ht="15" hidden="false" customHeight="false" outlineLevel="0" collapsed="false">
      <c r="A594" s="5" t="s">
        <v>524</v>
      </c>
      <c r="B594" s="2" t="s">
        <v>682</v>
      </c>
      <c r="C594" s="5" t="s">
        <v>160</v>
      </c>
      <c r="D594" s="5" t="s">
        <v>161</v>
      </c>
      <c r="E594" s="5" t="s">
        <v>72</v>
      </c>
      <c r="F594" s="21" t="n">
        <v>126.600006103516</v>
      </c>
      <c r="G594" s="21" t="n">
        <v>1.26600003242493</v>
      </c>
      <c r="H594" s="22" t="n">
        <f aca="false">F594+G594</f>
        <v>127.866006135941</v>
      </c>
      <c r="I594" s="13" t="n">
        <f aca="false">INDEX(RM_Rates!$F$5:$F$137,MATCH(C594,RM_Rates!$A$5:$A$137,0))</f>
        <v>3.00841188430786</v>
      </c>
      <c r="J594" s="22" t="n">
        <f aca="false">H594*I594</f>
        <v>384.673612458346</v>
      </c>
    </row>
    <row r="595" customFormat="false" ht="15" hidden="false" customHeight="false" outlineLevel="0" collapsed="false">
      <c r="A595" s="5" t="s">
        <v>524</v>
      </c>
      <c r="B595" s="2" t="s">
        <v>682</v>
      </c>
      <c r="C595" s="5" t="s">
        <v>220</v>
      </c>
      <c r="D595" s="5" t="s">
        <v>221</v>
      </c>
      <c r="E595" s="5" t="s">
        <v>72</v>
      </c>
      <c r="F595" s="21" t="n">
        <v>541.679992675781</v>
      </c>
      <c r="G595" s="21" t="n">
        <v>0</v>
      </c>
      <c r="H595" s="22" t="n">
        <f aca="false">F595+G595</f>
        <v>541.679992675781</v>
      </c>
      <c r="I595" s="13" t="n">
        <f aca="false">INDEX(RM_Rates!$F$5:$F$137,MATCH(C595,RM_Rates!$A$5:$A$137,0))</f>
        <v>0.379036813974381</v>
      </c>
      <c r="J595" s="22" t="n">
        <f aca="false">H595*I595</f>
        <v>205.316658617494</v>
      </c>
    </row>
    <row r="596" customFormat="false" ht="15" hidden="false" customHeight="false" outlineLevel="0" collapsed="false">
      <c r="A596" s="5" t="s">
        <v>524</v>
      </c>
      <c r="B596" s="2" t="s">
        <v>682</v>
      </c>
      <c r="C596" s="5" t="s">
        <v>230</v>
      </c>
      <c r="D596" s="5" t="s">
        <v>231</v>
      </c>
      <c r="E596" s="5" t="s">
        <v>72</v>
      </c>
      <c r="F596" s="21" t="n">
        <v>26.7999992370605</v>
      </c>
      <c r="G596" s="21" t="n">
        <v>0</v>
      </c>
      <c r="H596" s="22" t="n">
        <f aca="false">F596+G596</f>
        <v>26.7999992370605</v>
      </c>
      <c r="I596" s="13" t="n">
        <f aca="false">INDEX(RM_Rates!$F$5:$F$137,MATCH(C596,RM_Rates!$A$5:$A$137,0))</f>
        <v>0.742858171463013</v>
      </c>
      <c r="J596" s="22" t="n">
        <f aca="false">H596*I596</f>
        <v>19.9085984284529</v>
      </c>
    </row>
    <row r="597" customFormat="false" ht="15" hidden="false" customHeight="false" outlineLevel="0" collapsed="false">
      <c r="A597" s="5" t="s">
        <v>524</v>
      </c>
      <c r="B597" s="2" t="s">
        <v>682</v>
      </c>
      <c r="C597" s="5" t="s">
        <v>246</v>
      </c>
      <c r="D597" s="5" t="s">
        <v>247</v>
      </c>
      <c r="E597" s="5" t="s">
        <v>72</v>
      </c>
      <c r="F597" s="21" t="n">
        <v>1469.97998046875</v>
      </c>
      <c r="G597" s="21" t="n">
        <v>3.67499971389771</v>
      </c>
      <c r="H597" s="22" t="n">
        <f aca="false">F597+G597</f>
        <v>1473.65498018265</v>
      </c>
      <c r="I597" s="13" t="n">
        <f aca="false">INDEX(RM_Rates!$F$5:$F$137,MATCH(C597,RM_Rates!$A$5:$A$137,0))</f>
        <v>0.420493960380554</v>
      </c>
      <c r="J597" s="22" t="n">
        <f aca="false">H597*I597</f>
        <v>619.663018851528</v>
      </c>
    </row>
    <row r="598" customFormat="false" ht="15" hidden="false" customHeight="false" outlineLevel="0" collapsed="false">
      <c r="A598" s="5" t="s">
        <v>524</v>
      </c>
      <c r="B598" s="2" t="s">
        <v>682</v>
      </c>
      <c r="C598" s="5" t="s">
        <v>232</v>
      </c>
      <c r="D598" s="5" t="s">
        <v>233</v>
      </c>
      <c r="E598" s="5" t="s">
        <v>72</v>
      </c>
      <c r="F598" s="21" t="n">
        <v>7.25568008422852</v>
      </c>
      <c r="G598" s="21" t="n">
        <v>0.0179999992251396</v>
      </c>
      <c r="H598" s="22" t="n">
        <f aca="false">F598+G598</f>
        <v>7.27368008345366</v>
      </c>
      <c r="I598" s="13" t="n">
        <f aca="false">INDEX(RM_Rates!$F$5:$F$137,MATCH(C598,RM_Rates!$A$5:$A$137,0))</f>
        <v>1.45200002193451</v>
      </c>
      <c r="J598" s="22" t="n">
        <f aca="false">H598*I598</f>
        <v>10.5613836407193</v>
      </c>
    </row>
    <row r="599" customFormat="false" ht="15" hidden="false" customHeight="false" outlineLevel="0" collapsed="false">
      <c r="A599" s="5" t="s">
        <v>524</v>
      </c>
      <c r="B599" s="2" t="s">
        <v>682</v>
      </c>
      <c r="C599" s="5" t="s">
        <v>277</v>
      </c>
      <c r="D599" s="5" t="s">
        <v>278</v>
      </c>
      <c r="E599" s="5" t="s">
        <v>72</v>
      </c>
      <c r="F599" s="21" t="n">
        <v>3670.69995117188</v>
      </c>
      <c r="G599" s="21" t="n">
        <v>36.7070007324219</v>
      </c>
      <c r="H599" s="22" t="n">
        <f aca="false">F599+G599</f>
        <v>3707.4069519043</v>
      </c>
      <c r="I599" s="13" t="n">
        <f aca="false">INDEX(RM_Rates!$F$5:$F$137,MATCH(C599,RM_Rates!$A$5:$A$137,0))</f>
        <v>0.363243609666824</v>
      </c>
      <c r="J599" s="22" t="n">
        <f aca="false">H599*I599</f>
        <v>1346.6918837136</v>
      </c>
    </row>
    <row r="600" customFormat="false" ht="15" hidden="false" customHeight="false" outlineLevel="0" collapsed="false">
      <c r="A600" s="5" t="s">
        <v>524</v>
      </c>
      <c r="B600" s="2" t="s">
        <v>682</v>
      </c>
      <c r="C600" s="5" t="s">
        <v>236</v>
      </c>
      <c r="D600" s="5" t="s">
        <v>237</v>
      </c>
      <c r="E600" s="5" t="s">
        <v>60</v>
      </c>
      <c r="F600" s="21" t="n">
        <v>16.2639999389648</v>
      </c>
      <c r="G600" s="21" t="n">
        <v>0.0410000011324883</v>
      </c>
      <c r="H600" s="22" t="n">
        <f aca="false">F600+G600</f>
        <v>16.3049999400973</v>
      </c>
      <c r="I600" s="13" t="n">
        <f aca="false">INDEX(RM_Rates!$F$5:$F$137,MATCH(C600,RM_Rates!$A$5:$A$137,0))</f>
        <v>2.69143271446228</v>
      </c>
      <c r="J600" s="22" t="n">
        <f aca="false">H600*I600</f>
        <v>43.8838102480834</v>
      </c>
    </row>
    <row r="601" customFormat="false" ht="15" hidden="false" customHeight="false" outlineLevel="0" collapsed="false">
      <c r="A601" s="5" t="s">
        <v>524</v>
      </c>
      <c r="B601" s="2" t="s">
        <v>682</v>
      </c>
      <c r="C601" s="5" t="s">
        <v>257</v>
      </c>
      <c r="D601" s="5" t="s">
        <v>258</v>
      </c>
      <c r="E601" s="5" t="s">
        <v>166</v>
      </c>
      <c r="F601" s="21" t="n">
        <v>4</v>
      </c>
      <c r="G601" s="21" t="n">
        <v>0</v>
      </c>
      <c r="H601" s="22" t="n">
        <f aca="false">F601+G601</f>
        <v>4</v>
      </c>
      <c r="I601" s="13" t="n">
        <f aca="false">INDEX(RM_Rates!$F$5:$F$137,MATCH(C601,RM_Rates!$A$5:$A$137,0))</f>
        <v>131.083557128906</v>
      </c>
      <c r="J601" s="22" t="n">
        <f aca="false">H601*I601</f>
        <v>524.334228515624</v>
      </c>
    </row>
    <row r="602" customFormat="false" ht="15" hidden="false" customHeight="false" outlineLevel="0" collapsed="false">
      <c r="A602" s="5" t="s">
        <v>524</v>
      </c>
      <c r="B602" s="2" t="s">
        <v>682</v>
      </c>
      <c r="C602" s="5" t="s">
        <v>177</v>
      </c>
      <c r="D602" s="5" t="s">
        <v>178</v>
      </c>
      <c r="E602" s="5" t="s">
        <v>166</v>
      </c>
      <c r="F602" s="21" t="n">
        <v>8</v>
      </c>
      <c r="G602" s="21" t="n">
        <v>0</v>
      </c>
      <c r="H602" s="22" t="n">
        <f aca="false">F602+G602</f>
        <v>8</v>
      </c>
      <c r="I602" s="13" t="n">
        <f aca="false">INDEX(RM_Rates!$F$5:$F$137,MATCH(C602,RM_Rates!$A$5:$A$137,0))</f>
        <v>0.39300000667572</v>
      </c>
      <c r="J602" s="22" t="n">
        <f aca="false">H602*I602</f>
        <v>3.14400005340576</v>
      </c>
    </row>
    <row r="603" customFormat="false" ht="15" hidden="false" customHeight="false" outlineLevel="0" collapsed="false">
      <c r="A603" s="5" t="s">
        <v>524</v>
      </c>
      <c r="B603" s="2" t="s">
        <v>682</v>
      </c>
      <c r="C603" s="5" t="s">
        <v>189</v>
      </c>
      <c r="D603" s="5" t="s">
        <v>190</v>
      </c>
      <c r="E603" s="5" t="s">
        <v>60</v>
      </c>
      <c r="F603" s="21" t="n">
        <v>3.44000005722046</v>
      </c>
      <c r="G603" s="21" t="n">
        <v>0</v>
      </c>
      <c r="H603" s="22" t="n">
        <f aca="false">F603+G603</f>
        <v>3.44000005722046</v>
      </c>
      <c r="I603" s="13" t="n">
        <f aca="false">INDEX(RM_Rates!$F$5:$F$137,MATCH(C603,RM_Rates!$A$5:$A$137,0))</f>
        <v>0.568400025367737</v>
      </c>
      <c r="J603" s="22" t="n">
        <f aca="false">H603*I603</f>
        <v>1.95529611978913</v>
      </c>
    </row>
    <row r="604" customFormat="false" ht="15" hidden="false" customHeight="false" outlineLevel="0" collapsed="false">
      <c r="A604" s="5" t="s">
        <v>524</v>
      </c>
      <c r="B604" s="2" t="s">
        <v>682</v>
      </c>
      <c r="C604" s="5" t="s">
        <v>298</v>
      </c>
      <c r="D604" s="5" t="s">
        <v>299</v>
      </c>
      <c r="E604" s="5" t="s">
        <v>297</v>
      </c>
      <c r="F604" s="21" t="n">
        <v>25.6000003814697</v>
      </c>
      <c r="G604" s="21" t="n">
        <v>0</v>
      </c>
      <c r="H604" s="22" t="n">
        <f aca="false">F604+G604</f>
        <v>25.6000003814697</v>
      </c>
      <c r="I604" s="13" t="n">
        <f aca="false">INDEX(RM_Rates!$F$5:$F$137,MATCH(C604,RM_Rates!$A$5:$A$137,0))</f>
        <v>1.40752077102661</v>
      </c>
      <c r="J604" s="22" t="n">
        <f aca="false">H604*I604</f>
        <v>36.0325322752077</v>
      </c>
    </row>
    <row r="605" customFormat="false" ht="15" hidden="false" customHeight="false" outlineLevel="0" collapsed="false">
      <c r="A605" s="5" t="s">
        <v>526</v>
      </c>
      <c r="B605" s="2" t="s">
        <v>683</v>
      </c>
      <c r="C605" s="5" t="s">
        <v>114</v>
      </c>
      <c r="D605" s="5" t="s">
        <v>115</v>
      </c>
      <c r="E605" s="5" t="s">
        <v>72</v>
      </c>
      <c r="F605" s="21" t="n">
        <v>4749</v>
      </c>
      <c r="G605" s="21" t="n">
        <v>23.7449989318848</v>
      </c>
      <c r="H605" s="22" t="n">
        <f aca="false">F605+G605</f>
        <v>4772.74499893189</v>
      </c>
      <c r="I605" s="13" t="n">
        <f aca="false">INDEX(RM_Rates!$F$5:$F$137,MATCH(C605,RM_Rates!$A$5:$A$137,0))</f>
        <v>1.969372</v>
      </c>
      <c r="J605" s="22" t="n">
        <f aca="false">H605*I605</f>
        <v>9399.31036403648</v>
      </c>
    </row>
    <row r="606" customFormat="false" ht="15" hidden="false" customHeight="false" outlineLevel="0" collapsed="false">
      <c r="A606" s="5" t="s">
        <v>526</v>
      </c>
      <c r="B606" s="2" t="s">
        <v>683</v>
      </c>
      <c r="C606" s="5" t="s">
        <v>328</v>
      </c>
      <c r="D606" s="5" t="s">
        <v>329</v>
      </c>
      <c r="E606" s="5" t="s">
        <v>72</v>
      </c>
      <c r="F606" s="21" t="n">
        <v>394.283996582031</v>
      </c>
      <c r="G606" s="21" t="n">
        <v>19.7159996032715</v>
      </c>
      <c r="H606" s="22" t="n">
        <f aca="false">F606+G606</f>
        <v>413.999996185303</v>
      </c>
      <c r="I606" s="13" t="n">
        <f aca="false">INDEX(RM_Rates!$F$5:$F$137,MATCH(C606,RM_Rates!$A$5:$A$137,0))</f>
        <v>0.821246385574341</v>
      </c>
      <c r="J606" s="22" t="n">
        <f aca="false">H606*I606</f>
        <v>339.996000494971</v>
      </c>
    </row>
    <row r="607" customFormat="false" ht="15" hidden="false" customHeight="false" outlineLevel="0" collapsed="false">
      <c r="A607" s="5" t="s">
        <v>526</v>
      </c>
      <c r="B607" s="2" t="s">
        <v>683</v>
      </c>
      <c r="C607" s="5" t="s">
        <v>312</v>
      </c>
      <c r="D607" s="5" t="s">
        <v>313</v>
      </c>
      <c r="E607" s="5" t="s">
        <v>72</v>
      </c>
      <c r="F607" s="21" t="n">
        <v>1870.20007324219</v>
      </c>
      <c r="G607" s="21" t="n">
        <v>93.5100021362305</v>
      </c>
      <c r="H607" s="22" t="n">
        <f aca="false">F607+G607</f>
        <v>1963.71007537842</v>
      </c>
      <c r="I607" s="13" t="n">
        <f aca="false">INDEX(RM_Rates!$F$5:$F$137,MATCH(C607,RM_Rates!$A$5:$A$137,0))</f>
        <v>0.600000023841858</v>
      </c>
      <c r="J607" s="22" t="n">
        <f aca="false">H607*I607</f>
        <v>1178.22609204555</v>
      </c>
    </row>
    <row r="608" customFormat="false" ht="15" hidden="false" customHeight="false" outlineLevel="0" collapsed="false">
      <c r="A608" s="5" t="s">
        <v>526</v>
      </c>
      <c r="B608" s="2" t="s">
        <v>683</v>
      </c>
      <c r="C608" s="5" t="s">
        <v>160</v>
      </c>
      <c r="D608" s="5" t="s">
        <v>161</v>
      </c>
      <c r="E608" s="5" t="s">
        <v>72</v>
      </c>
      <c r="F608" s="21" t="n">
        <v>160.5</v>
      </c>
      <c r="G608" s="21" t="n">
        <v>1.60500001907349</v>
      </c>
      <c r="H608" s="22" t="n">
        <f aca="false">F608+G608</f>
        <v>162.105000019074</v>
      </c>
      <c r="I608" s="13" t="n">
        <f aca="false">INDEX(RM_Rates!$F$5:$F$137,MATCH(C608,RM_Rates!$A$5:$A$137,0))</f>
        <v>3.00841188430786</v>
      </c>
      <c r="J608" s="22" t="n">
        <f aca="false">H608*I608</f>
        <v>487.678608563107</v>
      </c>
    </row>
    <row r="609" customFormat="false" ht="15" hidden="false" customHeight="false" outlineLevel="0" collapsed="false">
      <c r="A609" s="5" t="s">
        <v>526</v>
      </c>
      <c r="B609" s="2" t="s">
        <v>683</v>
      </c>
      <c r="C609" s="5" t="s">
        <v>220</v>
      </c>
      <c r="D609" s="5" t="s">
        <v>221</v>
      </c>
      <c r="E609" s="5" t="s">
        <v>72</v>
      </c>
      <c r="F609" s="21" t="n">
        <v>879.119995117188</v>
      </c>
      <c r="G609" s="21" t="n">
        <v>0</v>
      </c>
      <c r="H609" s="22" t="n">
        <f aca="false">F609+G609</f>
        <v>879.119995117188</v>
      </c>
      <c r="I609" s="13" t="n">
        <f aca="false">INDEX(RM_Rates!$F$5:$F$137,MATCH(C609,RM_Rates!$A$5:$A$137,0))</f>
        <v>0.379036813974381</v>
      </c>
      <c r="J609" s="22" t="n">
        <f aca="false">H609*I609</f>
        <v>333.218842050392</v>
      </c>
    </row>
    <row r="610" customFormat="false" ht="15" hidden="false" customHeight="false" outlineLevel="0" collapsed="false">
      <c r="A610" s="5" t="s">
        <v>526</v>
      </c>
      <c r="B610" s="2" t="s">
        <v>683</v>
      </c>
      <c r="C610" s="5" t="s">
        <v>230</v>
      </c>
      <c r="D610" s="5" t="s">
        <v>231</v>
      </c>
      <c r="E610" s="5" t="s">
        <v>72</v>
      </c>
      <c r="F610" s="21" t="n">
        <v>34</v>
      </c>
      <c r="G610" s="21" t="n">
        <v>0</v>
      </c>
      <c r="H610" s="22" t="n">
        <f aca="false">F610+G610</f>
        <v>34</v>
      </c>
      <c r="I610" s="13" t="n">
        <f aca="false">INDEX(RM_Rates!$F$5:$F$137,MATCH(C610,RM_Rates!$A$5:$A$137,0))</f>
        <v>0.742858171463013</v>
      </c>
      <c r="J610" s="22" t="n">
        <f aca="false">H610*I610</f>
        <v>25.2571778297424</v>
      </c>
    </row>
    <row r="611" customFormat="false" ht="15" hidden="false" customHeight="false" outlineLevel="0" collapsed="false">
      <c r="A611" s="5" t="s">
        <v>526</v>
      </c>
      <c r="B611" s="2" t="s">
        <v>683</v>
      </c>
      <c r="C611" s="5" t="s">
        <v>246</v>
      </c>
      <c r="D611" s="5" t="s">
        <v>247</v>
      </c>
      <c r="E611" s="5" t="s">
        <v>72</v>
      </c>
      <c r="F611" s="21" t="n">
        <v>2157.26000976563</v>
      </c>
      <c r="G611" s="21" t="n">
        <v>5.39300012588501</v>
      </c>
      <c r="H611" s="22" t="n">
        <f aca="false">F611+G611</f>
        <v>2162.65300989152</v>
      </c>
      <c r="I611" s="13" t="n">
        <f aca="false">INDEX(RM_Rates!$F$5:$F$137,MATCH(C611,RM_Rates!$A$5:$A$137,0))</f>
        <v>0.420493960380554</v>
      </c>
      <c r="J611" s="22" t="n">
        <f aca="false">H611*I611</f>
        <v>909.382529058209</v>
      </c>
    </row>
    <row r="612" customFormat="false" ht="15" hidden="false" customHeight="false" outlineLevel="0" collapsed="false">
      <c r="A612" s="5" t="s">
        <v>526</v>
      </c>
      <c r="B612" s="2" t="s">
        <v>683</v>
      </c>
      <c r="C612" s="5" t="s">
        <v>232</v>
      </c>
      <c r="D612" s="5" t="s">
        <v>233</v>
      </c>
      <c r="E612" s="5" t="s">
        <v>72</v>
      </c>
      <c r="F612" s="21" t="n">
        <v>34.5161590576172</v>
      </c>
      <c r="G612" s="21" t="n">
        <v>0.0869999974966049</v>
      </c>
      <c r="H612" s="22" t="n">
        <f aca="false">F612+G612</f>
        <v>34.6031590551138</v>
      </c>
      <c r="I612" s="13" t="n">
        <f aca="false">INDEX(RM_Rates!$F$5:$F$137,MATCH(C612,RM_Rates!$A$5:$A$137,0))</f>
        <v>1.45200002193451</v>
      </c>
      <c r="J612" s="22" t="n">
        <f aca="false">H612*I612</f>
        <v>50.2437877070286</v>
      </c>
    </row>
    <row r="613" customFormat="false" ht="15" hidden="false" customHeight="false" outlineLevel="0" collapsed="false">
      <c r="A613" s="5" t="s">
        <v>526</v>
      </c>
      <c r="B613" s="2" t="s">
        <v>683</v>
      </c>
      <c r="C613" s="5" t="s">
        <v>277</v>
      </c>
      <c r="D613" s="5" t="s">
        <v>278</v>
      </c>
      <c r="E613" s="5" t="s">
        <v>72</v>
      </c>
      <c r="F613" s="21" t="n">
        <v>4666.2001953125</v>
      </c>
      <c r="G613" s="21" t="n">
        <v>46.6619987487793</v>
      </c>
      <c r="H613" s="22" t="n">
        <f aca="false">F613+G613</f>
        <v>4712.86219406128</v>
      </c>
      <c r="I613" s="13" t="n">
        <f aca="false">INDEX(RM_Rates!$F$5:$F$137,MATCH(C613,RM_Rates!$A$5:$A$137,0))</f>
        <v>0.363243609666824</v>
      </c>
      <c r="J613" s="22" t="n">
        <f aca="false">H613*I613</f>
        <v>1711.91707523313</v>
      </c>
    </row>
    <row r="614" customFormat="false" ht="15" hidden="false" customHeight="false" outlineLevel="0" collapsed="false">
      <c r="A614" s="5" t="s">
        <v>526</v>
      </c>
      <c r="B614" s="2" t="s">
        <v>683</v>
      </c>
      <c r="C614" s="5" t="s">
        <v>263</v>
      </c>
      <c r="D614" s="5" t="s">
        <v>264</v>
      </c>
      <c r="E614" s="5" t="s">
        <v>166</v>
      </c>
      <c r="F614" s="21" t="n">
        <v>4</v>
      </c>
      <c r="G614" s="21" t="n">
        <v>0</v>
      </c>
      <c r="H614" s="22" t="n">
        <f aca="false">F614+G614</f>
        <v>4</v>
      </c>
      <c r="I614" s="13" t="n">
        <f aca="false">INDEX(RM_Rates!$F$5:$F$137,MATCH(C614,RM_Rates!$A$5:$A$137,0))</f>
        <v>263</v>
      </c>
      <c r="J614" s="22" t="n">
        <f aca="false">H614*I614</f>
        <v>1052</v>
      </c>
    </row>
    <row r="615" customFormat="false" ht="15" hidden="false" customHeight="false" outlineLevel="0" collapsed="false">
      <c r="A615" s="5" t="s">
        <v>526</v>
      </c>
      <c r="B615" s="2" t="s">
        <v>683</v>
      </c>
      <c r="C615" s="5" t="s">
        <v>179</v>
      </c>
      <c r="D615" s="5" t="s">
        <v>180</v>
      </c>
      <c r="E615" s="5" t="s">
        <v>166</v>
      </c>
      <c r="F615" s="21" t="n">
        <v>8</v>
      </c>
      <c r="G615" s="21" t="n">
        <v>0</v>
      </c>
      <c r="H615" s="22" t="n">
        <f aca="false">F615+G615</f>
        <v>8</v>
      </c>
      <c r="I615" s="13" t="n">
        <f aca="false">INDEX(RM_Rates!$F$5:$F$137,MATCH(C615,RM_Rates!$A$5:$A$137,0))</f>
        <v>0.548813700675964</v>
      </c>
      <c r="J615" s="22" t="n">
        <f aca="false">H615*I615</f>
        <v>4.39050960540771</v>
      </c>
    </row>
    <row r="616" customFormat="false" ht="15" hidden="false" customHeight="false" outlineLevel="0" collapsed="false">
      <c r="A616" s="5" t="s">
        <v>526</v>
      </c>
      <c r="B616" s="2" t="s">
        <v>683</v>
      </c>
      <c r="C616" s="5" t="s">
        <v>189</v>
      </c>
      <c r="D616" s="5" t="s">
        <v>190</v>
      </c>
      <c r="E616" s="5" t="s">
        <v>60</v>
      </c>
      <c r="F616" s="21" t="n">
        <v>6.28000020980835</v>
      </c>
      <c r="G616" s="21" t="n">
        <v>0</v>
      </c>
      <c r="H616" s="22" t="n">
        <f aca="false">F616+G616</f>
        <v>6.28000020980835</v>
      </c>
      <c r="I616" s="13" t="n">
        <f aca="false">INDEX(RM_Rates!$F$5:$F$137,MATCH(C616,RM_Rates!$A$5:$A$137,0))</f>
        <v>0.568400025367737</v>
      </c>
      <c r="J616" s="22" t="n">
        <f aca="false">H616*I616</f>
        <v>3.56955227856446</v>
      </c>
    </row>
    <row r="617" customFormat="false" ht="15" hidden="false" customHeight="false" outlineLevel="0" collapsed="false">
      <c r="A617" s="5" t="s">
        <v>526</v>
      </c>
      <c r="B617" s="2" t="s">
        <v>683</v>
      </c>
      <c r="C617" s="5" t="s">
        <v>304</v>
      </c>
      <c r="D617" s="5" t="s">
        <v>305</v>
      </c>
      <c r="E617" s="5" t="s">
        <v>297</v>
      </c>
      <c r="F617" s="21" t="n">
        <v>35.2000007629395</v>
      </c>
      <c r="G617" s="21" t="n">
        <v>0</v>
      </c>
      <c r="H617" s="22" t="n">
        <f aca="false">F617+G617</f>
        <v>35.2000007629395</v>
      </c>
      <c r="I617" s="13" t="n">
        <f aca="false">INDEX(RM_Rates!$F$5:$F$137,MATCH(C617,RM_Rates!$A$5:$A$137,0))</f>
        <v>1.40752077102661</v>
      </c>
      <c r="J617" s="22" t="n">
        <f aca="false">H617*I617</f>
        <v>49.5447322139899</v>
      </c>
    </row>
    <row r="618" customFormat="false" ht="15" hidden="false" customHeight="false" outlineLevel="0" collapsed="false">
      <c r="A618" s="5" t="s">
        <v>528</v>
      </c>
      <c r="B618" s="2" t="s">
        <v>684</v>
      </c>
      <c r="C618" s="5" t="s">
        <v>116</v>
      </c>
      <c r="D618" s="5" t="s">
        <v>117</v>
      </c>
      <c r="E618" s="5" t="s">
        <v>72</v>
      </c>
      <c r="F618" s="21" t="n">
        <v>6240</v>
      </c>
      <c r="G618" s="21" t="n">
        <v>31.1999988555908</v>
      </c>
      <c r="H618" s="22" t="n">
        <f aca="false">F618+G618</f>
        <v>6271.19999885559</v>
      </c>
      <c r="I618" s="13" t="n">
        <f aca="false">INDEX(RM_Rates!$F$5:$F$137,MATCH(C618,RM_Rates!$A$5:$A$137,0))</f>
        <v>1.968214</v>
      </c>
      <c r="J618" s="22" t="n">
        <f aca="false">H618*I618</f>
        <v>12343.0636345476</v>
      </c>
    </row>
    <row r="619" customFormat="false" ht="15" hidden="false" customHeight="false" outlineLevel="0" collapsed="false">
      <c r="A619" s="5" t="s">
        <v>528</v>
      </c>
      <c r="B619" s="2" t="s">
        <v>684</v>
      </c>
      <c r="C619" s="5" t="s">
        <v>328</v>
      </c>
      <c r="D619" s="5" t="s">
        <v>329</v>
      </c>
      <c r="E619" s="5" t="s">
        <v>72</v>
      </c>
      <c r="F619" s="21" t="n">
        <v>322.097991943359</v>
      </c>
      <c r="G619" s="21" t="n">
        <v>16.1040000915527</v>
      </c>
      <c r="H619" s="22" t="n">
        <f aca="false">F619+G619</f>
        <v>338.201992034912</v>
      </c>
      <c r="I619" s="13" t="n">
        <f aca="false">INDEX(RM_Rates!$F$5:$F$137,MATCH(C619,RM_Rates!$A$5:$A$137,0))</f>
        <v>0.821246385574341</v>
      </c>
      <c r="J619" s="22" t="n">
        <f aca="false">H619*I619</f>
        <v>277.747163552713</v>
      </c>
    </row>
    <row r="620" customFormat="false" ht="15" hidden="false" customHeight="false" outlineLevel="0" collapsed="false">
      <c r="A620" s="5" t="s">
        <v>528</v>
      </c>
      <c r="B620" s="2" t="s">
        <v>684</v>
      </c>
      <c r="C620" s="5" t="s">
        <v>312</v>
      </c>
      <c r="D620" s="5" t="s">
        <v>313</v>
      </c>
      <c r="E620" s="5" t="s">
        <v>72</v>
      </c>
      <c r="F620" s="21" t="n">
        <v>998.100036621094</v>
      </c>
      <c r="G620" s="21" t="n">
        <v>49.9049987792969</v>
      </c>
      <c r="H620" s="22" t="n">
        <f aca="false">F620+G620</f>
        <v>1048.00503540039</v>
      </c>
      <c r="I620" s="13" t="n">
        <f aca="false">INDEX(RM_Rates!$F$5:$F$137,MATCH(C620,RM_Rates!$A$5:$A$137,0))</f>
        <v>0.600000023841858</v>
      </c>
      <c r="J620" s="22" t="n">
        <f aca="false">H620*I620</f>
        <v>628.803046226622</v>
      </c>
    </row>
    <row r="621" customFormat="false" ht="15" hidden="false" customHeight="false" outlineLevel="0" collapsed="false">
      <c r="A621" s="5" t="s">
        <v>528</v>
      </c>
      <c r="B621" s="2" t="s">
        <v>684</v>
      </c>
      <c r="C621" s="5" t="s">
        <v>160</v>
      </c>
      <c r="D621" s="5" t="s">
        <v>161</v>
      </c>
      <c r="E621" s="5" t="s">
        <v>72</v>
      </c>
      <c r="F621" s="21" t="n">
        <v>137.700012207031</v>
      </c>
      <c r="G621" s="21" t="n">
        <v>1.37699997425079</v>
      </c>
      <c r="H621" s="22" t="n">
        <f aca="false">F621+G621</f>
        <v>139.077012181282</v>
      </c>
      <c r="I621" s="13" t="n">
        <f aca="false">INDEX(RM_Rates!$F$5:$F$137,MATCH(C621,RM_Rates!$A$5:$A$137,0))</f>
        <v>3.00841188430786</v>
      </c>
      <c r="J621" s="22" t="n">
        <f aca="false">H621*I621</f>
        <v>418.400936280197</v>
      </c>
    </row>
    <row r="622" customFormat="false" ht="15" hidden="false" customHeight="false" outlineLevel="0" collapsed="false">
      <c r="A622" s="5" t="s">
        <v>528</v>
      </c>
      <c r="B622" s="2" t="s">
        <v>684</v>
      </c>
      <c r="C622" s="5" t="s">
        <v>220</v>
      </c>
      <c r="D622" s="5" t="s">
        <v>221</v>
      </c>
      <c r="E622" s="5" t="s">
        <v>72</v>
      </c>
      <c r="F622" s="21" t="n">
        <v>674.880004882813</v>
      </c>
      <c r="G622" s="21" t="n">
        <v>0</v>
      </c>
      <c r="H622" s="22" t="n">
        <f aca="false">F622+G622</f>
        <v>674.880004882813</v>
      </c>
      <c r="I622" s="13" t="n">
        <f aca="false">INDEX(RM_Rates!$F$5:$F$137,MATCH(C622,RM_Rates!$A$5:$A$137,0))</f>
        <v>0.379036813974381</v>
      </c>
      <c r="J622" s="22" t="n">
        <f aca="false">H622*I622</f>
        <v>255.804366865796</v>
      </c>
    </row>
    <row r="623" customFormat="false" ht="15" hidden="false" customHeight="false" outlineLevel="0" collapsed="false">
      <c r="A623" s="5" t="s">
        <v>528</v>
      </c>
      <c r="B623" s="2" t="s">
        <v>684</v>
      </c>
      <c r="C623" s="5" t="s">
        <v>230</v>
      </c>
      <c r="D623" s="5" t="s">
        <v>231</v>
      </c>
      <c r="E623" s="5" t="s">
        <v>72</v>
      </c>
      <c r="F623" s="21" t="n">
        <v>29.1000003814697</v>
      </c>
      <c r="G623" s="21" t="n">
        <v>0</v>
      </c>
      <c r="H623" s="22" t="n">
        <f aca="false">F623+G623</f>
        <v>29.1000003814697</v>
      </c>
      <c r="I623" s="13" t="n">
        <f aca="false">INDEX(RM_Rates!$F$5:$F$137,MATCH(C623,RM_Rates!$A$5:$A$137,0))</f>
        <v>0.742858171463013</v>
      </c>
      <c r="J623" s="22" t="n">
        <f aca="false">H623*I623</f>
        <v>21.6171730729516</v>
      </c>
    </row>
    <row r="624" customFormat="false" ht="15" hidden="false" customHeight="false" outlineLevel="0" collapsed="false">
      <c r="A624" s="5" t="s">
        <v>528</v>
      </c>
      <c r="B624" s="2" t="s">
        <v>684</v>
      </c>
      <c r="C624" s="5" t="s">
        <v>242</v>
      </c>
      <c r="D624" s="5" t="s">
        <v>243</v>
      </c>
      <c r="E624" s="5" t="s">
        <v>72</v>
      </c>
      <c r="F624" s="21" t="n">
        <v>525.679992675781</v>
      </c>
      <c r="G624" s="21" t="n">
        <v>1.31400001049042</v>
      </c>
      <c r="H624" s="22" t="n">
        <f aca="false">F624+G624</f>
        <v>526.993992686271</v>
      </c>
      <c r="I624" s="13" t="n">
        <f aca="false">INDEX(RM_Rates!$F$5:$F$137,MATCH(C624,RM_Rates!$A$5:$A$137,0))</f>
        <v>0.389023095369339</v>
      </c>
      <c r="J624" s="22" t="n">
        <f aca="false">H624*I624</f>
        <v>205.01283427586</v>
      </c>
    </row>
    <row r="625" customFormat="false" ht="15" hidden="false" customHeight="false" outlineLevel="0" collapsed="false">
      <c r="A625" s="5" t="s">
        <v>528</v>
      </c>
      <c r="B625" s="2" t="s">
        <v>684</v>
      </c>
      <c r="C625" s="5" t="s">
        <v>232</v>
      </c>
      <c r="D625" s="5" t="s">
        <v>233</v>
      </c>
      <c r="E625" s="5" t="s">
        <v>72</v>
      </c>
      <c r="F625" s="21" t="n">
        <v>26.5020790100098</v>
      </c>
      <c r="G625" s="21" t="n">
        <v>0.0659999996423721</v>
      </c>
      <c r="H625" s="22" t="n">
        <f aca="false">F625+G625</f>
        <v>26.5680790096522</v>
      </c>
      <c r="I625" s="13" t="n">
        <f aca="false">INDEX(RM_Rates!$F$5:$F$137,MATCH(C625,RM_Rates!$A$5:$A$137,0))</f>
        <v>1.45200002193451</v>
      </c>
      <c r="J625" s="22" t="n">
        <f aca="false">H625*I625</f>
        <v>38.5768513047728</v>
      </c>
    </row>
    <row r="626" customFormat="false" ht="15" hidden="false" customHeight="false" outlineLevel="0" collapsed="false">
      <c r="A626" s="5" t="s">
        <v>528</v>
      </c>
      <c r="B626" s="2" t="s">
        <v>684</v>
      </c>
      <c r="C626" s="5" t="s">
        <v>277</v>
      </c>
      <c r="D626" s="5" t="s">
        <v>278</v>
      </c>
      <c r="E626" s="5" t="s">
        <v>72</v>
      </c>
      <c r="F626" s="21" t="n">
        <v>3981.80004882813</v>
      </c>
      <c r="G626" s="21" t="n">
        <v>39.818000793457</v>
      </c>
      <c r="H626" s="22" t="n">
        <f aca="false">F626+G626</f>
        <v>4021.61804962159</v>
      </c>
      <c r="I626" s="13" t="n">
        <f aca="false">INDEX(RM_Rates!$F$5:$F$137,MATCH(C626,RM_Rates!$A$5:$A$137,0))</f>
        <v>0.363243609666824</v>
      </c>
      <c r="J626" s="22" t="n">
        <f aca="false">H626*I626</f>
        <v>1460.8270570458</v>
      </c>
    </row>
    <row r="627" customFormat="false" ht="15" hidden="false" customHeight="false" outlineLevel="0" collapsed="false">
      <c r="A627" s="5" t="s">
        <v>528</v>
      </c>
      <c r="B627" s="2" t="s">
        <v>684</v>
      </c>
      <c r="C627" s="5" t="s">
        <v>246</v>
      </c>
      <c r="D627" s="5" t="s">
        <v>247</v>
      </c>
      <c r="E627" s="5" t="s">
        <v>72</v>
      </c>
      <c r="F627" s="21" t="n">
        <v>1130.69995117188</v>
      </c>
      <c r="G627" s="21" t="n">
        <v>2.82699990272522</v>
      </c>
      <c r="H627" s="22" t="n">
        <f aca="false">F627+G627</f>
        <v>1133.52695107461</v>
      </c>
      <c r="I627" s="13" t="n">
        <f aca="false">INDEX(RM_Rates!$F$5:$F$137,MATCH(C627,RM_Rates!$A$5:$A$137,0))</f>
        <v>0.420493960380554</v>
      </c>
      <c r="J627" s="22" t="n">
        <f aca="false">H627*I627</f>
        <v>476.641236855455</v>
      </c>
    </row>
    <row r="628" customFormat="false" ht="15" hidden="false" customHeight="false" outlineLevel="0" collapsed="false">
      <c r="A628" s="5" t="s">
        <v>528</v>
      </c>
      <c r="B628" s="2" t="s">
        <v>684</v>
      </c>
      <c r="C628" s="5" t="s">
        <v>257</v>
      </c>
      <c r="D628" s="5" t="s">
        <v>258</v>
      </c>
      <c r="E628" s="5" t="s">
        <v>166</v>
      </c>
      <c r="F628" s="21" t="n">
        <v>4</v>
      </c>
      <c r="G628" s="21" t="n">
        <v>0</v>
      </c>
      <c r="H628" s="22" t="n">
        <f aca="false">F628+G628</f>
        <v>4</v>
      </c>
      <c r="I628" s="13" t="n">
        <f aca="false">INDEX(RM_Rates!$F$5:$F$137,MATCH(C628,RM_Rates!$A$5:$A$137,0))</f>
        <v>131.083557128906</v>
      </c>
      <c r="J628" s="22" t="n">
        <f aca="false">H628*I628</f>
        <v>524.334228515624</v>
      </c>
    </row>
    <row r="629" customFormat="false" ht="15" hidden="false" customHeight="false" outlineLevel="0" collapsed="false">
      <c r="A629" s="5" t="s">
        <v>528</v>
      </c>
      <c r="B629" s="2" t="s">
        <v>684</v>
      </c>
      <c r="C629" s="5" t="s">
        <v>177</v>
      </c>
      <c r="D629" s="5" t="s">
        <v>178</v>
      </c>
      <c r="E629" s="5" t="s">
        <v>166</v>
      </c>
      <c r="F629" s="21" t="n">
        <v>8</v>
      </c>
      <c r="G629" s="21" t="n">
        <v>0</v>
      </c>
      <c r="H629" s="22" t="n">
        <f aca="false">F629+G629</f>
        <v>8</v>
      </c>
      <c r="I629" s="13" t="n">
        <f aca="false">INDEX(RM_Rates!$F$5:$F$137,MATCH(C629,RM_Rates!$A$5:$A$137,0))</f>
        <v>0.39300000667572</v>
      </c>
      <c r="J629" s="22" t="n">
        <f aca="false">H629*I629</f>
        <v>3.14400005340576</v>
      </c>
    </row>
    <row r="630" customFormat="false" ht="15" hidden="false" customHeight="false" outlineLevel="0" collapsed="false">
      <c r="A630" s="5" t="s">
        <v>528</v>
      </c>
      <c r="B630" s="2" t="s">
        <v>684</v>
      </c>
      <c r="C630" s="5" t="s">
        <v>189</v>
      </c>
      <c r="D630" s="5" t="s">
        <v>190</v>
      </c>
      <c r="E630" s="5" t="s">
        <v>60</v>
      </c>
      <c r="F630" s="21" t="n">
        <v>3.44000005722046</v>
      </c>
      <c r="G630" s="21" t="n">
        <v>0</v>
      </c>
      <c r="H630" s="22" t="n">
        <f aca="false">F630+G630</f>
        <v>3.44000005722046</v>
      </c>
      <c r="I630" s="13" t="n">
        <f aca="false">INDEX(RM_Rates!$F$5:$F$137,MATCH(C630,RM_Rates!$A$5:$A$137,0))</f>
        <v>0.568400025367737</v>
      </c>
      <c r="J630" s="22" t="n">
        <f aca="false">H630*I630</f>
        <v>1.95529611978913</v>
      </c>
    </row>
    <row r="631" customFormat="false" ht="15" hidden="false" customHeight="false" outlineLevel="0" collapsed="false">
      <c r="A631" s="5" t="s">
        <v>528</v>
      </c>
      <c r="B631" s="2" t="s">
        <v>684</v>
      </c>
      <c r="C631" s="5" t="s">
        <v>298</v>
      </c>
      <c r="D631" s="5" t="s">
        <v>299</v>
      </c>
      <c r="E631" s="5" t="s">
        <v>297</v>
      </c>
      <c r="F631" s="21" t="n">
        <v>25.6000003814697</v>
      </c>
      <c r="G631" s="21" t="n">
        <v>0</v>
      </c>
      <c r="H631" s="22" t="n">
        <f aca="false">F631+G631</f>
        <v>25.6000003814697</v>
      </c>
      <c r="I631" s="13" t="n">
        <f aca="false">INDEX(RM_Rates!$F$5:$F$137,MATCH(C631,RM_Rates!$A$5:$A$137,0))</f>
        <v>1.40752077102661</v>
      </c>
      <c r="J631" s="22" t="n">
        <f aca="false">H631*I631</f>
        <v>36.0325322752077</v>
      </c>
    </row>
    <row r="632" customFormat="false" ht="15" hidden="false" customHeight="false" outlineLevel="0" collapsed="false">
      <c r="A632" s="5" t="s">
        <v>530</v>
      </c>
      <c r="B632" s="2" t="s">
        <v>685</v>
      </c>
      <c r="C632" s="5" t="s">
        <v>116</v>
      </c>
      <c r="D632" s="5" t="s">
        <v>117</v>
      </c>
      <c r="E632" s="5" t="s">
        <v>72</v>
      </c>
      <c r="F632" s="21" t="n">
        <v>6240</v>
      </c>
      <c r="G632" s="21" t="n">
        <v>31.1999988555908</v>
      </c>
      <c r="H632" s="22" t="n">
        <f aca="false">F632+G632</f>
        <v>6271.19999885559</v>
      </c>
      <c r="I632" s="13" t="n">
        <f aca="false">INDEX(RM_Rates!$F$5:$F$137,MATCH(C632,RM_Rates!$A$5:$A$137,0))</f>
        <v>1.968214</v>
      </c>
      <c r="J632" s="22" t="n">
        <f aca="false">H632*I632</f>
        <v>12343.0636345476</v>
      </c>
    </row>
    <row r="633" customFormat="false" ht="15" hidden="false" customHeight="false" outlineLevel="0" collapsed="false">
      <c r="A633" s="5" t="s">
        <v>530</v>
      </c>
      <c r="B633" s="2" t="s">
        <v>685</v>
      </c>
      <c r="C633" s="5" t="s">
        <v>328</v>
      </c>
      <c r="D633" s="5" t="s">
        <v>329</v>
      </c>
      <c r="E633" s="5" t="s">
        <v>72</v>
      </c>
      <c r="F633" s="21" t="n">
        <v>431.97900390625</v>
      </c>
      <c r="G633" s="21" t="n">
        <v>21.5970001220703</v>
      </c>
      <c r="H633" s="22" t="n">
        <f aca="false">F633+G633</f>
        <v>453.57600402832</v>
      </c>
      <c r="I633" s="13" t="n">
        <f aca="false">INDEX(RM_Rates!$F$5:$F$137,MATCH(C633,RM_Rates!$A$5:$A$137,0))</f>
        <v>0.821246385574341</v>
      </c>
      <c r="J633" s="22" t="n">
        <f aca="false">H633*I633</f>
        <v>372.497653891511</v>
      </c>
    </row>
    <row r="634" customFormat="false" ht="15" hidden="false" customHeight="false" outlineLevel="0" collapsed="false">
      <c r="A634" s="5" t="s">
        <v>530</v>
      </c>
      <c r="B634" s="2" t="s">
        <v>685</v>
      </c>
      <c r="C634" s="5" t="s">
        <v>312</v>
      </c>
      <c r="D634" s="5" t="s">
        <v>313</v>
      </c>
      <c r="E634" s="5" t="s">
        <v>72</v>
      </c>
      <c r="F634" s="21" t="n">
        <v>2046.89990234375</v>
      </c>
      <c r="G634" s="21" t="n">
        <v>102.345001220703</v>
      </c>
      <c r="H634" s="22" t="n">
        <f aca="false">F634+G634</f>
        <v>2149.24490356445</v>
      </c>
      <c r="I634" s="13" t="n">
        <f aca="false">INDEX(RM_Rates!$F$5:$F$137,MATCH(C634,RM_Rates!$A$5:$A$137,0))</f>
        <v>0.600000023841858</v>
      </c>
      <c r="J634" s="22" t="n">
        <f aca="false">H634*I634</f>
        <v>1289.54699338066</v>
      </c>
    </row>
    <row r="635" customFormat="false" ht="15" hidden="false" customHeight="false" outlineLevel="0" collapsed="false">
      <c r="A635" s="5" t="s">
        <v>530</v>
      </c>
      <c r="B635" s="2" t="s">
        <v>685</v>
      </c>
      <c r="C635" s="5" t="s">
        <v>162</v>
      </c>
      <c r="D635" s="5" t="s">
        <v>163</v>
      </c>
      <c r="E635" s="5" t="s">
        <v>72</v>
      </c>
      <c r="F635" s="21" t="n">
        <v>171.600006103516</v>
      </c>
      <c r="G635" s="21" t="n">
        <v>1.71600008010864</v>
      </c>
      <c r="H635" s="22" t="n">
        <f aca="false">F635+G635</f>
        <v>173.316006183625</v>
      </c>
      <c r="I635" s="13" t="n">
        <f aca="false">INDEX(RM_Rates!$F$5:$F$137,MATCH(C635,RM_Rates!$A$5:$A$137,0))</f>
        <v>3.00841188430786</v>
      </c>
      <c r="J635" s="22" t="n">
        <f aca="false">H635*I635</f>
        <v>521.405932743591</v>
      </c>
    </row>
    <row r="636" customFormat="false" ht="15" hidden="false" customHeight="false" outlineLevel="0" collapsed="false">
      <c r="A636" s="5" t="s">
        <v>530</v>
      </c>
      <c r="B636" s="2" t="s">
        <v>685</v>
      </c>
      <c r="C636" s="5" t="s">
        <v>220</v>
      </c>
      <c r="D636" s="5" t="s">
        <v>221</v>
      </c>
      <c r="E636" s="5" t="s">
        <v>72</v>
      </c>
      <c r="F636" s="21" t="n">
        <v>1016.76000976563</v>
      </c>
      <c r="G636" s="21" t="n">
        <v>0</v>
      </c>
      <c r="H636" s="22" t="n">
        <f aca="false">F636+G636</f>
        <v>1016.76000976563</v>
      </c>
      <c r="I636" s="13" t="n">
        <f aca="false">INDEX(RM_Rates!$F$5:$F$137,MATCH(C636,RM_Rates!$A$5:$A$137,0))</f>
        <v>0.379036813974381</v>
      </c>
      <c r="J636" s="22" t="n">
        <f aca="false">H636*I636</f>
        <v>385.389474678125</v>
      </c>
    </row>
    <row r="637" customFormat="false" ht="15" hidden="false" customHeight="false" outlineLevel="0" collapsed="false">
      <c r="A637" s="5" t="s">
        <v>530</v>
      </c>
      <c r="B637" s="2" t="s">
        <v>685</v>
      </c>
      <c r="C637" s="5" t="s">
        <v>230</v>
      </c>
      <c r="D637" s="5" t="s">
        <v>231</v>
      </c>
      <c r="E637" s="5" t="s">
        <v>72</v>
      </c>
      <c r="F637" s="21" t="n">
        <v>36.2999992370606</v>
      </c>
      <c r="G637" s="21" t="n">
        <v>0</v>
      </c>
      <c r="H637" s="22" t="n">
        <f aca="false">F637+G637</f>
        <v>36.2999992370606</v>
      </c>
      <c r="I637" s="13" t="n">
        <f aca="false">INDEX(RM_Rates!$F$5:$F$137,MATCH(C637,RM_Rates!$A$5:$A$137,0))</f>
        <v>0.742858171463013</v>
      </c>
      <c r="J637" s="22" t="n">
        <f aca="false">H637*I637</f>
        <v>26.9657510573516</v>
      </c>
    </row>
    <row r="638" customFormat="false" ht="15" hidden="false" customHeight="false" outlineLevel="0" collapsed="false">
      <c r="A638" s="5" t="s">
        <v>530</v>
      </c>
      <c r="B638" s="2" t="s">
        <v>685</v>
      </c>
      <c r="C638" s="5" t="s">
        <v>246</v>
      </c>
      <c r="D638" s="5" t="s">
        <v>247</v>
      </c>
      <c r="E638" s="5" t="s">
        <v>72</v>
      </c>
      <c r="F638" s="21" t="n">
        <v>2380.67993164063</v>
      </c>
      <c r="G638" s="21" t="n">
        <v>5.95199966430664</v>
      </c>
      <c r="H638" s="22" t="n">
        <f aca="false">F638+G638</f>
        <v>2386.63193130494</v>
      </c>
      <c r="I638" s="13" t="n">
        <f aca="false">INDEX(RM_Rates!$F$5:$F$137,MATCH(C638,RM_Rates!$A$5:$A$137,0))</f>
        <v>0.420493960380554</v>
      </c>
      <c r="J638" s="22" t="n">
        <f aca="false">H638*I638</f>
        <v>1003.5643127651</v>
      </c>
    </row>
    <row r="639" customFormat="false" ht="15" hidden="false" customHeight="false" outlineLevel="0" collapsed="false">
      <c r="A639" s="5" t="s">
        <v>530</v>
      </c>
      <c r="B639" s="2" t="s">
        <v>685</v>
      </c>
      <c r="C639" s="5" t="s">
        <v>232</v>
      </c>
      <c r="D639" s="5" t="s">
        <v>233</v>
      </c>
      <c r="E639" s="5" t="s">
        <v>72</v>
      </c>
      <c r="F639" s="21" t="n">
        <v>38.0908813476563</v>
      </c>
      <c r="G639" s="21" t="n">
        <v>0.0949999988079071</v>
      </c>
      <c r="H639" s="22" t="n">
        <f aca="false">F639+G639</f>
        <v>38.1858813464642</v>
      </c>
      <c r="I639" s="13" t="n">
        <f aca="false">INDEX(RM_Rates!$F$5:$F$137,MATCH(C639,RM_Rates!$A$5:$A$137,0))</f>
        <v>1.45200002193451</v>
      </c>
      <c r="J639" s="22" t="n">
        <f aca="false">H639*I639</f>
        <v>55.4459005526546</v>
      </c>
    </row>
    <row r="640" customFormat="false" ht="15" hidden="false" customHeight="false" outlineLevel="0" collapsed="false">
      <c r="A640" s="5" t="s">
        <v>530</v>
      </c>
      <c r="B640" s="2" t="s">
        <v>685</v>
      </c>
      <c r="C640" s="5" t="s">
        <v>277</v>
      </c>
      <c r="D640" s="5" t="s">
        <v>278</v>
      </c>
      <c r="E640" s="5" t="s">
        <v>72</v>
      </c>
      <c r="F640" s="21" t="n">
        <v>4977.2998046875</v>
      </c>
      <c r="G640" s="21" t="n">
        <v>49.7729988098145</v>
      </c>
      <c r="H640" s="22" t="n">
        <f aca="false">F640+G640</f>
        <v>5027.07280349731</v>
      </c>
      <c r="I640" s="13" t="n">
        <f aca="false">INDEX(RM_Rates!$F$5:$F$137,MATCH(C640,RM_Rates!$A$5:$A$137,0))</f>
        <v>0.363243609666824</v>
      </c>
      <c r="J640" s="22" t="n">
        <f aca="false">H640*I640</f>
        <v>1826.05207120029</v>
      </c>
    </row>
    <row r="641" customFormat="false" ht="15" hidden="false" customHeight="false" outlineLevel="0" collapsed="false">
      <c r="A641" s="5" t="s">
        <v>530</v>
      </c>
      <c r="B641" s="2" t="s">
        <v>685</v>
      </c>
      <c r="C641" s="5" t="s">
        <v>263</v>
      </c>
      <c r="D641" s="5" t="s">
        <v>264</v>
      </c>
      <c r="E641" s="5" t="s">
        <v>166</v>
      </c>
      <c r="F641" s="21" t="n">
        <v>4</v>
      </c>
      <c r="G641" s="21" t="n">
        <v>0</v>
      </c>
      <c r="H641" s="22" t="n">
        <f aca="false">F641+G641</f>
        <v>4</v>
      </c>
      <c r="I641" s="13" t="n">
        <f aca="false">INDEX(RM_Rates!$F$5:$F$137,MATCH(C641,RM_Rates!$A$5:$A$137,0))</f>
        <v>263</v>
      </c>
      <c r="J641" s="22" t="n">
        <f aca="false">H641*I641</f>
        <v>1052</v>
      </c>
    </row>
    <row r="642" customFormat="false" ht="15" hidden="false" customHeight="false" outlineLevel="0" collapsed="false">
      <c r="A642" s="5" t="s">
        <v>530</v>
      </c>
      <c r="B642" s="2" t="s">
        <v>685</v>
      </c>
      <c r="C642" s="5" t="s">
        <v>179</v>
      </c>
      <c r="D642" s="5" t="s">
        <v>180</v>
      </c>
      <c r="E642" s="5" t="s">
        <v>166</v>
      </c>
      <c r="F642" s="21" t="n">
        <v>8</v>
      </c>
      <c r="G642" s="21" t="n">
        <v>0</v>
      </c>
      <c r="H642" s="22" t="n">
        <f aca="false">F642+G642</f>
        <v>8</v>
      </c>
      <c r="I642" s="13" t="n">
        <f aca="false">INDEX(RM_Rates!$F$5:$F$137,MATCH(C642,RM_Rates!$A$5:$A$137,0))</f>
        <v>0.548813700675964</v>
      </c>
      <c r="J642" s="22" t="n">
        <f aca="false">H642*I642</f>
        <v>4.39050960540771</v>
      </c>
    </row>
    <row r="643" customFormat="false" ht="15" hidden="false" customHeight="false" outlineLevel="0" collapsed="false">
      <c r="A643" s="5" t="s">
        <v>530</v>
      </c>
      <c r="B643" s="2" t="s">
        <v>685</v>
      </c>
      <c r="C643" s="5" t="s">
        <v>189</v>
      </c>
      <c r="D643" s="5" t="s">
        <v>190</v>
      </c>
      <c r="E643" s="5" t="s">
        <v>60</v>
      </c>
      <c r="F643" s="21" t="n">
        <v>6.28000020980835</v>
      </c>
      <c r="G643" s="21" t="n">
        <v>0</v>
      </c>
      <c r="H643" s="22" t="n">
        <f aca="false">F643+G643</f>
        <v>6.28000020980835</v>
      </c>
      <c r="I643" s="13" t="n">
        <f aca="false">INDEX(RM_Rates!$F$5:$F$137,MATCH(C643,RM_Rates!$A$5:$A$137,0))</f>
        <v>0.568400025367737</v>
      </c>
      <c r="J643" s="22" t="n">
        <f aca="false">H643*I643</f>
        <v>3.56955227856446</v>
      </c>
    </row>
    <row r="644" customFormat="false" ht="15" hidden="false" customHeight="false" outlineLevel="0" collapsed="false">
      <c r="A644" s="5" t="s">
        <v>530</v>
      </c>
      <c r="B644" s="2" t="s">
        <v>685</v>
      </c>
      <c r="C644" s="5" t="s">
        <v>304</v>
      </c>
      <c r="D644" s="5" t="s">
        <v>305</v>
      </c>
      <c r="E644" s="5" t="s">
        <v>297</v>
      </c>
      <c r="F644" s="21" t="n">
        <v>35.2000007629395</v>
      </c>
      <c r="G644" s="21" t="n">
        <v>0</v>
      </c>
      <c r="H644" s="22" t="n">
        <f aca="false">F644+G644</f>
        <v>35.2000007629395</v>
      </c>
      <c r="I644" s="13" t="n">
        <f aca="false">INDEX(RM_Rates!$F$5:$F$137,MATCH(C644,RM_Rates!$A$5:$A$137,0))</f>
        <v>1.40752077102661</v>
      </c>
      <c r="J644" s="22" t="n">
        <f aca="false">H644*I644</f>
        <v>49.5447322139899</v>
      </c>
    </row>
    <row r="645" customFormat="false" ht="15" hidden="false" customHeight="false" outlineLevel="0" collapsed="false">
      <c r="A645" s="5" t="s">
        <v>532</v>
      </c>
      <c r="B645" s="2" t="s">
        <v>686</v>
      </c>
      <c r="C645" s="5" t="s">
        <v>118</v>
      </c>
      <c r="D645" s="5" t="s">
        <v>119</v>
      </c>
      <c r="E645" s="5" t="s">
        <v>72</v>
      </c>
      <c r="F645" s="21" t="n">
        <v>7830</v>
      </c>
      <c r="G645" s="21" t="n">
        <v>39.1500015258789</v>
      </c>
      <c r="H645" s="22" t="n">
        <f aca="false">F645+G645</f>
        <v>7869.15000152588</v>
      </c>
      <c r="I645" s="13" t="n">
        <f aca="false">INDEX(RM_Rates!$F$5:$F$137,MATCH(C645,RM_Rates!$A$5:$A$137,0))</f>
        <v>1.969372</v>
      </c>
      <c r="J645" s="22" t="n">
        <f aca="false">H645*I645</f>
        <v>15497.283676805</v>
      </c>
    </row>
    <row r="646" customFormat="false" ht="15" hidden="false" customHeight="false" outlineLevel="0" collapsed="false">
      <c r="A646" s="5" t="s">
        <v>532</v>
      </c>
      <c r="B646" s="2" t="s">
        <v>686</v>
      </c>
      <c r="C646" s="5" t="s">
        <v>328</v>
      </c>
      <c r="D646" s="5" t="s">
        <v>329</v>
      </c>
      <c r="E646" s="5" t="s">
        <v>72</v>
      </c>
      <c r="F646" s="21" t="n">
        <v>350.367004394531</v>
      </c>
      <c r="G646" s="21" t="n">
        <v>17.5170001983643</v>
      </c>
      <c r="H646" s="22" t="n">
        <f aca="false">F646+G646</f>
        <v>367.884004592895</v>
      </c>
      <c r="I646" s="13" t="n">
        <f aca="false">INDEX(RM_Rates!$F$5:$F$137,MATCH(C646,RM_Rates!$A$5:$A$137,0))</f>
        <v>0.821246385574341</v>
      </c>
      <c r="J646" s="22" t="n">
        <f aca="false">H646*I646</f>
        <v>302.12340908253</v>
      </c>
    </row>
    <row r="647" customFormat="false" ht="15" hidden="false" customHeight="false" outlineLevel="0" collapsed="false">
      <c r="A647" s="5" t="s">
        <v>532</v>
      </c>
      <c r="B647" s="2" t="s">
        <v>686</v>
      </c>
      <c r="C647" s="5" t="s">
        <v>312</v>
      </c>
      <c r="D647" s="5" t="s">
        <v>313</v>
      </c>
      <c r="E647" s="5" t="s">
        <v>72</v>
      </c>
      <c r="F647" s="21" t="n">
        <v>1085.10009765625</v>
      </c>
      <c r="G647" s="21" t="n">
        <v>54.254997253418</v>
      </c>
      <c r="H647" s="22" t="n">
        <f aca="false">F647+G647</f>
        <v>1139.35509490967</v>
      </c>
      <c r="I647" s="13" t="n">
        <f aca="false">INDEX(RM_Rates!$F$5:$F$137,MATCH(C647,RM_Rates!$A$5:$A$137,0))</f>
        <v>0.600000023841858</v>
      </c>
      <c r="J647" s="22" t="n">
        <f aca="false">H647*I647</f>
        <v>683.613084110143</v>
      </c>
    </row>
    <row r="648" customFormat="false" ht="15" hidden="false" customHeight="false" outlineLevel="0" collapsed="false">
      <c r="A648" s="5" t="s">
        <v>532</v>
      </c>
      <c r="B648" s="2" t="s">
        <v>686</v>
      </c>
      <c r="C648" s="5" t="s">
        <v>160</v>
      </c>
      <c r="D648" s="5" t="s">
        <v>161</v>
      </c>
      <c r="E648" s="5" t="s">
        <v>72</v>
      </c>
      <c r="F648" s="21" t="n">
        <v>147.299987792969</v>
      </c>
      <c r="G648" s="21" t="n">
        <v>1.47300004959106</v>
      </c>
      <c r="H648" s="22" t="n">
        <f aca="false">F648+G648</f>
        <v>148.77298784256</v>
      </c>
      <c r="I648" s="13" t="n">
        <f aca="false">INDEX(RM_Rates!$F$5:$F$137,MATCH(C648,RM_Rates!$A$5:$A$137,0))</f>
        <v>3.00841188430786</v>
      </c>
      <c r="J648" s="22" t="n">
        <f aca="false">H648*I648</f>
        <v>447.570424689547</v>
      </c>
    </row>
    <row r="649" customFormat="false" ht="15" hidden="false" customHeight="false" outlineLevel="0" collapsed="false">
      <c r="A649" s="5" t="s">
        <v>532</v>
      </c>
      <c r="B649" s="2" t="s">
        <v>686</v>
      </c>
      <c r="C649" s="5" t="s">
        <v>220</v>
      </c>
      <c r="D649" s="5" t="s">
        <v>221</v>
      </c>
      <c r="E649" s="5" t="s">
        <v>72</v>
      </c>
      <c r="F649" s="21" t="n">
        <v>745.919982910156</v>
      </c>
      <c r="G649" s="21" t="n">
        <v>0</v>
      </c>
      <c r="H649" s="22" t="n">
        <f aca="false">F649+G649</f>
        <v>745.919982910156</v>
      </c>
      <c r="I649" s="13" t="n">
        <f aca="false">INDEX(RM_Rates!$F$5:$F$137,MATCH(C649,RM_Rates!$A$5:$A$137,0))</f>
        <v>0.379036813974381</v>
      </c>
      <c r="J649" s="22" t="n">
        <f aca="false">H649*I649</f>
        <v>282.73113380209</v>
      </c>
    </row>
    <row r="650" customFormat="false" ht="15" hidden="false" customHeight="false" outlineLevel="0" collapsed="false">
      <c r="A650" s="5" t="s">
        <v>532</v>
      </c>
      <c r="B650" s="2" t="s">
        <v>686</v>
      </c>
      <c r="C650" s="5" t="s">
        <v>230</v>
      </c>
      <c r="D650" s="5" t="s">
        <v>231</v>
      </c>
      <c r="E650" s="5" t="s">
        <v>72</v>
      </c>
      <c r="F650" s="21" t="n">
        <v>31.1000003814697</v>
      </c>
      <c r="G650" s="21" t="n">
        <v>0</v>
      </c>
      <c r="H650" s="22" t="n">
        <f aca="false">F650+G650</f>
        <v>31.1000003814697</v>
      </c>
      <c r="I650" s="13" t="n">
        <f aca="false">INDEX(RM_Rates!$F$5:$F$137,MATCH(C650,RM_Rates!$A$5:$A$137,0))</f>
        <v>0.742858171463013</v>
      </c>
      <c r="J650" s="22" t="n">
        <f aca="false">H650*I650</f>
        <v>23.1028894158776</v>
      </c>
    </row>
    <row r="651" customFormat="false" ht="15" hidden="false" customHeight="false" outlineLevel="0" collapsed="false">
      <c r="A651" s="5" t="s">
        <v>532</v>
      </c>
      <c r="B651" s="2" t="s">
        <v>686</v>
      </c>
      <c r="C651" s="5" t="s">
        <v>246</v>
      </c>
      <c r="D651" s="5" t="s">
        <v>247</v>
      </c>
      <c r="E651" s="5" t="s">
        <v>72</v>
      </c>
      <c r="F651" s="21" t="n">
        <v>1836.71997070313</v>
      </c>
      <c r="G651" s="21" t="n">
        <v>4.59200000762939</v>
      </c>
      <c r="H651" s="22" t="n">
        <f aca="false">F651+G651</f>
        <v>1841.31197071076</v>
      </c>
      <c r="I651" s="13" t="n">
        <f aca="false">INDEX(RM_Rates!$F$5:$F$137,MATCH(C651,RM_Rates!$A$5:$A$137,0))</f>
        <v>0.420493960380554</v>
      </c>
      <c r="J651" s="22" t="n">
        <f aca="false">H651*I651</f>
        <v>774.26056286029</v>
      </c>
    </row>
    <row r="652" customFormat="false" ht="15" hidden="false" customHeight="false" outlineLevel="0" collapsed="false">
      <c r="A652" s="5" t="s">
        <v>532</v>
      </c>
      <c r="B652" s="2" t="s">
        <v>686</v>
      </c>
      <c r="C652" s="5" t="s">
        <v>232</v>
      </c>
      <c r="D652" s="5" t="s">
        <v>233</v>
      </c>
      <c r="E652" s="5" t="s">
        <v>72</v>
      </c>
      <c r="F652" s="21" t="n">
        <v>29.3875198364258</v>
      </c>
      <c r="G652" s="21" t="n">
        <v>0.0740000009536743</v>
      </c>
      <c r="H652" s="22" t="n">
        <f aca="false">F652+G652</f>
        <v>29.4615198373795</v>
      </c>
      <c r="I652" s="13" t="n">
        <f aca="false">INDEX(RM_Rates!$F$5:$F$137,MATCH(C652,RM_Rates!$A$5:$A$137,0))</f>
        <v>1.45200002193451</v>
      </c>
      <c r="J652" s="22" t="n">
        <f aca="false">H652*I652</f>
        <v>42.778127450099</v>
      </c>
    </row>
    <row r="653" customFormat="false" ht="15" hidden="false" customHeight="false" outlineLevel="0" collapsed="false">
      <c r="A653" s="5" t="s">
        <v>532</v>
      </c>
      <c r="B653" s="2" t="s">
        <v>686</v>
      </c>
      <c r="C653" s="5" t="s">
        <v>277</v>
      </c>
      <c r="D653" s="5" t="s">
        <v>278</v>
      </c>
      <c r="E653" s="5" t="s">
        <v>72</v>
      </c>
      <c r="F653" s="21" t="n">
        <v>4230.7001953125</v>
      </c>
      <c r="G653" s="21" t="n">
        <v>42.306999206543</v>
      </c>
      <c r="H653" s="22" t="n">
        <f aca="false">F653+G653</f>
        <v>4273.00719451904</v>
      </c>
      <c r="I653" s="13" t="n">
        <f aca="false">INDEX(RM_Rates!$F$5:$F$137,MATCH(C653,RM_Rates!$A$5:$A$137,0))</f>
        <v>0.363243609666824</v>
      </c>
      <c r="J653" s="22" t="n">
        <f aca="false">H653*I653</f>
        <v>1552.14255746941</v>
      </c>
    </row>
    <row r="654" customFormat="false" ht="15" hidden="false" customHeight="false" outlineLevel="0" collapsed="false">
      <c r="A654" s="5" t="s">
        <v>532</v>
      </c>
      <c r="B654" s="2" t="s">
        <v>686</v>
      </c>
      <c r="C654" s="5" t="s">
        <v>259</v>
      </c>
      <c r="D654" s="5" t="s">
        <v>260</v>
      </c>
      <c r="E654" s="5" t="s">
        <v>166</v>
      </c>
      <c r="F654" s="21" t="n">
        <v>4</v>
      </c>
      <c r="G654" s="21" t="n">
        <v>0</v>
      </c>
      <c r="H654" s="22" t="n">
        <f aca="false">F654+G654</f>
        <v>4</v>
      </c>
      <c r="I654" s="13" t="n">
        <f aca="false">INDEX(RM_Rates!$F$5:$F$137,MATCH(C654,RM_Rates!$A$5:$A$137,0))</f>
        <v>162</v>
      </c>
      <c r="J654" s="22" t="n">
        <f aca="false">H654*I654</f>
        <v>648</v>
      </c>
    </row>
    <row r="655" customFormat="false" ht="15" hidden="false" customHeight="false" outlineLevel="0" collapsed="false">
      <c r="A655" s="5" t="s">
        <v>532</v>
      </c>
      <c r="B655" s="2" t="s">
        <v>686</v>
      </c>
      <c r="C655" s="5" t="s">
        <v>177</v>
      </c>
      <c r="D655" s="5" t="s">
        <v>178</v>
      </c>
      <c r="E655" s="5" t="s">
        <v>166</v>
      </c>
      <c r="F655" s="21" t="n">
        <v>8</v>
      </c>
      <c r="G655" s="21" t="n">
        <v>0</v>
      </c>
      <c r="H655" s="22" t="n">
        <f aca="false">F655+G655</f>
        <v>8</v>
      </c>
      <c r="I655" s="13" t="n">
        <f aca="false">INDEX(RM_Rates!$F$5:$F$137,MATCH(C655,RM_Rates!$A$5:$A$137,0))</f>
        <v>0.39300000667572</v>
      </c>
      <c r="J655" s="22" t="n">
        <f aca="false">H655*I655</f>
        <v>3.14400005340576</v>
      </c>
    </row>
    <row r="656" customFormat="false" ht="15" hidden="false" customHeight="false" outlineLevel="0" collapsed="false">
      <c r="A656" s="5" t="s">
        <v>532</v>
      </c>
      <c r="B656" s="2" t="s">
        <v>686</v>
      </c>
      <c r="C656" s="5" t="s">
        <v>189</v>
      </c>
      <c r="D656" s="5" t="s">
        <v>190</v>
      </c>
      <c r="E656" s="5" t="s">
        <v>60</v>
      </c>
      <c r="F656" s="21" t="n">
        <v>4</v>
      </c>
      <c r="G656" s="21" t="n">
        <v>0</v>
      </c>
      <c r="H656" s="22" t="n">
        <f aca="false">F656+G656</f>
        <v>4</v>
      </c>
      <c r="I656" s="13" t="n">
        <f aca="false">INDEX(RM_Rates!$F$5:$F$137,MATCH(C656,RM_Rates!$A$5:$A$137,0))</f>
        <v>0.568400025367737</v>
      </c>
      <c r="J656" s="22" t="n">
        <f aca="false">H656*I656</f>
        <v>2.27360010147095</v>
      </c>
    </row>
    <row r="657" customFormat="false" ht="15" hidden="false" customHeight="false" outlineLevel="0" collapsed="false">
      <c r="A657" s="5" t="s">
        <v>532</v>
      </c>
      <c r="B657" s="2" t="s">
        <v>686</v>
      </c>
      <c r="C657" s="5" t="s">
        <v>300</v>
      </c>
      <c r="D657" s="5" t="s">
        <v>301</v>
      </c>
      <c r="E657" s="5" t="s">
        <v>297</v>
      </c>
      <c r="F657" s="21" t="n">
        <v>27.6000003814697</v>
      </c>
      <c r="G657" s="21" t="n">
        <v>0</v>
      </c>
      <c r="H657" s="22" t="n">
        <f aca="false">F657+G657</f>
        <v>27.6000003814697</v>
      </c>
      <c r="I657" s="13" t="n">
        <f aca="false">INDEX(RM_Rates!$F$5:$F$137,MATCH(C657,RM_Rates!$A$5:$A$137,0))</f>
        <v>1.40752077102661</v>
      </c>
      <c r="J657" s="22" t="n">
        <f aca="false">H657*I657</f>
        <v>38.847573817261</v>
      </c>
    </row>
    <row r="658" customFormat="false" ht="15" hidden="false" customHeight="false" outlineLevel="0" collapsed="false">
      <c r="A658" s="5" t="s">
        <v>534</v>
      </c>
      <c r="B658" s="2" t="s">
        <v>687</v>
      </c>
      <c r="C658" s="5" t="s">
        <v>118</v>
      </c>
      <c r="D658" s="5" t="s">
        <v>119</v>
      </c>
      <c r="E658" s="5" t="s">
        <v>72</v>
      </c>
      <c r="F658" s="21" t="n">
        <v>7830</v>
      </c>
      <c r="G658" s="21" t="n">
        <v>39.1500015258789</v>
      </c>
      <c r="H658" s="22" t="n">
        <f aca="false">F658+G658</f>
        <v>7869.15000152588</v>
      </c>
      <c r="I658" s="13" t="n">
        <f aca="false">INDEX(RM_Rates!$F$5:$F$137,MATCH(C658,RM_Rates!$A$5:$A$137,0))</f>
        <v>1.969372</v>
      </c>
      <c r="J658" s="22" t="n">
        <f aca="false">H658*I658</f>
        <v>15497.283676805</v>
      </c>
    </row>
    <row r="659" customFormat="false" ht="15" hidden="false" customHeight="false" outlineLevel="0" collapsed="false">
      <c r="A659" s="5" t="s">
        <v>534</v>
      </c>
      <c r="B659" s="2" t="s">
        <v>687</v>
      </c>
      <c r="C659" s="5" t="s">
        <v>328</v>
      </c>
      <c r="D659" s="5" t="s">
        <v>329</v>
      </c>
      <c r="E659" s="5" t="s">
        <v>72</v>
      </c>
      <c r="F659" s="21" t="n">
        <v>464.9580078125</v>
      </c>
      <c r="G659" s="21" t="n">
        <v>23.2470016479492</v>
      </c>
      <c r="H659" s="22" t="n">
        <f aca="false">F659+G659</f>
        <v>488.205009460449</v>
      </c>
      <c r="I659" s="13" t="n">
        <f aca="false">INDEX(RM_Rates!$F$5:$F$137,MATCH(C659,RM_Rates!$A$5:$A$137,0))</f>
        <v>0.821246385574341</v>
      </c>
      <c r="J659" s="22" t="n">
        <f aca="false">H659*I659</f>
        <v>400.936599438681</v>
      </c>
    </row>
    <row r="660" customFormat="false" ht="15" hidden="false" customHeight="false" outlineLevel="0" collapsed="false">
      <c r="A660" s="5" t="s">
        <v>534</v>
      </c>
      <c r="B660" s="2" t="s">
        <v>687</v>
      </c>
      <c r="C660" s="5" t="s">
        <v>312</v>
      </c>
      <c r="D660" s="5" t="s">
        <v>313</v>
      </c>
      <c r="E660" s="5" t="s">
        <v>72</v>
      </c>
      <c r="F660" s="21" t="n">
        <v>2201.39990234375</v>
      </c>
      <c r="G660" s="21" t="n">
        <v>110.06999206543</v>
      </c>
      <c r="H660" s="22" t="n">
        <f aca="false">F660+G660</f>
        <v>2311.46989440918</v>
      </c>
      <c r="I660" s="13" t="n">
        <f aca="false">INDEX(RM_Rates!$F$5:$F$137,MATCH(C660,RM_Rates!$A$5:$A$137,0))</f>
        <v>0.600000023841858</v>
      </c>
      <c r="J660" s="22" t="n">
        <f aca="false">H660*I660</f>
        <v>1386.88199175525</v>
      </c>
    </row>
    <row r="661" customFormat="false" ht="15" hidden="false" customHeight="false" outlineLevel="0" collapsed="false">
      <c r="A661" s="5" t="s">
        <v>534</v>
      </c>
      <c r="B661" s="2" t="s">
        <v>687</v>
      </c>
      <c r="C661" s="5" t="s">
        <v>162</v>
      </c>
      <c r="D661" s="5" t="s">
        <v>163</v>
      </c>
      <c r="E661" s="5" t="s">
        <v>72</v>
      </c>
      <c r="F661" s="21" t="n">
        <v>181.200012207031</v>
      </c>
      <c r="G661" s="21" t="n">
        <v>1.81199991703033</v>
      </c>
      <c r="H661" s="22" t="n">
        <f aca="false">F661+G661</f>
        <v>183.012012124061</v>
      </c>
      <c r="I661" s="13" t="n">
        <f aca="false">INDEX(RM_Rates!$F$5:$F$137,MATCH(C661,RM_Rates!$A$5:$A$137,0))</f>
        <v>3.00841188430786</v>
      </c>
      <c r="J661" s="22" t="n">
        <f aca="false">H661*I661</f>
        <v>550.57551224512</v>
      </c>
    </row>
    <row r="662" customFormat="false" ht="15" hidden="false" customHeight="false" outlineLevel="0" collapsed="false">
      <c r="A662" s="5" t="s">
        <v>534</v>
      </c>
      <c r="B662" s="2" t="s">
        <v>687</v>
      </c>
      <c r="C662" s="5" t="s">
        <v>220</v>
      </c>
      <c r="D662" s="5" t="s">
        <v>221</v>
      </c>
      <c r="E662" s="5" t="s">
        <v>72</v>
      </c>
      <c r="F662" s="21" t="n">
        <v>1149.9599609375</v>
      </c>
      <c r="G662" s="21" t="n">
        <v>0</v>
      </c>
      <c r="H662" s="22" t="n">
        <f aca="false">F662+G662</f>
        <v>1149.9599609375</v>
      </c>
      <c r="I662" s="13" t="n">
        <f aca="false">INDEX(RM_Rates!$F$5:$F$137,MATCH(C662,RM_Rates!$A$5:$A$137,0))</f>
        <v>0.379036813974381</v>
      </c>
      <c r="J662" s="22" t="n">
        <f aca="false">H662*I662</f>
        <v>435.877159791854</v>
      </c>
    </row>
    <row r="663" customFormat="false" ht="15" hidden="false" customHeight="false" outlineLevel="0" collapsed="false">
      <c r="A663" s="5" t="s">
        <v>534</v>
      </c>
      <c r="B663" s="2" t="s">
        <v>687</v>
      </c>
      <c r="C663" s="5" t="s">
        <v>230</v>
      </c>
      <c r="D663" s="5" t="s">
        <v>231</v>
      </c>
      <c r="E663" s="5" t="s">
        <v>72</v>
      </c>
      <c r="F663" s="21" t="n">
        <v>38.2999992370606</v>
      </c>
      <c r="G663" s="21" t="n">
        <v>0</v>
      </c>
      <c r="H663" s="22" t="n">
        <f aca="false">F663+G663</f>
        <v>38.2999992370606</v>
      </c>
      <c r="I663" s="13" t="n">
        <f aca="false">INDEX(RM_Rates!$F$5:$F$137,MATCH(C663,RM_Rates!$A$5:$A$137,0))</f>
        <v>0.742858171463013</v>
      </c>
      <c r="J663" s="22" t="n">
        <f aca="false">H663*I663</f>
        <v>28.4514674002776</v>
      </c>
    </row>
    <row r="664" customFormat="false" ht="15" hidden="false" customHeight="false" outlineLevel="0" collapsed="false">
      <c r="A664" s="5" t="s">
        <v>534</v>
      </c>
      <c r="B664" s="2" t="s">
        <v>687</v>
      </c>
      <c r="C664" s="5" t="s">
        <v>246</v>
      </c>
      <c r="D664" s="5" t="s">
        <v>247</v>
      </c>
      <c r="E664" s="5" t="s">
        <v>72</v>
      </c>
      <c r="F664" s="21" t="n">
        <v>2643.919921875</v>
      </c>
      <c r="G664" s="21" t="n">
        <v>6.60999965667725</v>
      </c>
      <c r="H664" s="22" t="n">
        <f aca="false">F664+G664</f>
        <v>2650.52992153168</v>
      </c>
      <c r="I664" s="13" t="n">
        <f aca="false">INDEX(RM_Rates!$F$5:$F$137,MATCH(C664,RM_Rates!$A$5:$A$137,0))</f>
        <v>0.420493960380554</v>
      </c>
      <c r="J664" s="22" t="n">
        <f aca="false">H664*I664</f>
        <v>1114.53182381201</v>
      </c>
    </row>
    <row r="665" customFormat="false" ht="15" hidden="false" customHeight="false" outlineLevel="0" collapsed="false">
      <c r="A665" s="5" t="s">
        <v>534</v>
      </c>
      <c r="B665" s="2" t="s">
        <v>687</v>
      </c>
      <c r="C665" s="5" t="s">
        <v>232</v>
      </c>
      <c r="D665" s="5" t="s">
        <v>233</v>
      </c>
      <c r="E665" s="5" t="s">
        <v>72</v>
      </c>
      <c r="F665" s="21" t="n">
        <v>42.3027191162109</v>
      </c>
      <c r="G665" s="21" t="n">
        <v>0.106000006198883</v>
      </c>
      <c r="H665" s="22" t="n">
        <f aca="false">F665+G665</f>
        <v>42.4087191224098</v>
      </c>
      <c r="I665" s="13" t="n">
        <f aca="false">INDEX(RM_Rates!$F$5:$F$137,MATCH(C665,RM_Rates!$A$5:$A$137,0))</f>
        <v>1.45200002193451</v>
      </c>
      <c r="J665" s="22" t="n">
        <f aca="false">H665*I665</f>
        <v>61.5774610959535</v>
      </c>
    </row>
    <row r="666" customFormat="false" ht="15" hidden="false" customHeight="false" outlineLevel="0" collapsed="false">
      <c r="A666" s="5" t="s">
        <v>534</v>
      </c>
      <c r="B666" s="2" t="s">
        <v>687</v>
      </c>
      <c r="C666" s="5" t="s">
        <v>277</v>
      </c>
      <c r="D666" s="5" t="s">
        <v>278</v>
      </c>
      <c r="E666" s="5" t="s">
        <v>72</v>
      </c>
      <c r="F666" s="21" t="n">
        <v>5226.10009765625</v>
      </c>
      <c r="G666" s="21" t="n">
        <v>52.2610015869141</v>
      </c>
      <c r="H666" s="22" t="n">
        <f aca="false">F666+G666</f>
        <v>5278.36109924316</v>
      </c>
      <c r="I666" s="13" t="n">
        <f aca="false">INDEX(RM_Rates!$F$5:$F$137,MATCH(C666,RM_Rates!$A$5:$A$137,0))</f>
        <v>0.363243609666824</v>
      </c>
      <c r="J666" s="22" t="n">
        <f aca="false">H666*I666</f>
        <v>1917.33093881403</v>
      </c>
    </row>
    <row r="667" customFormat="false" ht="15" hidden="false" customHeight="false" outlineLevel="0" collapsed="false">
      <c r="A667" s="5" t="s">
        <v>534</v>
      </c>
      <c r="B667" s="2" t="s">
        <v>687</v>
      </c>
      <c r="C667" s="5" t="s">
        <v>263</v>
      </c>
      <c r="D667" s="5" t="s">
        <v>264</v>
      </c>
      <c r="E667" s="5" t="s">
        <v>166</v>
      </c>
      <c r="F667" s="21" t="n">
        <v>4</v>
      </c>
      <c r="G667" s="21" t="n">
        <v>0</v>
      </c>
      <c r="H667" s="22" t="n">
        <f aca="false">F667+G667</f>
        <v>4</v>
      </c>
      <c r="I667" s="13" t="n">
        <f aca="false">INDEX(RM_Rates!$F$5:$F$137,MATCH(C667,RM_Rates!$A$5:$A$137,0))</f>
        <v>263</v>
      </c>
      <c r="J667" s="22" t="n">
        <f aca="false">H667*I667</f>
        <v>1052</v>
      </c>
    </row>
    <row r="668" customFormat="false" ht="15" hidden="false" customHeight="false" outlineLevel="0" collapsed="false">
      <c r="A668" s="5" t="s">
        <v>534</v>
      </c>
      <c r="B668" s="2" t="s">
        <v>687</v>
      </c>
      <c r="C668" s="5" t="s">
        <v>179</v>
      </c>
      <c r="D668" s="5" t="s">
        <v>180</v>
      </c>
      <c r="E668" s="5" t="s">
        <v>166</v>
      </c>
      <c r="F668" s="21" t="n">
        <v>8</v>
      </c>
      <c r="G668" s="21" t="n">
        <v>0</v>
      </c>
      <c r="H668" s="22" t="n">
        <f aca="false">F668+G668</f>
        <v>8</v>
      </c>
      <c r="I668" s="13" t="n">
        <f aca="false">INDEX(RM_Rates!$F$5:$F$137,MATCH(C668,RM_Rates!$A$5:$A$137,0))</f>
        <v>0.548813700675964</v>
      </c>
      <c r="J668" s="22" t="n">
        <f aca="false">H668*I668</f>
        <v>4.39050960540771</v>
      </c>
    </row>
    <row r="669" customFormat="false" ht="15" hidden="false" customHeight="false" outlineLevel="0" collapsed="false">
      <c r="A669" s="5" t="s">
        <v>534</v>
      </c>
      <c r="B669" s="2" t="s">
        <v>687</v>
      </c>
      <c r="C669" s="5" t="s">
        <v>189</v>
      </c>
      <c r="D669" s="5" t="s">
        <v>190</v>
      </c>
      <c r="E669" s="5" t="s">
        <v>60</v>
      </c>
      <c r="F669" s="21" t="n">
        <v>6.28000020980835</v>
      </c>
      <c r="G669" s="21" t="n">
        <v>0</v>
      </c>
      <c r="H669" s="22" t="n">
        <f aca="false">F669+G669</f>
        <v>6.28000020980835</v>
      </c>
      <c r="I669" s="13" t="n">
        <f aca="false">INDEX(RM_Rates!$F$5:$F$137,MATCH(C669,RM_Rates!$A$5:$A$137,0))</f>
        <v>0.568400025367737</v>
      </c>
      <c r="J669" s="22" t="n">
        <f aca="false">H669*I669</f>
        <v>3.56955227856446</v>
      </c>
    </row>
    <row r="670" customFormat="false" ht="15" hidden="false" customHeight="false" outlineLevel="0" collapsed="false">
      <c r="A670" s="5" t="s">
        <v>534</v>
      </c>
      <c r="B670" s="2" t="s">
        <v>687</v>
      </c>
      <c r="C670" s="5" t="s">
        <v>304</v>
      </c>
      <c r="D670" s="5" t="s">
        <v>305</v>
      </c>
      <c r="E670" s="5" t="s">
        <v>297</v>
      </c>
      <c r="F670" s="21" t="n">
        <v>35.2000007629395</v>
      </c>
      <c r="G670" s="21" t="n">
        <v>0</v>
      </c>
      <c r="H670" s="22" t="n">
        <f aca="false">F670+G670</f>
        <v>35.2000007629395</v>
      </c>
      <c r="I670" s="13" t="n">
        <f aca="false">INDEX(RM_Rates!$F$5:$F$137,MATCH(C670,RM_Rates!$A$5:$A$137,0))</f>
        <v>1.40752077102661</v>
      </c>
      <c r="J670" s="22" t="n">
        <f aca="false">H670*I670</f>
        <v>49.5447322139899</v>
      </c>
    </row>
    <row r="671" customFormat="false" ht="15" hidden="false" customHeight="false" outlineLevel="0" collapsed="false">
      <c r="A671" s="5" t="s">
        <v>536</v>
      </c>
      <c r="B671" s="2" t="s">
        <v>688</v>
      </c>
      <c r="C671" s="5" t="s">
        <v>88</v>
      </c>
      <c r="D671" s="5" t="s">
        <v>89</v>
      </c>
      <c r="E671" s="5" t="s">
        <v>72</v>
      </c>
      <c r="F671" s="21" t="n">
        <v>101.504997253418</v>
      </c>
      <c r="G671" s="21" t="n">
        <v>0.167999997735024</v>
      </c>
      <c r="H671" s="22" t="n">
        <f aca="false">F671+G671</f>
        <v>101.672997251153</v>
      </c>
      <c r="I671" s="13" t="n">
        <f aca="false">INDEX(RM_Rates!$F$5:$F$137,MATCH(C671,RM_Rates!$A$5:$A$137,0))</f>
        <v>2.003726</v>
      </c>
      <c r="J671" s="22" t="n">
        <f aca="false">H671*I671</f>
        <v>203.724828090064</v>
      </c>
    </row>
    <row r="672" customFormat="false" ht="15" hidden="false" customHeight="false" outlineLevel="0" collapsed="false">
      <c r="A672" s="5" t="s">
        <v>536</v>
      </c>
      <c r="B672" s="2" t="s">
        <v>688</v>
      </c>
      <c r="C672" s="5" t="s">
        <v>326</v>
      </c>
      <c r="D672" s="5" t="s">
        <v>327</v>
      </c>
      <c r="E672" s="5" t="s">
        <v>72</v>
      </c>
      <c r="F672" s="21" t="n">
        <v>21.8159999847412</v>
      </c>
      <c r="G672" s="21" t="n">
        <v>0.360000014305115</v>
      </c>
      <c r="H672" s="22" t="n">
        <f aca="false">F672+G672</f>
        <v>22.1759999990463</v>
      </c>
      <c r="I672" s="13" t="n">
        <f aca="false">INDEX(RM_Rates!$F$5:$F$137,MATCH(C672,RM_Rates!$A$5:$A$137,0))</f>
        <v>0.596000015735626</v>
      </c>
      <c r="J672" s="22" t="n">
        <f aca="false">H672*I672</f>
        <v>13.2168963483848</v>
      </c>
    </row>
    <row r="673" customFormat="false" ht="15" hidden="false" customHeight="false" outlineLevel="0" collapsed="false">
      <c r="A673" s="5" t="s">
        <v>536</v>
      </c>
      <c r="B673" s="2" t="s">
        <v>688</v>
      </c>
      <c r="C673" s="5" t="s">
        <v>324</v>
      </c>
      <c r="D673" s="5" t="s">
        <v>325</v>
      </c>
      <c r="E673" s="5" t="s">
        <v>72</v>
      </c>
      <c r="F673" s="21" t="n">
        <v>1.19988000392914</v>
      </c>
      <c r="G673" s="21" t="n">
        <v>0.0199999995529652</v>
      </c>
      <c r="H673" s="22" t="n">
        <f aca="false">F673+G673</f>
        <v>1.21988000348211</v>
      </c>
      <c r="I673" s="13" t="n">
        <f aca="false">INDEX(RM_Rates!$F$5:$F$137,MATCH(C673,RM_Rates!$A$5:$A$137,0))</f>
        <v>1.35229277610779</v>
      </c>
      <c r="J673" s="22" t="n">
        <f aca="false">H673*I673</f>
        <v>1.6496349164272</v>
      </c>
    </row>
    <row r="674" customFormat="false" ht="15" hidden="false" customHeight="false" outlineLevel="0" collapsed="false">
      <c r="A674" s="5" t="s">
        <v>536</v>
      </c>
      <c r="B674" s="2" t="s">
        <v>688</v>
      </c>
      <c r="C674" s="5" t="s">
        <v>320</v>
      </c>
      <c r="D674" s="5" t="s">
        <v>321</v>
      </c>
      <c r="E674" s="5" t="s">
        <v>72</v>
      </c>
      <c r="F674" s="21" t="n">
        <v>0.327240020036697</v>
      </c>
      <c r="G674" s="21" t="n">
        <v>0.00499999988824129</v>
      </c>
      <c r="H674" s="22" t="n">
        <f aca="false">F674+G674</f>
        <v>0.332240019924938</v>
      </c>
      <c r="I674" s="13" t="n">
        <f aca="false">INDEX(RM_Rates!$F$5:$F$137,MATCH(C674,RM_Rates!$A$5:$A$137,0))</f>
        <v>1.6441433429718</v>
      </c>
      <c r="J674" s="22" t="n">
        <f aca="false">H674*I674</f>
        <v>0.546250217028406</v>
      </c>
    </row>
    <row r="675" customFormat="false" ht="15" hidden="false" customHeight="false" outlineLevel="0" collapsed="false">
      <c r="A675" s="5" t="s">
        <v>536</v>
      </c>
      <c r="B675" s="2" t="s">
        <v>688</v>
      </c>
      <c r="C675" s="5" t="s">
        <v>210</v>
      </c>
      <c r="D675" s="5" t="s">
        <v>211</v>
      </c>
      <c r="E675" s="5" t="s">
        <v>72</v>
      </c>
      <c r="F675" s="21" t="n">
        <v>2.20000004768372</v>
      </c>
      <c r="G675" s="21" t="n">
        <v>0</v>
      </c>
      <c r="H675" s="22" t="n">
        <f aca="false">F675+G675</f>
        <v>2.20000004768372</v>
      </c>
      <c r="I675" s="13" t="n">
        <f aca="false">INDEX(RM_Rates!$F$5:$F$137,MATCH(C675,RM_Rates!$A$5:$A$137,0))</f>
        <v>0.750177025794983</v>
      </c>
      <c r="J675" s="22" t="n">
        <f aca="false">H675*I675</f>
        <v>1.65038949252019</v>
      </c>
    </row>
    <row r="676" customFormat="false" ht="15" hidden="false" customHeight="false" outlineLevel="0" collapsed="false">
      <c r="A676" s="5" t="s">
        <v>536</v>
      </c>
      <c r="B676" s="2" t="s">
        <v>688</v>
      </c>
      <c r="C676" s="5" t="s">
        <v>64</v>
      </c>
      <c r="D676" s="5" t="s">
        <v>65</v>
      </c>
      <c r="E676" s="5" t="s">
        <v>60</v>
      </c>
      <c r="F676" s="21" t="n">
        <v>1.75</v>
      </c>
      <c r="G676" s="21" t="n">
        <v>0.0179999992251396</v>
      </c>
      <c r="H676" s="22" t="n">
        <f aca="false">F676+G676</f>
        <v>1.76799999922514</v>
      </c>
      <c r="I676" s="13" t="n">
        <f aca="false">INDEX(RM_Rates!$F$5:$F$137,MATCH(C676,RM_Rates!$A$5:$A$137,0))</f>
        <v>1.83595955371857</v>
      </c>
      <c r="J676" s="22" t="n">
        <f aca="false">H676*I676</f>
        <v>3.24597648955182</v>
      </c>
    </row>
    <row r="677" customFormat="false" ht="15" hidden="false" customHeight="false" outlineLevel="0" collapsed="false">
      <c r="A677" s="5" t="s">
        <v>536</v>
      </c>
      <c r="B677" s="2" t="s">
        <v>688</v>
      </c>
      <c r="C677" s="5" t="s">
        <v>70</v>
      </c>
      <c r="D677" s="5" t="s">
        <v>71</v>
      </c>
      <c r="E677" s="5" t="s">
        <v>72</v>
      </c>
      <c r="F677" s="21" t="n">
        <v>4.5</v>
      </c>
      <c r="G677" s="21" t="n">
        <v>0</v>
      </c>
      <c r="H677" s="22" t="n">
        <f aca="false">F677+G677</f>
        <v>4.5</v>
      </c>
      <c r="I677" s="13" t="n">
        <f aca="false">INDEX(RM_Rates!$F$5:$F$137,MATCH(C677,RM_Rates!$A$5:$A$137,0))</f>
        <v>2.86922955513001</v>
      </c>
      <c r="J677" s="22" t="n">
        <f aca="false">H677*I677</f>
        <v>12.911532998085</v>
      </c>
    </row>
    <row r="678" customFormat="false" ht="15" hidden="false" customHeight="false" outlineLevel="0" collapsed="false">
      <c r="A678" s="5" t="s">
        <v>536</v>
      </c>
      <c r="B678" s="2" t="s">
        <v>688</v>
      </c>
      <c r="C678" s="5" t="s">
        <v>193</v>
      </c>
      <c r="D678" s="5" t="s">
        <v>194</v>
      </c>
      <c r="E678" s="5" t="s">
        <v>72</v>
      </c>
      <c r="F678" s="21" t="n">
        <v>176.899993896484</v>
      </c>
      <c r="G678" s="21" t="n">
        <v>3.53800010681152</v>
      </c>
      <c r="H678" s="22" t="n">
        <f aca="false">F678+G678</f>
        <v>180.437994003296</v>
      </c>
      <c r="I678" s="13" t="n">
        <f aca="false">INDEX(RM_Rates!$F$5:$F$137,MATCH(C678,RM_Rates!$A$5:$A$137,0))</f>
        <v>0.769918501377106</v>
      </c>
      <c r="J678" s="22" t="n">
        <f aca="false">H678*I678</f>
        <v>138.922549934509</v>
      </c>
    </row>
    <row r="679" customFormat="false" ht="15" hidden="false" customHeight="false" outlineLevel="0" collapsed="false">
      <c r="A679" s="5" t="s">
        <v>536</v>
      </c>
      <c r="B679" s="2" t="s">
        <v>688</v>
      </c>
      <c r="C679" s="5" t="s">
        <v>191</v>
      </c>
      <c r="D679" s="5" t="s">
        <v>192</v>
      </c>
      <c r="E679" s="5" t="s">
        <v>72</v>
      </c>
      <c r="F679" s="21" t="n">
        <v>2.83039999008179</v>
      </c>
      <c r="G679" s="21" t="n">
        <v>0.0560000017285347</v>
      </c>
      <c r="H679" s="22" t="n">
        <f aca="false">F679+G679</f>
        <v>2.88639999181033</v>
      </c>
      <c r="I679" s="13" t="n">
        <f aca="false">INDEX(RM_Rates!$F$5:$F$137,MATCH(C679,RM_Rates!$A$5:$A$137,0))</f>
        <v>2.39035940170288</v>
      </c>
      <c r="J679" s="22" t="n">
        <f aca="false">H679*I679</f>
        <v>6.89953335749893</v>
      </c>
    </row>
    <row r="680" customFormat="false" ht="15" hidden="false" customHeight="false" outlineLevel="0" collapsed="false">
      <c r="A680" s="5" t="s">
        <v>536</v>
      </c>
      <c r="B680" s="2" t="s">
        <v>688</v>
      </c>
      <c r="C680" s="5" t="s">
        <v>267</v>
      </c>
      <c r="D680" s="5" t="s">
        <v>268</v>
      </c>
      <c r="E680" s="5" t="s">
        <v>72</v>
      </c>
      <c r="F680" s="21" t="n">
        <v>175</v>
      </c>
      <c r="G680" s="21" t="n">
        <v>1.75</v>
      </c>
      <c r="H680" s="22" t="n">
        <f aca="false">F680+G680</f>
        <v>176.75</v>
      </c>
      <c r="I680" s="13" t="n">
        <f aca="false">INDEX(RM_Rates!$F$5:$F$137,MATCH(C680,RM_Rates!$A$5:$A$137,0))</f>
        <v>0.487615048885345</v>
      </c>
      <c r="J680" s="22" t="n">
        <f aca="false">H680*I680</f>
        <v>86.1859598904847</v>
      </c>
    </row>
    <row r="681" customFormat="false" ht="15" hidden="false" customHeight="false" outlineLevel="0" collapsed="false">
      <c r="A681" s="5" t="s">
        <v>536</v>
      </c>
      <c r="B681" s="2" t="s">
        <v>688</v>
      </c>
      <c r="C681" s="5" t="s">
        <v>279</v>
      </c>
      <c r="D681" s="5" t="s">
        <v>280</v>
      </c>
      <c r="E681" s="5" t="s">
        <v>166</v>
      </c>
      <c r="F681" s="21" t="n">
        <v>1</v>
      </c>
      <c r="G681" s="21" t="n">
        <v>0</v>
      </c>
      <c r="H681" s="22" t="n">
        <f aca="false">F681+G681</f>
        <v>1</v>
      </c>
      <c r="I681" s="13" t="n">
        <f aca="false">INDEX(RM_Rates!$F$5:$F$137,MATCH(C681,RM_Rates!$A$5:$A$137,0))</f>
        <v>17.5683555603027</v>
      </c>
      <c r="J681" s="22" t="n">
        <f aca="false">H681*I681</f>
        <v>17.5683555603027</v>
      </c>
    </row>
    <row r="682" customFormat="false" ht="15" hidden="false" customHeight="false" outlineLevel="0" collapsed="false">
      <c r="A682" s="5" t="s">
        <v>536</v>
      </c>
      <c r="B682" s="2" t="s">
        <v>688</v>
      </c>
      <c r="C682" s="5" t="s">
        <v>167</v>
      </c>
      <c r="D682" s="5" t="s">
        <v>168</v>
      </c>
      <c r="E682" s="5" t="s">
        <v>166</v>
      </c>
      <c r="F682" s="21" t="n">
        <v>2</v>
      </c>
      <c r="G682" s="21" t="n">
        <v>0</v>
      </c>
      <c r="H682" s="22" t="n">
        <f aca="false">F682+G682</f>
        <v>2</v>
      </c>
      <c r="I682" s="13" t="n">
        <f aca="false">INDEX(RM_Rates!$F$5:$F$137,MATCH(C682,RM_Rates!$A$5:$A$137,0))</f>
        <v>0.124766282737255</v>
      </c>
      <c r="J682" s="22" t="n">
        <f aca="false">H682*I682</f>
        <v>0.24953256547451</v>
      </c>
    </row>
    <row r="683" customFormat="false" ht="15" hidden="false" customHeight="false" outlineLevel="0" collapsed="false">
      <c r="A683" s="5" t="s">
        <v>536</v>
      </c>
      <c r="B683" s="2" t="s">
        <v>688</v>
      </c>
      <c r="C683" s="5" t="s">
        <v>306</v>
      </c>
      <c r="D683" s="5" t="s">
        <v>307</v>
      </c>
      <c r="E683" s="5" t="s">
        <v>297</v>
      </c>
      <c r="F683" s="21" t="n">
        <v>3.09999990463257</v>
      </c>
      <c r="G683" s="21" t="n">
        <v>0</v>
      </c>
      <c r="H683" s="22" t="n">
        <f aca="false">F683+G683</f>
        <v>3.09999990463257</v>
      </c>
      <c r="I683" s="13" t="n">
        <f aca="false">INDEX(RM_Rates!$F$5:$F$137,MATCH(C683,RM_Rates!$A$5:$A$137,0))</f>
        <v>1.40752077102661</v>
      </c>
      <c r="J683" s="22" t="n">
        <f aca="false">H683*I683</f>
        <v>4.36331425595085</v>
      </c>
    </row>
    <row r="684" customFormat="false" ht="15" hidden="false" customHeight="false" outlineLevel="0" collapsed="false">
      <c r="A684" s="5" t="s">
        <v>536</v>
      </c>
      <c r="B684" s="2" t="s">
        <v>688</v>
      </c>
      <c r="C684" s="5" t="s">
        <v>189</v>
      </c>
      <c r="D684" s="5" t="s">
        <v>190</v>
      </c>
      <c r="E684" s="5" t="s">
        <v>60</v>
      </c>
      <c r="F684" s="21" t="n">
        <v>0.200000002980232</v>
      </c>
      <c r="G684" s="21" t="n">
        <v>0</v>
      </c>
      <c r="H684" s="22" t="n">
        <f aca="false">F684+G684</f>
        <v>0.200000002980232</v>
      </c>
      <c r="I684" s="13" t="n">
        <f aca="false">INDEX(RM_Rates!$F$5:$F$137,MATCH(C684,RM_Rates!$A$5:$A$137,0))</f>
        <v>0.568400025367737</v>
      </c>
      <c r="J684" s="22" t="n">
        <f aca="false">H684*I684</f>
        <v>0.113680006767511</v>
      </c>
    </row>
    <row r="685" customFormat="false" ht="15" hidden="false" customHeight="false" outlineLevel="0" collapsed="false">
      <c r="A685" s="5" t="s">
        <v>538</v>
      </c>
      <c r="B685" s="2" t="s">
        <v>689</v>
      </c>
      <c r="C685" s="5" t="s">
        <v>102</v>
      </c>
      <c r="D685" s="5" t="s">
        <v>103</v>
      </c>
      <c r="E685" s="5" t="s">
        <v>72</v>
      </c>
      <c r="F685" s="21" t="n">
        <v>1227</v>
      </c>
      <c r="G685" s="21" t="n">
        <v>6.13500022888184</v>
      </c>
      <c r="H685" s="22" t="n">
        <f aca="false">F685+G685</f>
        <v>1233.13500022888</v>
      </c>
      <c r="I685" s="13" t="n">
        <f aca="false">INDEX(RM_Rates!$F$5:$F$137,MATCH(C685,RM_Rates!$A$5:$A$137,0))</f>
        <v>1.975162</v>
      </c>
      <c r="J685" s="22" t="n">
        <f aca="false">H685*I685</f>
        <v>2435.64139332208</v>
      </c>
    </row>
    <row r="686" customFormat="false" ht="15" hidden="false" customHeight="false" outlineLevel="0" collapsed="false">
      <c r="A686" s="5" t="s">
        <v>538</v>
      </c>
      <c r="B686" s="2" t="s">
        <v>689</v>
      </c>
      <c r="C686" s="5" t="s">
        <v>328</v>
      </c>
      <c r="D686" s="5" t="s">
        <v>329</v>
      </c>
      <c r="E686" s="5" t="s">
        <v>72</v>
      </c>
      <c r="F686" s="21" t="n">
        <v>270.216003417969</v>
      </c>
      <c r="G686" s="21" t="n">
        <v>13.511999130249</v>
      </c>
      <c r="H686" s="22" t="n">
        <f aca="false">F686+G686</f>
        <v>283.728002548218</v>
      </c>
      <c r="I686" s="13" t="n">
        <f aca="false">INDEX(RM_Rates!$F$5:$F$137,MATCH(C686,RM_Rates!$A$5:$A$137,0))</f>
        <v>0.821246385574341</v>
      </c>
      <c r="J686" s="22" t="n">
        <f aca="false">H686*I686</f>
        <v>233.010596578951</v>
      </c>
    </row>
    <row r="687" customFormat="false" ht="15" hidden="false" customHeight="false" outlineLevel="0" collapsed="false">
      <c r="A687" s="5" t="s">
        <v>538</v>
      </c>
      <c r="B687" s="2" t="s">
        <v>689</v>
      </c>
      <c r="C687" s="5" t="s">
        <v>312</v>
      </c>
      <c r="D687" s="5" t="s">
        <v>313</v>
      </c>
      <c r="E687" s="5" t="s">
        <v>72</v>
      </c>
      <c r="F687" s="21" t="n">
        <v>1288.5</v>
      </c>
      <c r="G687" s="21" t="n">
        <v>64.4250030517578</v>
      </c>
      <c r="H687" s="22" t="n">
        <f aca="false">F687+G687</f>
        <v>1352.92500305176</v>
      </c>
      <c r="I687" s="13" t="n">
        <f aca="false">INDEX(RM_Rates!$F$5:$F$137,MATCH(C687,RM_Rates!$A$5:$A$137,0))</f>
        <v>0.600000023841858</v>
      </c>
      <c r="J687" s="22" t="n">
        <f aca="false">H687*I687</f>
        <v>811.755034087301</v>
      </c>
    </row>
    <row r="688" customFormat="false" ht="15" hidden="false" customHeight="false" outlineLevel="0" collapsed="false">
      <c r="A688" s="5" t="s">
        <v>538</v>
      </c>
      <c r="B688" s="2" t="s">
        <v>689</v>
      </c>
      <c r="C688" s="5" t="s">
        <v>160</v>
      </c>
      <c r="D688" s="5" t="s">
        <v>161</v>
      </c>
      <c r="E688" s="5" t="s">
        <v>72</v>
      </c>
      <c r="F688" s="21" t="n">
        <v>124.200004577637</v>
      </c>
      <c r="G688" s="21" t="n">
        <v>1.24199998378754</v>
      </c>
      <c r="H688" s="22" t="n">
        <f aca="false">F688+G688</f>
        <v>125.442004561425</v>
      </c>
      <c r="I688" s="13" t="n">
        <f aca="false">INDEX(RM_Rates!$F$5:$F$137,MATCH(C688,RM_Rates!$A$5:$A$137,0))</f>
        <v>3.00841188430786</v>
      </c>
      <c r="J688" s="22" t="n">
        <f aca="false">H688*I688</f>
        <v>377.38121731399</v>
      </c>
    </row>
    <row r="689" customFormat="false" ht="15" hidden="false" customHeight="false" outlineLevel="0" collapsed="false">
      <c r="A689" s="5" t="s">
        <v>538</v>
      </c>
      <c r="B689" s="2" t="s">
        <v>689</v>
      </c>
      <c r="C689" s="5" t="s">
        <v>220</v>
      </c>
      <c r="D689" s="5" t="s">
        <v>221</v>
      </c>
      <c r="E689" s="5" t="s">
        <v>72</v>
      </c>
      <c r="F689" s="21" t="n">
        <v>541.679992675781</v>
      </c>
      <c r="G689" s="21" t="n">
        <v>0</v>
      </c>
      <c r="H689" s="22" t="n">
        <f aca="false">F689+G689</f>
        <v>541.679992675781</v>
      </c>
      <c r="I689" s="13" t="n">
        <f aca="false">INDEX(RM_Rates!$F$5:$F$137,MATCH(C689,RM_Rates!$A$5:$A$137,0))</f>
        <v>0.379036813974381</v>
      </c>
      <c r="J689" s="22" t="n">
        <f aca="false">H689*I689</f>
        <v>205.316658617494</v>
      </c>
    </row>
    <row r="690" customFormat="false" ht="15" hidden="false" customHeight="false" outlineLevel="0" collapsed="false">
      <c r="A690" s="5" t="s">
        <v>538</v>
      </c>
      <c r="B690" s="2" t="s">
        <v>689</v>
      </c>
      <c r="C690" s="5" t="s">
        <v>230</v>
      </c>
      <c r="D690" s="5" t="s">
        <v>231</v>
      </c>
      <c r="E690" s="5" t="s">
        <v>72</v>
      </c>
      <c r="F690" s="21" t="n">
        <v>26.2999992370605</v>
      </c>
      <c r="G690" s="21" t="n">
        <v>0</v>
      </c>
      <c r="H690" s="22" t="n">
        <f aca="false">F690+G690</f>
        <v>26.2999992370605</v>
      </c>
      <c r="I690" s="13" t="n">
        <f aca="false">INDEX(RM_Rates!$F$5:$F$137,MATCH(C690,RM_Rates!$A$5:$A$137,0))</f>
        <v>0.742858171463013</v>
      </c>
      <c r="J690" s="22" t="n">
        <f aca="false">H690*I690</f>
        <v>19.5371693427214</v>
      </c>
    </row>
    <row r="691" customFormat="false" ht="15" hidden="false" customHeight="false" outlineLevel="0" collapsed="false">
      <c r="A691" s="5" t="s">
        <v>538</v>
      </c>
      <c r="B691" s="2" t="s">
        <v>689</v>
      </c>
      <c r="C691" s="5" t="s">
        <v>246</v>
      </c>
      <c r="D691" s="5" t="s">
        <v>247</v>
      </c>
      <c r="E691" s="5" t="s">
        <v>72</v>
      </c>
      <c r="F691" s="21" t="n">
        <v>1446.21997070313</v>
      </c>
      <c r="G691" s="21" t="n">
        <v>3.61500024795532</v>
      </c>
      <c r="H691" s="22" t="n">
        <f aca="false">F691+G691</f>
        <v>1449.83497095109</v>
      </c>
      <c r="I691" s="13" t="n">
        <f aca="false">INDEX(RM_Rates!$F$5:$F$137,MATCH(C691,RM_Rates!$A$5:$A$137,0))</f>
        <v>0.420493960380554</v>
      </c>
      <c r="J691" s="22" t="n">
        <f aca="false">H691*I691</f>
        <v>609.646848833447</v>
      </c>
    </row>
    <row r="692" customFormat="false" ht="15" hidden="false" customHeight="false" outlineLevel="0" collapsed="false">
      <c r="A692" s="5" t="s">
        <v>538</v>
      </c>
      <c r="B692" s="2" t="s">
        <v>689</v>
      </c>
      <c r="C692" s="5" t="s">
        <v>232</v>
      </c>
      <c r="D692" s="5" t="s">
        <v>233</v>
      </c>
      <c r="E692" s="5" t="s">
        <v>72</v>
      </c>
      <c r="F692" s="21" t="n">
        <v>23.1395206451416</v>
      </c>
      <c r="G692" s="21" t="n">
        <v>0.0579999983310699</v>
      </c>
      <c r="H692" s="22" t="n">
        <f aca="false">F692+G692</f>
        <v>23.1975206434727</v>
      </c>
      <c r="I692" s="13" t="n">
        <f aca="false">INDEX(RM_Rates!$F$5:$F$137,MATCH(C692,RM_Rates!$A$5:$A$137,0))</f>
        <v>1.45200002193451</v>
      </c>
      <c r="J692" s="22" t="n">
        <f aca="false">H692*I692</f>
        <v>33.6828004831486</v>
      </c>
    </row>
    <row r="693" customFormat="false" ht="15" hidden="false" customHeight="false" outlineLevel="0" collapsed="false">
      <c r="A693" s="5" t="s">
        <v>538</v>
      </c>
      <c r="B693" s="2" t="s">
        <v>689</v>
      </c>
      <c r="C693" s="5" t="s">
        <v>277</v>
      </c>
      <c r="D693" s="5" t="s">
        <v>278</v>
      </c>
      <c r="E693" s="5" t="s">
        <v>72</v>
      </c>
      <c r="F693" s="21" t="n">
        <v>3608.5</v>
      </c>
      <c r="G693" s="21" t="n">
        <v>36.0849990844727</v>
      </c>
      <c r="H693" s="22" t="n">
        <f aca="false">F693+G693</f>
        <v>3644.58499908447</v>
      </c>
      <c r="I693" s="13" t="n">
        <f aca="false">INDEX(RM_Rates!$F$5:$F$137,MATCH(C693,RM_Rates!$A$5:$A$137,0))</f>
        <v>0.363243609666824</v>
      </c>
      <c r="J693" s="22" t="n">
        <f aca="false">H693*I693</f>
        <v>1323.872210805</v>
      </c>
    </row>
    <row r="694" customFormat="false" ht="15" hidden="false" customHeight="false" outlineLevel="0" collapsed="false">
      <c r="A694" s="5" t="s">
        <v>538</v>
      </c>
      <c r="B694" s="2" t="s">
        <v>689</v>
      </c>
      <c r="C694" s="5" t="s">
        <v>261</v>
      </c>
      <c r="D694" s="5" t="s">
        <v>262</v>
      </c>
      <c r="E694" s="5" t="s">
        <v>166</v>
      </c>
      <c r="F694" s="21" t="n">
        <v>2</v>
      </c>
      <c r="G694" s="21" t="n">
        <v>0</v>
      </c>
      <c r="H694" s="22" t="n">
        <f aca="false">F694+G694</f>
        <v>2</v>
      </c>
      <c r="I694" s="13" t="n">
        <f aca="false">INDEX(RM_Rates!$F$5:$F$137,MATCH(C694,RM_Rates!$A$5:$A$137,0))</f>
        <v>185</v>
      </c>
      <c r="J694" s="22" t="n">
        <f aca="false">H694*I694</f>
        <v>370</v>
      </c>
    </row>
    <row r="695" customFormat="false" ht="15" hidden="false" customHeight="false" outlineLevel="0" collapsed="false">
      <c r="A695" s="5" t="s">
        <v>538</v>
      </c>
      <c r="B695" s="2" t="s">
        <v>689</v>
      </c>
      <c r="C695" s="5" t="s">
        <v>177</v>
      </c>
      <c r="D695" s="5" t="s">
        <v>178</v>
      </c>
      <c r="E695" s="5" t="s">
        <v>166</v>
      </c>
      <c r="F695" s="21" t="n">
        <v>4</v>
      </c>
      <c r="G695" s="21" t="n">
        <v>0</v>
      </c>
      <c r="H695" s="22" t="n">
        <f aca="false">F695+G695</f>
        <v>4</v>
      </c>
      <c r="I695" s="13" t="n">
        <f aca="false">INDEX(RM_Rates!$F$5:$F$137,MATCH(C695,RM_Rates!$A$5:$A$137,0))</f>
        <v>0.39300000667572</v>
      </c>
      <c r="J695" s="22" t="n">
        <f aca="false">H695*I695</f>
        <v>1.57200002670288</v>
      </c>
    </row>
    <row r="696" customFormat="false" ht="15" hidden="false" customHeight="false" outlineLevel="0" collapsed="false">
      <c r="A696" s="5" t="s">
        <v>538</v>
      </c>
      <c r="B696" s="2" t="s">
        <v>689</v>
      </c>
      <c r="C696" s="5" t="s">
        <v>189</v>
      </c>
      <c r="D696" s="5" t="s">
        <v>190</v>
      </c>
      <c r="E696" s="5" t="s">
        <v>60</v>
      </c>
      <c r="F696" s="21" t="n">
        <v>2.35999989509583</v>
      </c>
      <c r="G696" s="21" t="n">
        <v>0</v>
      </c>
      <c r="H696" s="22" t="n">
        <f aca="false">F696+G696</f>
        <v>2.35999989509583</v>
      </c>
      <c r="I696" s="13" t="n">
        <f aca="false">INDEX(RM_Rates!$F$5:$F$137,MATCH(C696,RM_Rates!$A$5:$A$137,0))</f>
        <v>0.568400025367737</v>
      </c>
      <c r="J696" s="22" t="n">
        <f aca="false">H696*I696</f>
        <v>1.34142400024033</v>
      </c>
    </row>
    <row r="697" customFormat="false" ht="15" hidden="false" customHeight="false" outlineLevel="0" collapsed="false">
      <c r="A697" s="5" t="s">
        <v>538</v>
      </c>
      <c r="B697" s="2" t="s">
        <v>689</v>
      </c>
      <c r="C697" s="5" t="s">
        <v>302</v>
      </c>
      <c r="D697" s="5" t="s">
        <v>303</v>
      </c>
      <c r="E697" s="5" t="s">
        <v>297</v>
      </c>
      <c r="F697" s="21" t="n">
        <v>15</v>
      </c>
      <c r="G697" s="21" t="n">
        <v>0</v>
      </c>
      <c r="H697" s="22" t="n">
        <f aca="false">F697+G697</f>
        <v>15</v>
      </c>
      <c r="I697" s="13" t="n">
        <f aca="false">INDEX(RM_Rates!$F$5:$F$137,MATCH(C697,RM_Rates!$A$5:$A$137,0))</f>
        <v>1.40752077102661</v>
      </c>
      <c r="J697" s="22" t="n">
        <f aca="false">H697*I697</f>
        <v>21.1128115653992</v>
      </c>
    </row>
    <row r="698" customFormat="false" ht="15" hidden="false" customHeight="false" outlineLevel="0" collapsed="false">
      <c r="A698" s="5" t="s">
        <v>540</v>
      </c>
      <c r="B698" s="2" t="s">
        <v>690</v>
      </c>
      <c r="C698" s="5" t="s">
        <v>104</v>
      </c>
      <c r="D698" s="5" t="s">
        <v>105</v>
      </c>
      <c r="E698" s="5" t="s">
        <v>72</v>
      </c>
      <c r="F698" s="21" t="n">
        <v>1776</v>
      </c>
      <c r="G698" s="21" t="n">
        <v>8.88000011444092</v>
      </c>
      <c r="H698" s="22" t="n">
        <f aca="false">F698+G698</f>
        <v>1784.88000011444</v>
      </c>
      <c r="I698" s="13" t="n">
        <f aca="false">INDEX(RM_Rates!$F$5:$F$137,MATCH(C698,RM_Rates!$A$5:$A$137,0))</f>
        <v>1.970916</v>
      </c>
      <c r="J698" s="22" t="n">
        <f aca="false">H698*I698</f>
        <v>3517.84855030555</v>
      </c>
    </row>
    <row r="699" customFormat="false" ht="15" hidden="false" customHeight="false" outlineLevel="0" collapsed="false">
      <c r="A699" s="5" t="s">
        <v>540</v>
      </c>
      <c r="B699" s="2" t="s">
        <v>690</v>
      </c>
      <c r="C699" s="5" t="s">
        <v>328</v>
      </c>
      <c r="D699" s="5" t="s">
        <v>329</v>
      </c>
      <c r="E699" s="5" t="s">
        <v>72</v>
      </c>
      <c r="F699" s="21" t="n">
        <v>206.330993652344</v>
      </c>
      <c r="G699" s="21" t="n">
        <v>10.3170003890991</v>
      </c>
      <c r="H699" s="22" t="n">
        <f aca="false">F699+G699</f>
        <v>216.647994041443</v>
      </c>
      <c r="I699" s="13" t="n">
        <f aca="false">INDEX(RM_Rates!$F$5:$F$137,MATCH(C699,RM_Rates!$A$5:$A$137,0))</f>
        <v>0.821246385574341</v>
      </c>
      <c r="J699" s="22" t="n">
        <f aca="false">H699*I699</f>
        <v>177.921382048467</v>
      </c>
    </row>
    <row r="700" customFormat="false" ht="15" hidden="false" customHeight="false" outlineLevel="0" collapsed="false">
      <c r="A700" s="5" t="s">
        <v>540</v>
      </c>
      <c r="B700" s="2" t="s">
        <v>690</v>
      </c>
      <c r="C700" s="5" t="s">
        <v>312</v>
      </c>
      <c r="D700" s="5" t="s">
        <v>313</v>
      </c>
      <c r="E700" s="5" t="s">
        <v>72</v>
      </c>
      <c r="F700" s="21" t="n">
        <v>642</v>
      </c>
      <c r="G700" s="21" t="n">
        <v>32.0999984741211</v>
      </c>
      <c r="H700" s="22" t="n">
        <f aca="false">F700+G700</f>
        <v>674.099998474121</v>
      </c>
      <c r="I700" s="13" t="n">
        <f aca="false">INDEX(RM_Rates!$F$5:$F$137,MATCH(C700,RM_Rates!$A$5:$A$137,0))</f>
        <v>0.600000023841858</v>
      </c>
      <c r="J700" s="22" t="n">
        <f aca="false">H700*I700</f>
        <v>404.460015156269</v>
      </c>
    </row>
    <row r="701" customFormat="false" ht="15" hidden="false" customHeight="false" outlineLevel="0" collapsed="false">
      <c r="A701" s="5" t="s">
        <v>540</v>
      </c>
      <c r="B701" s="2" t="s">
        <v>690</v>
      </c>
      <c r="C701" s="5" t="s">
        <v>160</v>
      </c>
      <c r="D701" s="5" t="s">
        <v>161</v>
      </c>
      <c r="E701" s="5" t="s">
        <v>72</v>
      </c>
      <c r="F701" s="21" t="n">
        <v>97.7999954223633</v>
      </c>
      <c r="G701" s="21" t="n">
        <v>0.978000044822693</v>
      </c>
      <c r="H701" s="22" t="n">
        <f aca="false">F701+G701</f>
        <v>98.777995467186</v>
      </c>
      <c r="I701" s="13" t="n">
        <f aca="false">INDEX(RM_Rates!$F$5:$F$137,MATCH(C701,RM_Rates!$A$5:$A$137,0))</f>
        <v>3.00841188430786</v>
      </c>
      <c r="J701" s="22" t="n">
        <f aca="false">H701*I701</f>
        <v>297.16489547159</v>
      </c>
    </row>
    <row r="702" customFormat="false" ht="15" hidden="false" customHeight="false" outlineLevel="0" collapsed="false">
      <c r="A702" s="5" t="s">
        <v>540</v>
      </c>
      <c r="B702" s="2" t="s">
        <v>690</v>
      </c>
      <c r="C702" s="5" t="s">
        <v>220</v>
      </c>
      <c r="D702" s="5" t="s">
        <v>221</v>
      </c>
      <c r="E702" s="5" t="s">
        <v>72</v>
      </c>
      <c r="F702" s="21" t="n">
        <v>337.440002441406</v>
      </c>
      <c r="G702" s="21" t="n">
        <v>0</v>
      </c>
      <c r="H702" s="22" t="n">
        <f aca="false">F702+G702</f>
        <v>337.440002441406</v>
      </c>
      <c r="I702" s="13" t="n">
        <f aca="false">INDEX(RM_Rates!$F$5:$F$137,MATCH(C702,RM_Rates!$A$5:$A$137,0))</f>
        <v>0.379036813974381</v>
      </c>
      <c r="J702" s="22" t="n">
        <f aca="false">H702*I702</f>
        <v>127.902183432898</v>
      </c>
    </row>
    <row r="703" customFormat="false" ht="15" hidden="false" customHeight="false" outlineLevel="0" collapsed="false">
      <c r="A703" s="5" t="s">
        <v>540</v>
      </c>
      <c r="B703" s="2" t="s">
        <v>690</v>
      </c>
      <c r="C703" s="5" t="s">
        <v>230</v>
      </c>
      <c r="D703" s="5" t="s">
        <v>231</v>
      </c>
      <c r="E703" s="5" t="s">
        <v>72</v>
      </c>
      <c r="F703" s="21" t="n">
        <v>20.7999992370605</v>
      </c>
      <c r="G703" s="21" t="n">
        <v>0</v>
      </c>
      <c r="H703" s="22" t="n">
        <f aca="false">F703+G703</f>
        <v>20.7999992370605</v>
      </c>
      <c r="I703" s="13" t="n">
        <f aca="false">INDEX(RM_Rates!$F$5:$F$137,MATCH(C703,RM_Rates!$A$5:$A$137,0))</f>
        <v>0.742858171463013</v>
      </c>
      <c r="J703" s="22" t="n">
        <f aca="false">H703*I703</f>
        <v>15.4514493996748</v>
      </c>
    </row>
    <row r="704" customFormat="false" ht="15" hidden="false" customHeight="false" outlineLevel="0" collapsed="false">
      <c r="A704" s="5" t="s">
        <v>540</v>
      </c>
      <c r="B704" s="2" t="s">
        <v>690</v>
      </c>
      <c r="C704" s="5" t="s">
        <v>246</v>
      </c>
      <c r="D704" s="5" t="s">
        <v>247</v>
      </c>
      <c r="E704" s="5" t="s">
        <v>72</v>
      </c>
      <c r="F704" s="21" t="n">
        <v>968.839965820313</v>
      </c>
      <c r="G704" s="21" t="n">
        <v>2.42199993133545</v>
      </c>
      <c r="H704" s="22" t="n">
        <f aca="false">F704+G704</f>
        <v>971.261965751648</v>
      </c>
      <c r="I704" s="13" t="n">
        <f aca="false">INDEX(RM_Rates!$F$5:$F$137,MATCH(C704,RM_Rates!$A$5:$A$137,0))</f>
        <v>0.420493960380554</v>
      </c>
      <c r="J704" s="22" t="n">
        <f aca="false">H704*I704</f>
        <v>408.409790545913</v>
      </c>
    </row>
    <row r="705" customFormat="false" ht="15" hidden="false" customHeight="false" outlineLevel="0" collapsed="false">
      <c r="A705" s="5" t="s">
        <v>540</v>
      </c>
      <c r="B705" s="2" t="s">
        <v>690</v>
      </c>
      <c r="C705" s="5" t="s">
        <v>232</v>
      </c>
      <c r="D705" s="5" t="s">
        <v>233</v>
      </c>
      <c r="E705" s="5" t="s">
        <v>72</v>
      </c>
      <c r="F705" s="21" t="n">
        <v>15.5014400482178</v>
      </c>
      <c r="G705" s="21" t="n">
        <v>0.0390000008046627</v>
      </c>
      <c r="H705" s="22" t="n">
        <f aca="false">F705+G705</f>
        <v>15.5404400490225</v>
      </c>
      <c r="I705" s="13" t="n">
        <f aca="false">INDEX(RM_Rates!$F$5:$F$137,MATCH(C705,RM_Rates!$A$5:$A$137,0))</f>
        <v>1.45200002193451</v>
      </c>
      <c r="J705" s="22" t="n">
        <f aca="false">H705*I705</f>
        <v>22.5647192920526</v>
      </c>
    </row>
    <row r="706" customFormat="false" ht="15" hidden="false" customHeight="false" outlineLevel="0" collapsed="false">
      <c r="A706" s="5" t="s">
        <v>540</v>
      </c>
      <c r="B706" s="2" t="s">
        <v>690</v>
      </c>
      <c r="C706" s="5" t="s">
        <v>275</v>
      </c>
      <c r="D706" s="5" t="s">
        <v>276</v>
      </c>
      <c r="E706" s="5" t="s">
        <v>72</v>
      </c>
      <c r="F706" s="21" t="n">
        <v>2272.89990234375</v>
      </c>
      <c r="G706" s="21" t="n">
        <v>22.7290000915527</v>
      </c>
      <c r="H706" s="22" t="n">
        <f aca="false">F706+G706</f>
        <v>2295.6289024353</v>
      </c>
      <c r="I706" s="13" t="n">
        <f aca="false">INDEX(RM_Rates!$F$5:$F$137,MATCH(C706,RM_Rates!$A$5:$A$137,0))</f>
        <v>0.367191910743713</v>
      </c>
      <c r="J706" s="22" t="n">
        <f aca="false">H706*I706</f>
        <v>842.936363043712</v>
      </c>
    </row>
    <row r="707" customFormat="false" ht="15" hidden="false" customHeight="false" outlineLevel="0" collapsed="false">
      <c r="A707" s="5" t="s">
        <v>540</v>
      </c>
      <c r="B707" s="2" t="s">
        <v>690</v>
      </c>
      <c r="C707" s="5" t="s">
        <v>259</v>
      </c>
      <c r="D707" s="5" t="s">
        <v>260</v>
      </c>
      <c r="E707" s="5" t="s">
        <v>166</v>
      </c>
      <c r="F707" s="21" t="n">
        <v>2</v>
      </c>
      <c r="G707" s="21" t="n">
        <v>0</v>
      </c>
      <c r="H707" s="22" t="n">
        <f aca="false">F707+G707</f>
        <v>2</v>
      </c>
      <c r="I707" s="13" t="n">
        <f aca="false">INDEX(RM_Rates!$F$5:$F$137,MATCH(C707,RM_Rates!$A$5:$A$137,0))</f>
        <v>162</v>
      </c>
      <c r="J707" s="22" t="n">
        <f aca="false">H707*I707</f>
        <v>324</v>
      </c>
    </row>
    <row r="708" customFormat="false" ht="15" hidden="false" customHeight="false" outlineLevel="0" collapsed="false">
      <c r="A708" s="5" t="s">
        <v>540</v>
      </c>
      <c r="B708" s="2" t="s">
        <v>690</v>
      </c>
      <c r="C708" s="5" t="s">
        <v>175</v>
      </c>
      <c r="D708" s="5" t="s">
        <v>176</v>
      </c>
      <c r="E708" s="5" t="s">
        <v>166</v>
      </c>
      <c r="F708" s="21" t="n">
        <v>4</v>
      </c>
      <c r="G708" s="21" t="n">
        <v>0</v>
      </c>
      <c r="H708" s="22" t="n">
        <f aca="false">F708+G708</f>
        <v>4</v>
      </c>
      <c r="I708" s="13" t="n">
        <f aca="false">INDEX(RM_Rates!$F$5:$F$137,MATCH(C708,RM_Rates!$A$5:$A$137,0))</f>
        <v>0.39300000667572</v>
      </c>
      <c r="J708" s="22" t="n">
        <f aca="false">H708*I708</f>
        <v>1.57200002670288</v>
      </c>
    </row>
    <row r="709" customFormat="false" ht="15" hidden="false" customHeight="false" outlineLevel="0" collapsed="false">
      <c r="A709" s="5" t="s">
        <v>540</v>
      </c>
      <c r="B709" s="2" t="s">
        <v>690</v>
      </c>
      <c r="C709" s="5" t="s">
        <v>189</v>
      </c>
      <c r="D709" s="5" t="s">
        <v>190</v>
      </c>
      <c r="E709" s="5" t="s">
        <v>60</v>
      </c>
      <c r="F709" s="21" t="n">
        <v>2</v>
      </c>
      <c r="G709" s="21" t="n">
        <v>0</v>
      </c>
      <c r="H709" s="22" t="n">
        <f aca="false">F709+G709</f>
        <v>2</v>
      </c>
      <c r="I709" s="13" t="n">
        <f aca="false">INDEX(RM_Rates!$F$5:$F$137,MATCH(C709,RM_Rates!$A$5:$A$137,0))</f>
        <v>0.568400025367737</v>
      </c>
      <c r="J709" s="22" t="n">
        <f aca="false">H709*I709</f>
        <v>1.13680005073547</v>
      </c>
    </row>
    <row r="710" customFormat="false" ht="15" hidden="false" customHeight="false" outlineLevel="0" collapsed="false">
      <c r="A710" s="5" t="s">
        <v>540</v>
      </c>
      <c r="B710" s="2" t="s">
        <v>690</v>
      </c>
      <c r="C710" s="5" t="s">
        <v>300</v>
      </c>
      <c r="D710" s="5" t="s">
        <v>301</v>
      </c>
      <c r="E710" s="5" t="s">
        <v>297</v>
      </c>
      <c r="F710" s="21" t="n">
        <v>13.8000001907349</v>
      </c>
      <c r="G710" s="21" t="n">
        <v>0</v>
      </c>
      <c r="H710" s="22" t="n">
        <f aca="false">F710+G710</f>
        <v>13.8000001907349</v>
      </c>
      <c r="I710" s="13" t="n">
        <f aca="false">INDEX(RM_Rates!$F$5:$F$137,MATCH(C710,RM_Rates!$A$5:$A$137,0))</f>
        <v>1.40752077102661</v>
      </c>
      <c r="J710" s="22" t="n">
        <f aca="false">H710*I710</f>
        <v>19.4237869086306</v>
      </c>
    </row>
    <row r="711" customFormat="false" ht="15" hidden="false" customHeight="false" outlineLevel="0" collapsed="false">
      <c r="A711" s="5" t="s">
        <v>542</v>
      </c>
      <c r="B711" s="2" t="s">
        <v>691</v>
      </c>
      <c r="C711" s="5" t="s">
        <v>104</v>
      </c>
      <c r="D711" s="5" t="s">
        <v>105</v>
      </c>
      <c r="E711" s="5" t="s">
        <v>72</v>
      </c>
      <c r="F711" s="21" t="n">
        <v>1776</v>
      </c>
      <c r="G711" s="21" t="n">
        <v>8.88000011444092</v>
      </c>
      <c r="H711" s="22" t="n">
        <f aca="false">F711+G711</f>
        <v>1784.88000011444</v>
      </c>
      <c r="I711" s="13" t="n">
        <f aca="false">INDEX(RM_Rates!$F$5:$F$137,MATCH(C711,RM_Rates!$A$5:$A$137,0))</f>
        <v>1.970916</v>
      </c>
      <c r="J711" s="22" t="n">
        <f aca="false">H711*I711</f>
        <v>3517.84855030555</v>
      </c>
    </row>
    <row r="712" customFormat="false" ht="15" hidden="false" customHeight="false" outlineLevel="0" collapsed="false">
      <c r="A712" s="5" t="s">
        <v>542</v>
      </c>
      <c r="B712" s="2" t="s">
        <v>691</v>
      </c>
      <c r="C712" s="5" t="s">
        <v>328</v>
      </c>
      <c r="D712" s="5" t="s">
        <v>329</v>
      </c>
      <c r="E712" s="5" t="s">
        <v>72</v>
      </c>
      <c r="F712" s="21" t="n">
        <v>296.915985107422</v>
      </c>
      <c r="G712" s="21" t="n">
        <v>14.8470001220703</v>
      </c>
      <c r="H712" s="22" t="n">
        <f aca="false">F712+G712</f>
        <v>311.762985229492</v>
      </c>
      <c r="I712" s="13" t="n">
        <f aca="false">INDEX(RM_Rates!$F$5:$F$137,MATCH(C712,RM_Rates!$A$5:$A$137,0))</f>
        <v>0.821246385574341</v>
      </c>
      <c r="J712" s="22" t="n">
        <f aca="false">H712*I712</f>
        <v>256.034224775587</v>
      </c>
    </row>
    <row r="713" customFormat="false" ht="15" hidden="false" customHeight="false" outlineLevel="0" collapsed="false">
      <c r="A713" s="5" t="s">
        <v>542</v>
      </c>
      <c r="B713" s="2" t="s">
        <v>691</v>
      </c>
      <c r="C713" s="5" t="s">
        <v>312</v>
      </c>
      <c r="D713" s="5" t="s">
        <v>313</v>
      </c>
      <c r="E713" s="5" t="s">
        <v>72</v>
      </c>
      <c r="F713" s="21" t="n">
        <v>1413.60009765625</v>
      </c>
      <c r="G713" s="21" t="n">
        <v>70.6800003051758</v>
      </c>
      <c r="H713" s="22" t="n">
        <f aca="false">F713+G713</f>
        <v>1484.28009796143</v>
      </c>
      <c r="I713" s="13" t="n">
        <f aca="false">INDEX(RM_Rates!$F$5:$F$137,MATCH(C713,RM_Rates!$A$5:$A$137,0))</f>
        <v>0.600000023841858</v>
      </c>
      <c r="J713" s="22" t="n">
        <f aca="false">H713*I713</f>
        <v>890.568094164851</v>
      </c>
    </row>
    <row r="714" customFormat="false" ht="15" hidden="false" customHeight="false" outlineLevel="0" collapsed="false">
      <c r="A714" s="5" t="s">
        <v>542</v>
      </c>
      <c r="B714" s="2" t="s">
        <v>691</v>
      </c>
      <c r="C714" s="5" t="s">
        <v>160</v>
      </c>
      <c r="D714" s="5" t="s">
        <v>161</v>
      </c>
      <c r="E714" s="5" t="s">
        <v>72</v>
      </c>
      <c r="F714" s="21" t="n">
        <v>132</v>
      </c>
      <c r="G714" s="21" t="n">
        <v>1.3199999332428</v>
      </c>
      <c r="H714" s="22" t="n">
        <f aca="false">F714+G714</f>
        <v>133.319999933243</v>
      </c>
      <c r="I714" s="13" t="n">
        <f aca="false">INDEX(RM_Rates!$F$5:$F$137,MATCH(C714,RM_Rates!$A$5:$A$137,0))</f>
        <v>3.00841188430786</v>
      </c>
      <c r="J714" s="22" t="n">
        <f aca="false">H714*I714</f>
        <v>401.081472215091</v>
      </c>
    </row>
    <row r="715" customFormat="false" ht="15" hidden="false" customHeight="false" outlineLevel="0" collapsed="false">
      <c r="A715" s="5" t="s">
        <v>542</v>
      </c>
      <c r="B715" s="2" t="s">
        <v>691</v>
      </c>
      <c r="C715" s="5" t="s">
        <v>220</v>
      </c>
      <c r="D715" s="5" t="s">
        <v>221</v>
      </c>
      <c r="E715" s="5" t="s">
        <v>72</v>
      </c>
      <c r="F715" s="21" t="n">
        <v>608.280029296875</v>
      </c>
      <c r="G715" s="21" t="n">
        <v>0</v>
      </c>
      <c r="H715" s="22" t="n">
        <f aca="false">F715+G715</f>
        <v>608.280029296875</v>
      </c>
      <c r="I715" s="13" t="n">
        <f aca="false">INDEX(RM_Rates!$F$5:$F$137,MATCH(C715,RM_Rates!$A$5:$A$137,0))</f>
        <v>0.379036813974381</v>
      </c>
      <c r="J715" s="22" t="n">
        <f aca="false">H715*I715</f>
        <v>230.560524308931</v>
      </c>
    </row>
    <row r="716" customFormat="false" ht="15" hidden="false" customHeight="false" outlineLevel="0" collapsed="false">
      <c r="A716" s="5" t="s">
        <v>542</v>
      </c>
      <c r="B716" s="2" t="s">
        <v>691</v>
      </c>
      <c r="C716" s="5" t="s">
        <v>230</v>
      </c>
      <c r="D716" s="5" t="s">
        <v>231</v>
      </c>
      <c r="E716" s="5" t="s">
        <v>72</v>
      </c>
      <c r="F716" s="21" t="n">
        <v>27.8999996185303</v>
      </c>
      <c r="G716" s="21" t="n">
        <v>0</v>
      </c>
      <c r="H716" s="22" t="n">
        <f aca="false">F716+G716</f>
        <v>27.8999996185303</v>
      </c>
      <c r="I716" s="13" t="n">
        <f aca="false">INDEX(RM_Rates!$F$5:$F$137,MATCH(C716,RM_Rates!$A$5:$A$137,0))</f>
        <v>0.742858171463013</v>
      </c>
      <c r="J716" s="22" t="n">
        <f aca="false">H716*I716</f>
        <v>20.7257427004402</v>
      </c>
    </row>
    <row r="717" customFormat="false" ht="15" hidden="false" customHeight="false" outlineLevel="0" collapsed="false">
      <c r="A717" s="5" t="s">
        <v>542</v>
      </c>
      <c r="B717" s="2" t="s">
        <v>691</v>
      </c>
      <c r="C717" s="5" t="s">
        <v>246</v>
      </c>
      <c r="D717" s="5" t="s">
        <v>247</v>
      </c>
      <c r="E717" s="5" t="s">
        <v>72</v>
      </c>
      <c r="F717" s="21" t="n">
        <v>1562.580078125</v>
      </c>
      <c r="G717" s="21" t="n">
        <v>3.90700006484985</v>
      </c>
      <c r="H717" s="22" t="n">
        <f aca="false">F717+G717</f>
        <v>1566.48707818985</v>
      </c>
      <c r="I717" s="13" t="n">
        <f aca="false">INDEX(RM_Rates!$F$5:$F$137,MATCH(C717,RM_Rates!$A$5:$A$137,0))</f>
        <v>0.420493960380554</v>
      </c>
      <c r="J717" s="22" t="n">
        <f aca="false">H717*I717</f>
        <v>658.698355393012</v>
      </c>
    </row>
    <row r="718" customFormat="false" ht="15" hidden="false" customHeight="false" outlineLevel="0" collapsed="false">
      <c r="A718" s="5" t="s">
        <v>542</v>
      </c>
      <c r="B718" s="2" t="s">
        <v>691</v>
      </c>
      <c r="C718" s="5" t="s">
        <v>232</v>
      </c>
      <c r="D718" s="5" t="s">
        <v>233</v>
      </c>
      <c r="E718" s="5" t="s">
        <v>72</v>
      </c>
      <c r="F718" s="21" t="n">
        <v>25.0012798309326</v>
      </c>
      <c r="G718" s="21" t="n">
        <v>0.063000001013279</v>
      </c>
      <c r="H718" s="22" t="n">
        <f aca="false">F718+G718</f>
        <v>25.0642798319459</v>
      </c>
      <c r="I718" s="13" t="n">
        <f aca="false">INDEX(RM_Rates!$F$5:$F$137,MATCH(C718,RM_Rates!$A$5:$A$137,0))</f>
        <v>1.45200002193451</v>
      </c>
      <c r="J718" s="22" t="n">
        <f aca="false">H718*I718</f>
        <v>36.3933348657581</v>
      </c>
    </row>
    <row r="719" customFormat="false" ht="15" hidden="false" customHeight="false" outlineLevel="0" collapsed="false">
      <c r="A719" s="5" t="s">
        <v>542</v>
      </c>
      <c r="B719" s="2" t="s">
        <v>691</v>
      </c>
      <c r="C719" s="5" t="s">
        <v>277</v>
      </c>
      <c r="D719" s="5" t="s">
        <v>278</v>
      </c>
      <c r="E719" s="5" t="s">
        <v>72</v>
      </c>
      <c r="F719" s="21" t="n">
        <v>3795.19995117188</v>
      </c>
      <c r="G719" s="21" t="n">
        <v>37.9519996643066</v>
      </c>
      <c r="H719" s="22" t="n">
        <f aca="false">F719+G719</f>
        <v>3833.15195083619</v>
      </c>
      <c r="I719" s="13" t="n">
        <f aca="false">INDEX(RM_Rates!$F$5:$F$137,MATCH(C719,RM_Rates!$A$5:$A$137,0))</f>
        <v>0.363243609666824</v>
      </c>
      <c r="J719" s="22" t="n">
        <f aca="false">H719*I719</f>
        <v>1392.36795102316</v>
      </c>
    </row>
    <row r="720" customFormat="false" ht="15" hidden="false" customHeight="false" outlineLevel="0" collapsed="false">
      <c r="A720" s="5" t="s">
        <v>542</v>
      </c>
      <c r="B720" s="2" t="s">
        <v>691</v>
      </c>
      <c r="C720" s="5" t="s">
        <v>257</v>
      </c>
      <c r="D720" s="5" t="s">
        <v>258</v>
      </c>
      <c r="E720" s="5" t="s">
        <v>166</v>
      </c>
      <c r="F720" s="21" t="n">
        <v>4</v>
      </c>
      <c r="G720" s="21" t="n">
        <v>0</v>
      </c>
      <c r="H720" s="22" t="n">
        <f aca="false">F720+G720</f>
        <v>4</v>
      </c>
      <c r="I720" s="13" t="n">
        <f aca="false">INDEX(RM_Rates!$F$5:$F$137,MATCH(C720,RM_Rates!$A$5:$A$137,0))</f>
        <v>131.083557128906</v>
      </c>
      <c r="J720" s="22" t="n">
        <f aca="false">H720*I720</f>
        <v>524.334228515624</v>
      </c>
    </row>
    <row r="721" customFormat="false" ht="15" hidden="false" customHeight="false" outlineLevel="0" collapsed="false">
      <c r="A721" s="5" t="s">
        <v>542</v>
      </c>
      <c r="B721" s="2" t="s">
        <v>691</v>
      </c>
      <c r="C721" s="5" t="s">
        <v>177</v>
      </c>
      <c r="D721" s="5" t="s">
        <v>178</v>
      </c>
      <c r="E721" s="5" t="s">
        <v>166</v>
      </c>
      <c r="F721" s="21" t="n">
        <v>8</v>
      </c>
      <c r="G721" s="21" t="n">
        <v>0</v>
      </c>
      <c r="H721" s="22" t="n">
        <f aca="false">F721+G721</f>
        <v>8</v>
      </c>
      <c r="I721" s="13" t="n">
        <f aca="false">INDEX(RM_Rates!$F$5:$F$137,MATCH(C721,RM_Rates!$A$5:$A$137,0))</f>
        <v>0.39300000667572</v>
      </c>
      <c r="J721" s="22" t="n">
        <f aca="false">H721*I721</f>
        <v>3.14400005340576</v>
      </c>
    </row>
    <row r="722" customFormat="false" ht="15" hidden="false" customHeight="false" outlineLevel="0" collapsed="false">
      <c r="A722" s="5" t="s">
        <v>542</v>
      </c>
      <c r="B722" s="2" t="s">
        <v>691</v>
      </c>
      <c r="C722" s="5" t="s">
        <v>189</v>
      </c>
      <c r="D722" s="5" t="s">
        <v>190</v>
      </c>
      <c r="E722" s="5" t="s">
        <v>60</v>
      </c>
      <c r="F722" s="21" t="n">
        <v>3.44000005722046</v>
      </c>
      <c r="G722" s="21" t="n">
        <v>0</v>
      </c>
      <c r="H722" s="22" t="n">
        <f aca="false">F722+G722</f>
        <v>3.44000005722046</v>
      </c>
      <c r="I722" s="13" t="n">
        <f aca="false">INDEX(RM_Rates!$F$5:$F$137,MATCH(C722,RM_Rates!$A$5:$A$137,0))</f>
        <v>0.568400025367737</v>
      </c>
      <c r="J722" s="22" t="n">
        <f aca="false">H722*I722</f>
        <v>1.95529611978913</v>
      </c>
    </row>
    <row r="723" customFormat="false" ht="15" hidden="false" customHeight="false" outlineLevel="0" collapsed="false">
      <c r="A723" s="5" t="s">
        <v>542</v>
      </c>
      <c r="B723" s="2" t="s">
        <v>691</v>
      </c>
      <c r="C723" s="5" t="s">
        <v>298</v>
      </c>
      <c r="D723" s="5" t="s">
        <v>299</v>
      </c>
      <c r="E723" s="5" t="s">
        <v>297</v>
      </c>
      <c r="F723" s="21" t="n">
        <v>25.6000003814697</v>
      </c>
      <c r="G723" s="21" t="n">
        <v>0</v>
      </c>
      <c r="H723" s="22" t="n">
        <f aca="false">F723+G723</f>
        <v>25.6000003814697</v>
      </c>
      <c r="I723" s="13" t="n">
        <f aca="false">INDEX(RM_Rates!$F$5:$F$137,MATCH(C723,RM_Rates!$A$5:$A$137,0))</f>
        <v>1.40752077102661</v>
      </c>
      <c r="J723" s="22" t="n">
        <f aca="false">H723*I723</f>
        <v>36.0325322752077</v>
      </c>
    </row>
    <row r="724" customFormat="false" ht="15" hidden="false" customHeight="false" outlineLevel="0" collapsed="false">
      <c r="A724" s="5" t="s">
        <v>544</v>
      </c>
      <c r="B724" s="2" t="s">
        <v>692</v>
      </c>
      <c r="C724" s="5" t="s">
        <v>106</v>
      </c>
      <c r="D724" s="5" t="s">
        <v>107</v>
      </c>
      <c r="E724" s="5" t="s">
        <v>72</v>
      </c>
      <c r="F724" s="21" t="n">
        <v>2466</v>
      </c>
      <c r="G724" s="21" t="n">
        <v>12.3299999237061</v>
      </c>
      <c r="H724" s="22" t="n">
        <f aca="false">F724+G724</f>
        <v>2478.32999992371</v>
      </c>
      <c r="I724" s="13" t="n">
        <f aca="false">INDEX(RM_Rates!$F$5:$F$137,MATCH(C724,RM_Rates!$A$5:$A$137,0))</f>
        <v>1.969372</v>
      </c>
      <c r="J724" s="22" t="n">
        <f aca="false">H724*I724</f>
        <v>4880.75370860975</v>
      </c>
    </row>
    <row r="725" customFormat="false" ht="15" hidden="false" customHeight="false" outlineLevel="0" collapsed="false">
      <c r="A725" s="5" t="s">
        <v>544</v>
      </c>
      <c r="B725" s="2" t="s">
        <v>692</v>
      </c>
      <c r="C725" s="5" t="s">
        <v>328</v>
      </c>
      <c r="D725" s="5" t="s">
        <v>329</v>
      </c>
      <c r="E725" s="5" t="s">
        <v>72</v>
      </c>
      <c r="F725" s="21" t="n">
        <v>227.86799621582</v>
      </c>
      <c r="G725" s="21" t="n">
        <v>11.3940000534058</v>
      </c>
      <c r="H725" s="22" t="n">
        <f aca="false">F725+G725</f>
        <v>239.261996269226</v>
      </c>
      <c r="I725" s="13" t="n">
        <f aca="false">INDEX(RM_Rates!$F$5:$F$137,MATCH(C725,RM_Rates!$A$5:$A$137,0))</f>
        <v>0.821246385574341</v>
      </c>
      <c r="J725" s="22" t="n">
        <f aca="false">H725*I725</f>
        <v>196.493049641403</v>
      </c>
    </row>
    <row r="726" customFormat="false" ht="15" hidden="false" customHeight="false" outlineLevel="0" collapsed="false">
      <c r="A726" s="5" t="s">
        <v>544</v>
      </c>
      <c r="B726" s="2" t="s">
        <v>692</v>
      </c>
      <c r="C726" s="5" t="s">
        <v>312</v>
      </c>
      <c r="D726" s="5" t="s">
        <v>313</v>
      </c>
      <c r="E726" s="5" t="s">
        <v>72</v>
      </c>
      <c r="F726" s="21" t="n">
        <v>708.300048828125</v>
      </c>
      <c r="G726" s="21" t="n">
        <v>35.4150009155273</v>
      </c>
      <c r="H726" s="22" t="n">
        <f aca="false">F726+G726</f>
        <v>743.715049743652</v>
      </c>
      <c r="I726" s="13" t="n">
        <f aca="false">INDEX(RM_Rates!$F$5:$F$137,MATCH(C726,RM_Rates!$A$5:$A$137,0))</f>
        <v>0.600000023841858</v>
      </c>
      <c r="J726" s="22" t="n">
        <f aca="false">H726*I726</f>
        <v>446.22904757774</v>
      </c>
    </row>
    <row r="727" customFormat="false" ht="15" hidden="false" customHeight="false" outlineLevel="0" collapsed="false">
      <c r="A727" s="5" t="s">
        <v>544</v>
      </c>
      <c r="B727" s="2" t="s">
        <v>692</v>
      </c>
      <c r="C727" s="5" t="s">
        <v>160</v>
      </c>
      <c r="D727" s="5" t="s">
        <v>161</v>
      </c>
      <c r="E727" s="5" t="s">
        <v>72</v>
      </c>
      <c r="F727" s="21" t="n">
        <v>105.299995422363</v>
      </c>
      <c r="G727" s="21" t="n">
        <v>1.05299997329712</v>
      </c>
      <c r="H727" s="22" t="n">
        <f aca="false">F727+G727</f>
        <v>106.35299539566</v>
      </c>
      <c r="I727" s="13" t="n">
        <f aca="false">INDEX(RM_Rates!$F$5:$F$137,MATCH(C727,RM_Rates!$A$5:$A$137,0))</f>
        <v>3.00841188430786</v>
      </c>
      <c r="J727" s="22" t="n">
        <f aca="false">H727*I727</f>
        <v>319.953615280043</v>
      </c>
    </row>
    <row r="728" customFormat="false" ht="15" hidden="false" customHeight="false" outlineLevel="0" collapsed="false">
      <c r="A728" s="5" t="s">
        <v>544</v>
      </c>
      <c r="B728" s="2" t="s">
        <v>692</v>
      </c>
      <c r="C728" s="5" t="s">
        <v>220</v>
      </c>
      <c r="D728" s="5" t="s">
        <v>221</v>
      </c>
      <c r="E728" s="5" t="s">
        <v>72</v>
      </c>
      <c r="F728" s="21" t="n">
        <v>404.040008544922</v>
      </c>
      <c r="G728" s="21" t="n">
        <v>0</v>
      </c>
      <c r="H728" s="22" t="n">
        <f aca="false">F728+G728</f>
        <v>404.040008544922</v>
      </c>
      <c r="I728" s="13" t="n">
        <f aca="false">INDEX(RM_Rates!$F$5:$F$137,MATCH(C728,RM_Rates!$A$5:$A$137,0))</f>
        <v>0.379036813974381</v>
      </c>
      <c r="J728" s="22" t="n">
        <f aca="false">H728*I728</f>
        <v>153.146037557049</v>
      </c>
    </row>
    <row r="729" customFormat="false" ht="15" hidden="false" customHeight="false" outlineLevel="0" collapsed="false">
      <c r="A729" s="5" t="s">
        <v>544</v>
      </c>
      <c r="B729" s="2" t="s">
        <v>692</v>
      </c>
      <c r="C729" s="5" t="s">
        <v>230</v>
      </c>
      <c r="D729" s="5" t="s">
        <v>231</v>
      </c>
      <c r="E729" s="5" t="s">
        <v>72</v>
      </c>
      <c r="F729" s="21" t="n">
        <v>22.2999992370605</v>
      </c>
      <c r="G729" s="21" t="n">
        <v>0</v>
      </c>
      <c r="H729" s="22" t="n">
        <f aca="false">F729+G729</f>
        <v>22.2999992370605</v>
      </c>
      <c r="I729" s="13" t="n">
        <f aca="false">INDEX(RM_Rates!$F$5:$F$137,MATCH(C729,RM_Rates!$A$5:$A$137,0))</f>
        <v>0.742858171463013</v>
      </c>
      <c r="J729" s="22" t="n">
        <f aca="false">H729*I729</f>
        <v>16.5657366568693</v>
      </c>
    </row>
    <row r="730" customFormat="false" ht="15" hidden="false" customHeight="false" outlineLevel="0" collapsed="false">
      <c r="A730" s="5" t="s">
        <v>544</v>
      </c>
      <c r="B730" s="2" t="s">
        <v>692</v>
      </c>
      <c r="C730" s="5" t="s">
        <v>246</v>
      </c>
      <c r="D730" s="5" t="s">
        <v>247</v>
      </c>
      <c r="E730" s="5" t="s">
        <v>72</v>
      </c>
      <c r="F730" s="21" t="n">
        <v>1061.94995117188</v>
      </c>
      <c r="G730" s="21" t="n">
        <v>2.65499997138977</v>
      </c>
      <c r="H730" s="22" t="n">
        <f aca="false">F730+G730</f>
        <v>1064.60495114327</v>
      </c>
      <c r="I730" s="13" t="n">
        <f aca="false">INDEX(RM_Rates!$F$5:$F$137,MATCH(C730,RM_Rates!$A$5:$A$137,0))</f>
        <v>0.420493960380554</v>
      </c>
      <c r="J730" s="22" t="n">
        <f aca="false">H730*I730</f>
        <v>447.65995214698</v>
      </c>
    </row>
    <row r="731" customFormat="false" ht="15" hidden="false" customHeight="false" outlineLevel="0" collapsed="false">
      <c r="A731" s="5" t="s">
        <v>544</v>
      </c>
      <c r="B731" s="2" t="s">
        <v>692</v>
      </c>
      <c r="C731" s="5" t="s">
        <v>232</v>
      </c>
      <c r="D731" s="5" t="s">
        <v>233</v>
      </c>
      <c r="E731" s="5" t="s">
        <v>72</v>
      </c>
      <c r="F731" s="21" t="n">
        <v>16.9911994934082</v>
      </c>
      <c r="G731" s="21" t="n">
        <v>0.0419999994337559</v>
      </c>
      <c r="H731" s="22" t="n">
        <f aca="false">F731+G731</f>
        <v>17.033199492842</v>
      </c>
      <c r="I731" s="13" t="n">
        <f aca="false">INDEX(RM_Rates!$F$5:$F$137,MATCH(C731,RM_Rates!$A$5:$A$137,0))</f>
        <v>1.45200002193451</v>
      </c>
      <c r="J731" s="22" t="n">
        <f aca="false">H731*I731</f>
        <v>24.7322060372214</v>
      </c>
    </row>
    <row r="732" customFormat="false" ht="15" hidden="false" customHeight="false" outlineLevel="0" collapsed="false">
      <c r="A732" s="5" t="s">
        <v>544</v>
      </c>
      <c r="B732" s="2" t="s">
        <v>692</v>
      </c>
      <c r="C732" s="5" t="s">
        <v>275</v>
      </c>
      <c r="D732" s="5" t="s">
        <v>276</v>
      </c>
      <c r="E732" s="5" t="s">
        <v>72</v>
      </c>
      <c r="F732" s="21" t="n">
        <v>2429.69995117188</v>
      </c>
      <c r="G732" s="21" t="n">
        <v>24.2970008850098</v>
      </c>
      <c r="H732" s="22" t="n">
        <f aca="false">F732+G732</f>
        <v>2453.99695205689</v>
      </c>
      <c r="I732" s="13" t="n">
        <f aca="false">INDEX(RM_Rates!$F$5:$F$137,MATCH(C732,RM_Rates!$A$5:$A$137,0))</f>
        <v>0.367191910743713</v>
      </c>
      <c r="J732" s="22" t="n">
        <f aca="false">H732*I732</f>
        <v>901.087829785017</v>
      </c>
    </row>
    <row r="733" customFormat="false" ht="15" hidden="false" customHeight="false" outlineLevel="0" collapsed="false">
      <c r="A733" s="5" t="s">
        <v>544</v>
      </c>
      <c r="B733" s="2" t="s">
        <v>692</v>
      </c>
      <c r="C733" s="5" t="s">
        <v>259</v>
      </c>
      <c r="D733" s="5" t="s">
        <v>260</v>
      </c>
      <c r="E733" s="5" t="s">
        <v>166</v>
      </c>
      <c r="F733" s="21" t="n">
        <v>2</v>
      </c>
      <c r="G733" s="21" t="n">
        <v>0</v>
      </c>
      <c r="H733" s="22" t="n">
        <f aca="false">F733+G733</f>
        <v>2</v>
      </c>
      <c r="I733" s="13" t="n">
        <f aca="false">INDEX(RM_Rates!$F$5:$F$137,MATCH(C733,RM_Rates!$A$5:$A$137,0))</f>
        <v>162</v>
      </c>
      <c r="J733" s="22" t="n">
        <f aca="false">H733*I733</f>
        <v>324</v>
      </c>
    </row>
    <row r="734" customFormat="false" ht="15" hidden="false" customHeight="false" outlineLevel="0" collapsed="false">
      <c r="A734" s="5" t="s">
        <v>544</v>
      </c>
      <c r="B734" s="2" t="s">
        <v>692</v>
      </c>
      <c r="C734" s="5" t="s">
        <v>175</v>
      </c>
      <c r="D734" s="5" t="s">
        <v>176</v>
      </c>
      <c r="E734" s="5" t="s">
        <v>166</v>
      </c>
      <c r="F734" s="21" t="n">
        <v>4</v>
      </c>
      <c r="G734" s="21" t="n">
        <v>0</v>
      </c>
      <c r="H734" s="22" t="n">
        <f aca="false">F734+G734</f>
        <v>4</v>
      </c>
      <c r="I734" s="13" t="n">
        <f aca="false">INDEX(RM_Rates!$F$5:$F$137,MATCH(C734,RM_Rates!$A$5:$A$137,0))</f>
        <v>0.39300000667572</v>
      </c>
      <c r="J734" s="22" t="n">
        <f aca="false">H734*I734</f>
        <v>1.57200002670288</v>
      </c>
    </row>
    <row r="735" customFormat="false" ht="15" hidden="false" customHeight="false" outlineLevel="0" collapsed="false">
      <c r="A735" s="5" t="s">
        <v>544</v>
      </c>
      <c r="B735" s="2" t="s">
        <v>692</v>
      </c>
      <c r="C735" s="5" t="s">
        <v>189</v>
      </c>
      <c r="D735" s="5" t="s">
        <v>190</v>
      </c>
      <c r="E735" s="5" t="s">
        <v>60</v>
      </c>
      <c r="F735" s="21" t="n">
        <v>2</v>
      </c>
      <c r="G735" s="21" t="n">
        <v>0</v>
      </c>
      <c r="H735" s="22" t="n">
        <f aca="false">F735+G735</f>
        <v>2</v>
      </c>
      <c r="I735" s="13" t="n">
        <f aca="false">INDEX(RM_Rates!$F$5:$F$137,MATCH(C735,RM_Rates!$A$5:$A$137,0))</f>
        <v>0.568400025367737</v>
      </c>
      <c r="J735" s="22" t="n">
        <f aca="false">H735*I735</f>
        <v>1.13680005073547</v>
      </c>
    </row>
    <row r="736" customFormat="false" ht="15" hidden="false" customHeight="false" outlineLevel="0" collapsed="false">
      <c r="A736" s="5" t="s">
        <v>544</v>
      </c>
      <c r="B736" s="2" t="s">
        <v>692</v>
      </c>
      <c r="C736" s="5" t="s">
        <v>300</v>
      </c>
      <c r="D736" s="5" t="s">
        <v>301</v>
      </c>
      <c r="E736" s="5" t="s">
        <v>297</v>
      </c>
      <c r="F736" s="21" t="n">
        <v>13.8000001907349</v>
      </c>
      <c r="G736" s="21" t="n">
        <v>0</v>
      </c>
      <c r="H736" s="22" t="n">
        <f aca="false">F736+G736</f>
        <v>13.8000001907349</v>
      </c>
      <c r="I736" s="13" t="n">
        <f aca="false">INDEX(RM_Rates!$F$5:$F$137,MATCH(C736,RM_Rates!$A$5:$A$137,0))</f>
        <v>1.40752077102661</v>
      </c>
      <c r="J736" s="22" t="n">
        <f aca="false">H736*I736</f>
        <v>19.4237869086306</v>
      </c>
    </row>
    <row r="737" customFormat="false" ht="15" hidden="false" customHeight="false" outlineLevel="0" collapsed="false">
      <c r="A737" s="5" t="s">
        <v>546</v>
      </c>
      <c r="B737" s="2" t="s">
        <v>693</v>
      </c>
      <c r="C737" s="5" t="s">
        <v>92</v>
      </c>
      <c r="D737" s="5" t="s">
        <v>93</v>
      </c>
      <c r="E737" s="5" t="s">
        <v>72</v>
      </c>
      <c r="F737" s="21" t="n">
        <v>257.700012207031</v>
      </c>
      <c r="G737" s="21" t="n">
        <v>1.28999996185303</v>
      </c>
      <c r="H737" s="22" t="n">
        <f aca="false">F737+G737</f>
        <v>258.990012168884</v>
      </c>
      <c r="I737" s="13" t="n">
        <f aca="false">INDEX(RM_Rates!$F$5:$F$137,MATCH(C737,RM_Rates!$A$5:$A$137,0))</f>
        <v>1.980952</v>
      </c>
      <c r="J737" s="22" t="n">
        <f aca="false">H737*I737</f>
        <v>513.046782585975</v>
      </c>
    </row>
    <row r="738" customFormat="false" ht="15" hidden="false" customHeight="false" outlineLevel="0" collapsed="false">
      <c r="A738" s="5" t="s">
        <v>546</v>
      </c>
      <c r="B738" s="2" t="s">
        <v>693</v>
      </c>
      <c r="C738" s="5" t="s">
        <v>326</v>
      </c>
      <c r="D738" s="5" t="s">
        <v>327</v>
      </c>
      <c r="E738" s="5" t="s">
        <v>72</v>
      </c>
      <c r="F738" s="21" t="n">
        <v>31.8000011444092</v>
      </c>
      <c r="G738" s="21" t="n">
        <v>1.58999991416931</v>
      </c>
      <c r="H738" s="22" t="n">
        <f aca="false">F738+G738</f>
        <v>33.3900010585785</v>
      </c>
      <c r="I738" s="13" t="n">
        <f aca="false">INDEX(RM_Rates!$F$5:$F$137,MATCH(C738,RM_Rates!$A$5:$A$137,0))</f>
        <v>0.596000015735626</v>
      </c>
      <c r="J738" s="22" t="n">
        <f aca="false">H738*I738</f>
        <v>19.9004411563254</v>
      </c>
    </row>
    <row r="739" customFormat="false" ht="15" hidden="false" customHeight="false" outlineLevel="0" collapsed="false">
      <c r="A739" s="5" t="s">
        <v>546</v>
      </c>
      <c r="B739" s="2" t="s">
        <v>693</v>
      </c>
      <c r="C739" s="5" t="s">
        <v>324</v>
      </c>
      <c r="D739" s="5" t="s">
        <v>325</v>
      </c>
      <c r="E739" s="5" t="s">
        <v>72</v>
      </c>
      <c r="F739" s="21" t="n">
        <v>1.74900007247925</v>
      </c>
      <c r="G739" s="21" t="n">
        <v>0.0869999974966049</v>
      </c>
      <c r="H739" s="22" t="n">
        <f aca="false">F739+G739</f>
        <v>1.83600006997586</v>
      </c>
      <c r="I739" s="13" t="n">
        <f aca="false">INDEX(RM_Rates!$F$5:$F$137,MATCH(C739,RM_Rates!$A$5:$A$137,0))</f>
        <v>1.35229277610779</v>
      </c>
      <c r="J739" s="22" t="n">
        <f aca="false">H739*I739</f>
        <v>2.48280963156175</v>
      </c>
    </row>
    <row r="740" customFormat="false" ht="15" hidden="false" customHeight="false" outlineLevel="0" collapsed="false">
      <c r="A740" s="5" t="s">
        <v>546</v>
      </c>
      <c r="B740" s="2" t="s">
        <v>693</v>
      </c>
      <c r="C740" s="5" t="s">
        <v>318</v>
      </c>
      <c r="D740" s="5" t="s">
        <v>319</v>
      </c>
      <c r="E740" s="5" t="s">
        <v>72</v>
      </c>
      <c r="F740" s="21" t="n">
        <v>0.158999994397163</v>
      </c>
      <c r="G740" s="21" t="n">
        <v>0.00800000037997961</v>
      </c>
      <c r="H740" s="22" t="n">
        <f aca="false">F740+G740</f>
        <v>0.166999994777143</v>
      </c>
      <c r="I740" s="13" t="n">
        <f aca="false">INDEX(RM_Rates!$F$5:$F$137,MATCH(C740,RM_Rates!$A$5:$A$137,0))</f>
        <v>1.6441433429718</v>
      </c>
      <c r="J740" s="22" t="n">
        <f aca="false">H740*I740</f>
        <v>0.274571929689164</v>
      </c>
    </row>
    <row r="741" customFormat="false" ht="15" hidden="false" customHeight="false" outlineLevel="0" collapsed="false">
      <c r="A741" s="5" t="s">
        <v>546</v>
      </c>
      <c r="B741" s="2" t="s">
        <v>693</v>
      </c>
      <c r="C741" s="5" t="s">
        <v>322</v>
      </c>
      <c r="D741" s="5" t="s">
        <v>323</v>
      </c>
      <c r="E741" s="5" t="s">
        <v>72</v>
      </c>
      <c r="F741" s="21" t="n">
        <v>0.158999994397163</v>
      </c>
      <c r="G741" s="21" t="n">
        <v>0.00800000037997961</v>
      </c>
      <c r="H741" s="22" t="n">
        <f aca="false">F741+G741</f>
        <v>0.166999994777143</v>
      </c>
      <c r="I741" s="13" t="n">
        <f aca="false">INDEX(RM_Rates!$F$5:$F$137,MATCH(C741,RM_Rates!$A$5:$A$137,0))</f>
        <v>1.6441433429718</v>
      </c>
      <c r="J741" s="22" t="n">
        <f aca="false">H741*I741</f>
        <v>0.274571929689164</v>
      </c>
    </row>
    <row r="742" customFormat="false" ht="15" hidden="false" customHeight="false" outlineLevel="0" collapsed="false">
      <c r="A742" s="5" t="s">
        <v>546</v>
      </c>
      <c r="B742" s="2" t="s">
        <v>693</v>
      </c>
      <c r="C742" s="5" t="s">
        <v>316</v>
      </c>
      <c r="D742" s="5" t="s">
        <v>317</v>
      </c>
      <c r="E742" s="5" t="s">
        <v>72</v>
      </c>
      <c r="F742" s="21" t="n">
        <v>0.158999994397163</v>
      </c>
      <c r="G742" s="21" t="n">
        <v>0.00800000037997961</v>
      </c>
      <c r="H742" s="22" t="n">
        <f aca="false">F742+G742</f>
        <v>0.166999994777143</v>
      </c>
      <c r="I742" s="13" t="n">
        <f aca="false">INDEX(RM_Rates!$F$5:$F$137,MATCH(C742,RM_Rates!$A$5:$A$137,0))</f>
        <v>1.6441433429718</v>
      </c>
      <c r="J742" s="22" t="n">
        <f aca="false">H742*I742</f>
        <v>0.274571929689164</v>
      </c>
    </row>
    <row r="743" customFormat="false" ht="15" hidden="false" customHeight="false" outlineLevel="0" collapsed="false">
      <c r="A743" s="5" t="s">
        <v>546</v>
      </c>
      <c r="B743" s="2" t="s">
        <v>693</v>
      </c>
      <c r="C743" s="5" t="s">
        <v>218</v>
      </c>
      <c r="D743" s="5" t="s">
        <v>219</v>
      </c>
      <c r="E743" s="5" t="s">
        <v>72</v>
      </c>
      <c r="F743" s="21" t="n">
        <v>10.6999998092651</v>
      </c>
      <c r="G743" s="21" t="n">
        <v>0</v>
      </c>
      <c r="H743" s="22" t="n">
        <f aca="false">F743+G743</f>
        <v>10.6999998092651</v>
      </c>
      <c r="I743" s="13" t="n">
        <f aca="false">INDEX(RM_Rates!$F$5:$F$137,MATCH(C743,RM_Rates!$A$5:$A$137,0))</f>
        <v>0.379036813974381</v>
      </c>
      <c r="J743" s="22" t="n">
        <f aca="false">H743*I743</f>
        <v>4.05569383723033</v>
      </c>
    </row>
    <row r="744" customFormat="false" ht="15" hidden="false" customHeight="false" outlineLevel="0" collapsed="false">
      <c r="A744" s="5" t="s">
        <v>546</v>
      </c>
      <c r="B744" s="2" t="s">
        <v>693</v>
      </c>
      <c r="C744" s="5" t="s">
        <v>224</v>
      </c>
      <c r="D744" s="5" t="s">
        <v>225</v>
      </c>
      <c r="E744" s="5" t="s">
        <v>72</v>
      </c>
      <c r="F744" s="21" t="n">
        <v>2.90000009536743</v>
      </c>
      <c r="G744" s="21" t="n">
        <v>0</v>
      </c>
      <c r="H744" s="22" t="n">
        <f aca="false">F744+G744</f>
        <v>2.90000009536743</v>
      </c>
      <c r="I744" s="13" t="n">
        <f aca="false">INDEX(RM_Rates!$F$5:$F$137,MATCH(C744,RM_Rates!$A$5:$A$137,0))</f>
        <v>0.742858171463013</v>
      </c>
      <c r="J744" s="22" t="n">
        <f aca="false">H744*I744</f>
        <v>2.15428876808721</v>
      </c>
    </row>
    <row r="745" customFormat="false" ht="15" hidden="false" customHeight="false" outlineLevel="0" collapsed="false">
      <c r="A745" s="5" t="s">
        <v>546</v>
      </c>
      <c r="B745" s="2" t="s">
        <v>693</v>
      </c>
      <c r="C745" s="5" t="s">
        <v>240</v>
      </c>
      <c r="D745" s="5" t="s">
        <v>241</v>
      </c>
      <c r="E745" s="5" t="s">
        <v>72</v>
      </c>
      <c r="F745" s="21" t="n">
        <v>187.300003051758</v>
      </c>
      <c r="G745" s="21" t="n">
        <v>3.74599981307983</v>
      </c>
      <c r="H745" s="22" t="n">
        <f aca="false">F745+G745</f>
        <v>191.046002864838</v>
      </c>
      <c r="I745" s="13" t="n">
        <f aca="false">INDEX(RM_Rates!$F$5:$F$137,MATCH(C745,RM_Rates!$A$5:$A$137,0))</f>
        <v>0.363999992609024</v>
      </c>
      <c r="J745" s="22" t="n">
        <f aca="false">H745*I745</f>
        <v>69.5407436307846</v>
      </c>
    </row>
    <row r="746" customFormat="false" ht="15" hidden="false" customHeight="false" outlineLevel="0" collapsed="false">
      <c r="A746" s="5" t="s">
        <v>546</v>
      </c>
      <c r="B746" s="2" t="s">
        <v>693</v>
      </c>
      <c r="C746" s="5" t="s">
        <v>269</v>
      </c>
      <c r="D746" s="5" t="s">
        <v>270</v>
      </c>
      <c r="E746" s="5" t="s">
        <v>72</v>
      </c>
      <c r="F746" s="21" t="n">
        <v>320.100006103516</v>
      </c>
      <c r="G746" s="21" t="n">
        <v>3.20099997520447</v>
      </c>
      <c r="H746" s="22" t="n">
        <f aca="false">F746+G746</f>
        <v>323.301006078721</v>
      </c>
      <c r="I746" s="13" t="n">
        <f aca="false">INDEX(RM_Rates!$F$5:$F$137,MATCH(C746,RM_Rates!$A$5:$A$137,0))</f>
        <v>0.452080339193344</v>
      </c>
      <c r="J746" s="22" t="n">
        <f aca="false">H746*I746</f>
        <v>146.158028489617</v>
      </c>
    </row>
    <row r="747" customFormat="false" ht="15" hidden="false" customHeight="false" outlineLevel="0" collapsed="false">
      <c r="A747" s="5" t="s">
        <v>546</v>
      </c>
      <c r="B747" s="2" t="s">
        <v>693</v>
      </c>
      <c r="C747" s="5" t="s">
        <v>281</v>
      </c>
      <c r="D747" s="5" t="s">
        <v>282</v>
      </c>
      <c r="E747" s="5" t="s">
        <v>166</v>
      </c>
      <c r="F747" s="21" t="n">
        <v>1</v>
      </c>
      <c r="G747" s="21" t="n">
        <v>0</v>
      </c>
      <c r="H747" s="22" t="n">
        <f aca="false">F747+G747</f>
        <v>1</v>
      </c>
      <c r="I747" s="13" t="n">
        <f aca="false">INDEX(RM_Rates!$F$5:$F$137,MATCH(C747,RM_Rates!$A$5:$A$137,0))</f>
        <v>31.1947288513184</v>
      </c>
      <c r="J747" s="22" t="n">
        <f aca="false">H747*I747</f>
        <v>31.1947288513184</v>
      </c>
    </row>
    <row r="748" customFormat="false" ht="15" hidden="false" customHeight="false" outlineLevel="0" collapsed="false">
      <c r="A748" s="5" t="s">
        <v>546</v>
      </c>
      <c r="B748" s="2" t="s">
        <v>693</v>
      </c>
      <c r="C748" s="5" t="s">
        <v>169</v>
      </c>
      <c r="D748" s="5" t="s">
        <v>170</v>
      </c>
      <c r="E748" s="5" t="s">
        <v>166</v>
      </c>
      <c r="F748" s="21" t="n">
        <v>2</v>
      </c>
      <c r="G748" s="21" t="n">
        <v>0</v>
      </c>
      <c r="H748" s="22" t="n">
        <f aca="false">F748+G748</f>
        <v>2</v>
      </c>
      <c r="I748" s="13" t="n">
        <f aca="false">INDEX(RM_Rates!$F$5:$F$137,MATCH(C748,RM_Rates!$A$5:$A$137,0))</f>
        <v>0.124766282737255</v>
      </c>
      <c r="J748" s="22" t="n">
        <f aca="false">H748*I748</f>
        <v>0.24953256547451</v>
      </c>
    </row>
    <row r="749" customFormat="false" ht="15" hidden="false" customHeight="false" outlineLevel="0" collapsed="false">
      <c r="A749" s="5" t="s">
        <v>546</v>
      </c>
      <c r="B749" s="2" t="s">
        <v>693</v>
      </c>
      <c r="C749" s="5" t="s">
        <v>308</v>
      </c>
      <c r="D749" s="5" t="s">
        <v>309</v>
      </c>
      <c r="E749" s="5" t="s">
        <v>297</v>
      </c>
      <c r="F749" s="21" t="n">
        <v>3.5</v>
      </c>
      <c r="G749" s="21" t="n">
        <v>0</v>
      </c>
      <c r="H749" s="22" t="n">
        <f aca="false">F749+G749</f>
        <v>3.5</v>
      </c>
      <c r="I749" s="13" t="n">
        <f aca="false">INDEX(RM_Rates!$F$5:$F$137,MATCH(C749,RM_Rates!$A$5:$A$137,0))</f>
        <v>1.40752077102661</v>
      </c>
      <c r="J749" s="22" t="n">
        <f aca="false">H749*I749</f>
        <v>4.92632269859314</v>
      </c>
    </row>
    <row r="750" customFormat="false" ht="15" hidden="false" customHeight="false" outlineLevel="0" collapsed="false">
      <c r="A750" s="5" t="s">
        <v>546</v>
      </c>
      <c r="B750" s="2" t="s">
        <v>693</v>
      </c>
      <c r="C750" s="5" t="s">
        <v>189</v>
      </c>
      <c r="D750" s="5" t="s">
        <v>190</v>
      </c>
      <c r="E750" s="5" t="s">
        <v>60</v>
      </c>
      <c r="F750" s="21" t="n">
        <v>0.349999994039536</v>
      </c>
      <c r="G750" s="21" t="n">
        <v>0</v>
      </c>
      <c r="H750" s="22" t="n">
        <f aca="false">F750+G750</f>
        <v>0.349999994039536</v>
      </c>
      <c r="I750" s="13" t="n">
        <f aca="false">INDEX(RM_Rates!$F$5:$F$137,MATCH(C750,RM_Rates!$A$5:$A$137,0))</f>
        <v>0.568400025367737</v>
      </c>
      <c r="J750" s="22" t="n">
        <f aca="false">H750*I750</f>
        <v>0.19894000549078</v>
      </c>
    </row>
    <row r="751" customFormat="false" ht="15" hidden="false" customHeight="false" outlineLevel="0" collapsed="false">
      <c r="A751" s="5" t="s">
        <v>548</v>
      </c>
      <c r="B751" s="2" t="s">
        <v>694</v>
      </c>
      <c r="C751" s="5" t="s">
        <v>108</v>
      </c>
      <c r="D751" s="5" t="s">
        <v>109</v>
      </c>
      <c r="E751" s="5" t="s">
        <v>72</v>
      </c>
      <c r="F751" s="21" t="n">
        <v>3114</v>
      </c>
      <c r="G751" s="21" t="n">
        <v>15.5699996948242</v>
      </c>
      <c r="H751" s="22" t="n">
        <f aca="false">F751+G751</f>
        <v>3129.56999969482</v>
      </c>
      <c r="I751" s="13" t="n">
        <f aca="false">INDEX(RM_Rates!$F$5:$F$137,MATCH(C751,RM_Rates!$A$5:$A$137,0))</f>
        <v>1.968214</v>
      </c>
      <c r="J751" s="22" t="n">
        <f aca="false">H751*I751</f>
        <v>6159.66348737935</v>
      </c>
    </row>
    <row r="752" customFormat="false" ht="15" hidden="false" customHeight="false" outlineLevel="0" collapsed="false">
      <c r="A752" s="5" t="s">
        <v>548</v>
      </c>
      <c r="B752" s="2" t="s">
        <v>694</v>
      </c>
      <c r="C752" s="5" t="s">
        <v>328</v>
      </c>
      <c r="D752" s="5" t="s">
        <v>329</v>
      </c>
      <c r="E752" s="5" t="s">
        <v>72</v>
      </c>
      <c r="F752" s="21" t="n">
        <v>183.957000732422</v>
      </c>
      <c r="G752" s="21" t="n">
        <v>9.19799995422363</v>
      </c>
      <c r="H752" s="22" t="n">
        <f aca="false">F752+G752</f>
        <v>193.155000686646</v>
      </c>
      <c r="I752" s="13" t="n">
        <f aca="false">INDEX(RM_Rates!$F$5:$F$137,MATCH(C752,RM_Rates!$A$5:$A$137,0))</f>
        <v>0.821246385574341</v>
      </c>
      <c r="J752" s="22" t="n">
        <f aca="false">H752*I752</f>
        <v>158.627846169517</v>
      </c>
    </row>
    <row r="753" customFormat="false" ht="15" hidden="false" customHeight="false" outlineLevel="0" collapsed="false">
      <c r="A753" s="5" t="s">
        <v>548</v>
      </c>
      <c r="B753" s="2" t="s">
        <v>694</v>
      </c>
      <c r="C753" s="5" t="s">
        <v>312</v>
      </c>
      <c r="D753" s="5" t="s">
        <v>313</v>
      </c>
      <c r="E753" s="5" t="s">
        <v>72</v>
      </c>
      <c r="F753" s="21" t="n">
        <v>379.5</v>
      </c>
      <c r="G753" s="21" t="n">
        <v>18.9749984741211</v>
      </c>
      <c r="H753" s="22" t="n">
        <f aca="false">F753+G753</f>
        <v>398.474998474121</v>
      </c>
      <c r="I753" s="13" t="n">
        <f aca="false">INDEX(RM_Rates!$F$5:$F$137,MATCH(C753,RM_Rates!$A$5:$A$137,0))</f>
        <v>0.600000023841858</v>
      </c>
      <c r="J753" s="22" t="n">
        <f aca="false">H753*I753</f>
        <v>239.085008584857</v>
      </c>
    </row>
    <row r="754" customFormat="false" ht="15" hidden="false" customHeight="false" outlineLevel="0" collapsed="false">
      <c r="A754" s="5" t="s">
        <v>548</v>
      </c>
      <c r="B754" s="2" t="s">
        <v>694</v>
      </c>
      <c r="C754" s="5" t="s">
        <v>158</v>
      </c>
      <c r="D754" s="5" t="s">
        <v>159</v>
      </c>
      <c r="E754" s="5" t="s">
        <v>72</v>
      </c>
      <c r="F754" s="21" t="n">
        <v>92.3999938964844</v>
      </c>
      <c r="G754" s="21" t="n">
        <v>0.924000024795532</v>
      </c>
      <c r="H754" s="22" t="n">
        <f aca="false">F754+G754</f>
        <v>93.3239939212799</v>
      </c>
      <c r="I754" s="13" t="n">
        <f aca="false">INDEX(RM_Rates!$F$5:$F$137,MATCH(C754,RM_Rates!$A$5:$A$137,0))</f>
        <v>3.00841188430786</v>
      </c>
      <c r="J754" s="22" t="n">
        <f aca="false">H754*I754</f>
        <v>280.757012403853</v>
      </c>
    </row>
    <row r="755" customFormat="false" ht="15" hidden="false" customHeight="false" outlineLevel="0" collapsed="false">
      <c r="A755" s="5" t="s">
        <v>548</v>
      </c>
      <c r="B755" s="2" t="s">
        <v>694</v>
      </c>
      <c r="C755" s="5" t="s">
        <v>220</v>
      </c>
      <c r="D755" s="5" t="s">
        <v>221</v>
      </c>
      <c r="E755" s="5" t="s">
        <v>72</v>
      </c>
      <c r="F755" s="21" t="n">
        <v>270.839996337891</v>
      </c>
      <c r="G755" s="21" t="n">
        <v>0</v>
      </c>
      <c r="H755" s="22" t="n">
        <f aca="false">F755+G755</f>
        <v>270.839996337891</v>
      </c>
      <c r="I755" s="13" t="n">
        <f aca="false">INDEX(RM_Rates!$F$5:$F$137,MATCH(C755,RM_Rates!$A$5:$A$137,0))</f>
        <v>0.379036813974381</v>
      </c>
      <c r="J755" s="22" t="n">
        <f aca="false">H755*I755</f>
        <v>102.658329308747</v>
      </c>
    </row>
    <row r="756" customFormat="false" ht="15" hidden="false" customHeight="false" outlineLevel="0" collapsed="false">
      <c r="A756" s="5" t="s">
        <v>548</v>
      </c>
      <c r="B756" s="2" t="s">
        <v>694</v>
      </c>
      <c r="C756" s="5" t="s">
        <v>228</v>
      </c>
      <c r="D756" s="5" t="s">
        <v>229</v>
      </c>
      <c r="E756" s="5" t="s">
        <v>72</v>
      </c>
      <c r="F756" s="21" t="n">
        <v>19.6000003814697</v>
      </c>
      <c r="G756" s="21" t="n">
        <v>0</v>
      </c>
      <c r="H756" s="22" t="n">
        <f aca="false">F756+G756</f>
        <v>19.6000003814697</v>
      </c>
      <c r="I756" s="13" t="n">
        <f aca="false">INDEX(RM_Rates!$F$5:$F$137,MATCH(C756,RM_Rates!$A$5:$A$137,0))</f>
        <v>0.742858171463013</v>
      </c>
      <c r="J756" s="22" t="n">
        <f aca="false">H756*I756</f>
        <v>14.5600204440529</v>
      </c>
    </row>
    <row r="757" customFormat="false" ht="15" hidden="false" customHeight="false" outlineLevel="0" collapsed="false">
      <c r="A757" s="5" t="s">
        <v>548</v>
      </c>
      <c r="B757" s="2" t="s">
        <v>694</v>
      </c>
      <c r="C757" s="5" t="s">
        <v>246</v>
      </c>
      <c r="D757" s="5" t="s">
        <v>247</v>
      </c>
      <c r="E757" s="5" t="s">
        <v>72</v>
      </c>
      <c r="F757" s="21" t="n">
        <v>895.02001953125</v>
      </c>
      <c r="G757" s="21" t="n">
        <v>2.23799991607666</v>
      </c>
      <c r="H757" s="22" t="n">
        <f aca="false">F757+G757</f>
        <v>897.258019447327</v>
      </c>
      <c r="I757" s="13" t="n">
        <f aca="false">INDEX(RM_Rates!$F$5:$F$137,MATCH(C757,RM_Rates!$A$5:$A$137,0))</f>
        <v>0.420493960380554</v>
      </c>
      <c r="J757" s="22" t="n">
        <f aca="false">H757*I757</f>
        <v>377.291578080619</v>
      </c>
    </row>
    <row r="758" customFormat="false" ht="15" hidden="false" customHeight="false" outlineLevel="0" collapsed="false">
      <c r="A758" s="5" t="s">
        <v>548</v>
      </c>
      <c r="B758" s="2" t="s">
        <v>694</v>
      </c>
      <c r="C758" s="5" t="s">
        <v>232</v>
      </c>
      <c r="D758" s="5" t="s">
        <v>233</v>
      </c>
      <c r="E758" s="5" t="s">
        <v>72</v>
      </c>
      <c r="F758" s="21" t="n">
        <v>14.3203201293945</v>
      </c>
      <c r="G758" s="21" t="n">
        <v>0.0359999984502792</v>
      </c>
      <c r="H758" s="22" t="n">
        <f aca="false">F758+G758</f>
        <v>14.3563201278448</v>
      </c>
      <c r="I758" s="13" t="n">
        <f aca="false">INDEX(RM_Rates!$F$5:$F$137,MATCH(C758,RM_Rates!$A$5:$A$137,0))</f>
        <v>1.45200002193451</v>
      </c>
      <c r="J758" s="22" t="n">
        <f aca="false">H758*I758</f>
        <v>20.8453771405295</v>
      </c>
    </row>
    <row r="759" customFormat="false" ht="15" hidden="false" customHeight="false" outlineLevel="0" collapsed="false">
      <c r="A759" s="5" t="s">
        <v>548</v>
      </c>
      <c r="B759" s="2" t="s">
        <v>694</v>
      </c>
      <c r="C759" s="5" t="s">
        <v>275</v>
      </c>
      <c r="D759" s="5" t="s">
        <v>276</v>
      </c>
      <c r="E759" s="5" t="s">
        <v>72</v>
      </c>
      <c r="F759" s="21" t="n">
        <v>2155.30004882813</v>
      </c>
      <c r="G759" s="21" t="n">
        <v>21.55299949646</v>
      </c>
      <c r="H759" s="22" t="n">
        <f aca="false">F759+G759</f>
        <v>2176.85304832459</v>
      </c>
      <c r="I759" s="13" t="n">
        <f aca="false">INDEX(RM_Rates!$F$5:$F$137,MATCH(C759,RM_Rates!$A$5:$A$137,0))</f>
        <v>0.367191910743713</v>
      </c>
      <c r="J759" s="22" t="n">
        <f aca="false">H759*I759</f>
        <v>799.322830222582</v>
      </c>
    </row>
    <row r="760" customFormat="false" ht="15" hidden="false" customHeight="false" outlineLevel="0" collapsed="false">
      <c r="A760" s="5" t="s">
        <v>548</v>
      </c>
      <c r="B760" s="2" t="s">
        <v>694</v>
      </c>
      <c r="C760" s="5" t="s">
        <v>255</v>
      </c>
      <c r="D760" s="5" t="s">
        <v>256</v>
      </c>
      <c r="E760" s="5" t="s">
        <v>166</v>
      </c>
      <c r="F760" s="21" t="n">
        <v>2</v>
      </c>
      <c r="G760" s="21" t="n">
        <v>0</v>
      </c>
      <c r="H760" s="22" t="n">
        <f aca="false">F760+G760</f>
        <v>2</v>
      </c>
      <c r="I760" s="13" t="n">
        <f aca="false">INDEX(RM_Rates!$F$5:$F$137,MATCH(C760,RM_Rates!$A$5:$A$137,0))</f>
        <v>114.500701904297</v>
      </c>
      <c r="J760" s="22" t="n">
        <f aca="false">H760*I760</f>
        <v>229.001403808594</v>
      </c>
    </row>
    <row r="761" customFormat="false" ht="15" hidden="false" customHeight="false" outlineLevel="0" collapsed="false">
      <c r="A761" s="5" t="s">
        <v>548</v>
      </c>
      <c r="B761" s="2" t="s">
        <v>694</v>
      </c>
      <c r="C761" s="5" t="s">
        <v>175</v>
      </c>
      <c r="D761" s="5" t="s">
        <v>176</v>
      </c>
      <c r="E761" s="5" t="s">
        <v>166</v>
      </c>
      <c r="F761" s="21" t="n">
        <v>4</v>
      </c>
      <c r="G761" s="21" t="n">
        <v>0</v>
      </c>
      <c r="H761" s="22" t="n">
        <f aca="false">F761+G761</f>
        <v>4</v>
      </c>
      <c r="I761" s="13" t="n">
        <f aca="false">INDEX(RM_Rates!$F$5:$F$137,MATCH(C761,RM_Rates!$A$5:$A$137,0))</f>
        <v>0.39300000667572</v>
      </c>
      <c r="J761" s="22" t="n">
        <f aca="false">H761*I761</f>
        <v>1.57200002670288</v>
      </c>
    </row>
    <row r="762" customFormat="false" ht="15" hidden="false" customHeight="false" outlineLevel="0" collapsed="false">
      <c r="A762" s="5" t="s">
        <v>548</v>
      </c>
      <c r="B762" s="2" t="s">
        <v>694</v>
      </c>
      <c r="C762" s="5" t="s">
        <v>189</v>
      </c>
      <c r="D762" s="5" t="s">
        <v>190</v>
      </c>
      <c r="E762" s="5" t="s">
        <v>60</v>
      </c>
      <c r="F762" s="21" t="n">
        <v>1.53999996185303</v>
      </c>
      <c r="G762" s="21" t="n">
        <v>0</v>
      </c>
      <c r="H762" s="22" t="n">
        <f aca="false">F762+G762</f>
        <v>1.53999996185303</v>
      </c>
      <c r="I762" s="13" t="n">
        <f aca="false">INDEX(RM_Rates!$F$5:$F$137,MATCH(C762,RM_Rates!$A$5:$A$137,0))</f>
        <v>0.568400025367737</v>
      </c>
      <c r="J762" s="22" t="n">
        <f aca="false">H762*I762</f>
        <v>0.875336017383576</v>
      </c>
    </row>
    <row r="763" customFormat="false" ht="15" hidden="false" customHeight="false" outlineLevel="0" collapsed="false">
      <c r="A763" s="5" t="s">
        <v>548</v>
      </c>
      <c r="B763" s="2" t="s">
        <v>694</v>
      </c>
      <c r="C763" s="5" t="s">
        <v>295</v>
      </c>
      <c r="D763" s="5" t="s">
        <v>296</v>
      </c>
      <c r="E763" s="5" t="s">
        <v>297</v>
      </c>
      <c r="F763" s="21" t="n">
        <v>12.6000003814697</v>
      </c>
      <c r="G763" s="21" t="n">
        <v>0</v>
      </c>
      <c r="H763" s="22" t="n">
        <f aca="false">F763+G763</f>
        <v>12.6000003814697</v>
      </c>
      <c r="I763" s="13" t="n">
        <f aca="false">INDEX(RM_Rates!$F$5:$F$137,MATCH(C763,RM_Rates!$A$5:$A$137,0))</f>
        <v>1.40752077102661</v>
      </c>
      <c r="J763" s="22" t="n">
        <f aca="false">H763*I763</f>
        <v>17.7347622518618</v>
      </c>
    </row>
    <row r="764" customFormat="false" ht="15" hidden="false" customHeight="false" outlineLevel="0" collapsed="false">
      <c r="A764" s="5" t="s">
        <v>550</v>
      </c>
      <c r="B764" s="2" t="s">
        <v>695</v>
      </c>
      <c r="C764" s="5" t="s">
        <v>134</v>
      </c>
      <c r="D764" s="5" t="s">
        <v>135</v>
      </c>
      <c r="E764" s="5" t="s">
        <v>72</v>
      </c>
      <c r="F764" s="21" t="n">
        <v>3114</v>
      </c>
      <c r="G764" s="21" t="n">
        <v>15.5699996948242</v>
      </c>
      <c r="H764" s="22" t="n">
        <f aca="false">F764+G764</f>
        <v>3129.56999969482</v>
      </c>
      <c r="I764" s="13" t="n">
        <f aca="false">INDEX(RM_Rates!$F$5:$F$137,MATCH(C764,RM_Rates!$A$5:$A$137,0))</f>
        <v>1.967828</v>
      </c>
      <c r="J764" s="22" t="n">
        <f aca="false">H764*I764</f>
        <v>6158.45547335947</v>
      </c>
    </row>
    <row r="765" customFormat="false" ht="15" hidden="false" customHeight="false" outlineLevel="0" collapsed="false">
      <c r="A765" s="5" t="s">
        <v>550</v>
      </c>
      <c r="B765" s="2" t="s">
        <v>695</v>
      </c>
      <c r="C765" s="5" t="s">
        <v>326</v>
      </c>
      <c r="D765" s="5" t="s">
        <v>327</v>
      </c>
      <c r="E765" s="5" t="s">
        <v>72</v>
      </c>
      <c r="F765" s="21" t="n">
        <v>164.399993896484</v>
      </c>
      <c r="G765" s="21" t="n">
        <v>8.22000026702881</v>
      </c>
      <c r="H765" s="22" t="n">
        <f aca="false">F765+G765</f>
        <v>172.619994163513</v>
      </c>
      <c r="I765" s="13" t="n">
        <f aca="false">INDEX(RM_Rates!$F$5:$F$137,MATCH(C765,RM_Rates!$A$5:$A$137,0))</f>
        <v>0.596000015735626</v>
      </c>
      <c r="J765" s="22" t="n">
        <f aca="false">H765*I765</f>
        <v>102.881519237737</v>
      </c>
    </row>
    <row r="766" customFormat="false" ht="15" hidden="false" customHeight="false" outlineLevel="0" collapsed="false">
      <c r="A766" s="5" t="s">
        <v>550</v>
      </c>
      <c r="B766" s="2" t="s">
        <v>695</v>
      </c>
      <c r="C766" s="5" t="s">
        <v>324</v>
      </c>
      <c r="D766" s="5" t="s">
        <v>325</v>
      </c>
      <c r="E766" s="5" t="s">
        <v>72</v>
      </c>
      <c r="F766" s="21" t="n">
        <v>9.04199981689453</v>
      </c>
      <c r="G766" s="21" t="n">
        <v>0.452999979257584</v>
      </c>
      <c r="H766" s="22" t="n">
        <f aca="false">F766+G766</f>
        <v>9.49499979615211</v>
      </c>
      <c r="I766" s="13" t="n">
        <f aca="false">INDEX(RM_Rates!$F$5:$F$137,MATCH(C766,RM_Rates!$A$5:$A$137,0))</f>
        <v>1.35229277610779</v>
      </c>
      <c r="J766" s="22" t="n">
        <f aca="false">H766*I766</f>
        <v>12.8400196334814</v>
      </c>
    </row>
    <row r="767" customFormat="false" ht="15" hidden="false" customHeight="false" outlineLevel="0" collapsed="false">
      <c r="A767" s="5" t="s">
        <v>550</v>
      </c>
      <c r="B767" s="2" t="s">
        <v>695</v>
      </c>
      <c r="C767" s="5" t="s">
        <v>318</v>
      </c>
      <c r="D767" s="5" t="s">
        <v>319</v>
      </c>
      <c r="E767" s="5" t="s">
        <v>72</v>
      </c>
      <c r="F767" s="21" t="n">
        <v>0.822000026702881</v>
      </c>
      <c r="G767" s="21" t="n">
        <v>0.0410000011324883</v>
      </c>
      <c r="H767" s="22" t="n">
        <f aca="false">F767+G767</f>
        <v>0.863000027835369</v>
      </c>
      <c r="I767" s="13" t="n">
        <f aca="false">INDEX(RM_Rates!$F$5:$F$137,MATCH(C767,RM_Rates!$A$5:$A$137,0))</f>
        <v>1.6441433429718</v>
      </c>
      <c r="J767" s="22" t="n">
        <f aca="false">H767*I767</f>
        <v>1.41889575075</v>
      </c>
    </row>
    <row r="768" customFormat="false" ht="15" hidden="false" customHeight="false" outlineLevel="0" collapsed="false">
      <c r="A768" s="5" t="s">
        <v>550</v>
      </c>
      <c r="B768" s="2" t="s">
        <v>695</v>
      </c>
      <c r="C768" s="5" t="s">
        <v>322</v>
      </c>
      <c r="D768" s="5" t="s">
        <v>323</v>
      </c>
      <c r="E768" s="5" t="s">
        <v>72</v>
      </c>
      <c r="F768" s="21" t="n">
        <v>0.822000026702881</v>
      </c>
      <c r="G768" s="21" t="n">
        <v>0.0410000011324883</v>
      </c>
      <c r="H768" s="22" t="n">
        <f aca="false">F768+G768</f>
        <v>0.863000027835369</v>
      </c>
      <c r="I768" s="13" t="n">
        <f aca="false">INDEX(RM_Rates!$F$5:$F$137,MATCH(C768,RM_Rates!$A$5:$A$137,0))</f>
        <v>1.6441433429718</v>
      </c>
      <c r="J768" s="22" t="n">
        <f aca="false">H768*I768</f>
        <v>1.41889575075</v>
      </c>
    </row>
    <row r="769" customFormat="false" ht="15" hidden="false" customHeight="false" outlineLevel="0" collapsed="false">
      <c r="A769" s="5" t="s">
        <v>550</v>
      </c>
      <c r="B769" s="2" t="s">
        <v>695</v>
      </c>
      <c r="C769" s="5" t="s">
        <v>316</v>
      </c>
      <c r="D769" s="5" t="s">
        <v>317</v>
      </c>
      <c r="E769" s="5" t="s">
        <v>72</v>
      </c>
      <c r="F769" s="21" t="n">
        <v>0.822000026702881</v>
      </c>
      <c r="G769" s="21" t="n">
        <v>0.0410000011324883</v>
      </c>
      <c r="H769" s="22" t="n">
        <f aca="false">F769+G769</f>
        <v>0.863000027835369</v>
      </c>
      <c r="I769" s="13" t="n">
        <f aca="false">INDEX(RM_Rates!$F$5:$F$137,MATCH(C769,RM_Rates!$A$5:$A$137,0))</f>
        <v>1.6441433429718</v>
      </c>
      <c r="J769" s="22" t="n">
        <f aca="false">H769*I769</f>
        <v>1.41889575075</v>
      </c>
    </row>
    <row r="770" customFormat="false" ht="15" hidden="false" customHeight="false" outlineLevel="0" collapsed="false">
      <c r="A770" s="5" t="s">
        <v>550</v>
      </c>
      <c r="B770" s="2" t="s">
        <v>695</v>
      </c>
      <c r="C770" s="5" t="s">
        <v>222</v>
      </c>
      <c r="D770" s="5" t="s">
        <v>223</v>
      </c>
      <c r="E770" s="5" t="s">
        <v>72</v>
      </c>
      <c r="F770" s="21" t="n">
        <v>17.7600002288818</v>
      </c>
      <c r="G770" s="21" t="n">
        <v>0</v>
      </c>
      <c r="H770" s="22" t="n">
        <f aca="false">F770+G770</f>
        <v>17.7600002288818</v>
      </c>
      <c r="I770" s="13" t="n">
        <f aca="false">INDEX(RM_Rates!$F$5:$F$137,MATCH(C770,RM_Rates!$A$5:$A$137,0))</f>
        <v>0.379036813974381</v>
      </c>
      <c r="J770" s="22" t="n">
        <f aca="false">H770*I770</f>
        <v>6.73169390293964</v>
      </c>
    </row>
    <row r="771" customFormat="false" ht="15" hidden="false" customHeight="false" outlineLevel="0" collapsed="false">
      <c r="A771" s="5" t="s">
        <v>550</v>
      </c>
      <c r="B771" s="2" t="s">
        <v>695</v>
      </c>
      <c r="C771" s="5" t="s">
        <v>226</v>
      </c>
      <c r="D771" s="5" t="s">
        <v>227</v>
      </c>
      <c r="E771" s="5" t="s">
        <v>72</v>
      </c>
      <c r="F771" s="21" t="n">
        <v>7.09999990463257</v>
      </c>
      <c r="G771" s="21" t="n">
        <v>0</v>
      </c>
      <c r="H771" s="22" t="n">
        <f aca="false">F771+G771</f>
        <v>7.09999990463257</v>
      </c>
      <c r="I771" s="13" t="n">
        <f aca="false">INDEX(RM_Rates!$F$5:$F$137,MATCH(C771,RM_Rates!$A$5:$A$137,0))</f>
        <v>0.742858171463013</v>
      </c>
      <c r="J771" s="22" t="n">
        <f aca="false">H771*I771</f>
        <v>5.27429294654292</v>
      </c>
    </row>
    <row r="772" customFormat="false" ht="15" hidden="false" customHeight="false" outlineLevel="0" collapsed="false">
      <c r="A772" s="5" t="s">
        <v>550</v>
      </c>
      <c r="B772" s="2" t="s">
        <v>695</v>
      </c>
      <c r="C772" s="5" t="s">
        <v>240</v>
      </c>
      <c r="D772" s="5" t="s">
        <v>241</v>
      </c>
      <c r="E772" s="5" t="s">
        <v>72</v>
      </c>
      <c r="F772" s="21" t="n">
        <v>521.700012207031</v>
      </c>
      <c r="G772" s="21" t="n">
        <v>10.4340000152588</v>
      </c>
      <c r="H772" s="22" t="n">
        <f aca="false">F772+G772</f>
        <v>532.13401222229</v>
      </c>
      <c r="I772" s="13" t="n">
        <f aca="false">INDEX(RM_Rates!$F$5:$F$137,MATCH(C772,RM_Rates!$A$5:$A$137,0))</f>
        <v>0.363999992609024</v>
      </c>
      <c r="J772" s="22" t="n">
        <f aca="false">H772*I772</f>
        <v>193.696776515924</v>
      </c>
    </row>
    <row r="773" customFormat="false" ht="15" hidden="false" customHeight="false" outlineLevel="0" collapsed="false">
      <c r="A773" s="5" t="s">
        <v>550</v>
      </c>
      <c r="B773" s="2" t="s">
        <v>695</v>
      </c>
      <c r="C773" s="5" t="s">
        <v>273</v>
      </c>
      <c r="D773" s="5" t="s">
        <v>274</v>
      </c>
      <c r="E773" s="5" t="s">
        <v>72</v>
      </c>
      <c r="F773" s="21" t="n">
        <v>1140.80004882813</v>
      </c>
      <c r="G773" s="21" t="n">
        <v>11.4079999923706</v>
      </c>
      <c r="H773" s="22" t="n">
        <f aca="false">F773+G773</f>
        <v>1152.2080488205</v>
      </c>
      <c r="I773" s="13" t="n">
        <f aca="false">INDEX(RM_Rates!$F$5:$F$137,MATCH(C773,RM_Rates!$A$5:$A$137,0))</f>
        <v>0.386933386325836</v>
      </c>
      <c r="J773" s="22" t="n">
        <f aca="false">H773*I773</f>
        <v>445.827762082001</v>
      </c>
    </row>
    <row r="774" customFormat="false" ht="15" hidden="false" customHeight="false" outlineLevel="0" collapsed="false">
      <c r="A774" s="5" t="s">
        <v>550</v>
      </c>
      <c r="B774" s="2" t="s">
        <v>695</v>
      </c>
      <c r="C774" s="5" t="s">
        <v>287</v>
      </c>
      <c r="D774" s="5" t="s">
        <v>288</v>
      </c>
      <c r="E774" s="5" t="s">
        <v>166</v>
      </c>
      <c r="F774" s="21" t="n">
        <v>2</v>
      </c>
      <c r="G774" s="21" t="n">
        <v>0</v>
      </c>
      <c r="H774" s="22" t="n">
        <f aca="false">F774+G774</f>
        <v>2</v>
      </c>
      <c r="I774" s="13" t="n">
        <f aca="false">INDEX(RM_Rates!$F$5:$F$137,MATCH(C774,RM_Rates!$A$5:$A$137,0))</f>
        <v>57.848518371582</v>
      </c>
      <c r="J774" s="22" t="n">
        <f aca="false">H774*I774</f>
        <v>115.697036743164</v>
      </c>
    </row>
    <row r="775" customFormat="false" ht="15" hidden="false" customHeight="false" outlineLevel="0" collapsed="false">
      <c r="A775" s="5" t="s">
        <v>550</v>
      </c>
      <c r="B775" s="2" t="s">
        <v>695</v>
      </c>
      <c r="C775" s="5" t="s">
        <v>173</v>
      </c>
      <c r="D775" s="5" t="s">
        <v>174</v>
      </c>
      <c r="E775" s="5" t="s">
        <v>166</v>
      </c>
      <c r="F775" s="21" t="n">
        <v>4</v>
      </c>
      <c r="G775" s="21" t="n">
        <v>0</v>
      </c>
      <c r="H775" s="22" t="n">
        <f aca="false">F775+G775</f>
        <v>4</v>
      </c>
      <c r="I775" s="13" t="n">
        <f aca="false">INDEX(RM_Rates!$F$5:$F$137,MATCH(C775,RM_Rates!$A$5:$A$137,0))</f>
        <v>0.255849838256836</v>
      </c>
      <c r="J775" s="22" t="n">
        <f aca="false">H775*I775</f>
        <v>1.02339935302734</v>
      </c>
    </row>
    <row r="776" customFormat="false" ht="15" hidden="false" customHeight="false" outlineLevel="0" collapsed="false">
      <c r="A776" s="5" t="s">
        <v>550</v>
      </c>
      <c r="B776" s="2" t="s">
        <v>695</v>
      </c>
      <c r="C776" s="5" t="s">
        <v>308</v>
      </c>
      <c r="D776" s="5" t="s">
        <v>309</v>
      </c>
      <c r="E776" s="5" t="s">
        <v>297</v>
      </c>
      <c r="F776" s="21" t="n">
        <v>10</v>
      </c>
      <c r="G776" s="21" t="n">
        <v>0</v>
      </c>
      <c r="H776" s="22" t="n">
        <f aca="false">F776+G776</f>
        <v>10</v>
      </c>
      <c r="I776" s="13" t="n">
        <f aca="false">INDEX(RM_Rates!$F$5:$F$137,MATCH(C776,RM_Rates!$A$5:$A$137,0))</f>
        <v>1.40752077102661</v>
      </c>
      <c r="J776" s="22" t="n">
        <f aca="false">H776*I776</f>
        <v>14.0752077102661</v>
      </c>
    </row>
    <row r="777" customFormat="false" ht="15" hidden="false" customHeight="false" outlineLevel="0" collapsed="false">
      <c r="A777" s="5" t="s">
        <v>550</v>
      </c>
      <c r="B777" s="2" t="s">
        <v>695</v>
      </c>
      <c r="C777" s="5" t="s">
        <v>189</v>
      </c>
      <c r="D777" s="5" t="s">
        <v>190</v>
      </c>
      <c r="E777" s="5" t="s">
        <v>60</v>
      </c>
      <c r="F777" s="21" t="n">
        <v>1</v>
      </c>
      <c r="G777" s="21" t="n">
        <v>0</v>
      </c>
      <c r="H777" s="22" t="n">
        <f aca="false">F777+G777</f>
        <v>1</v>
      </c>
      <c r="I777" s="13" t="n">
        <f aca="false">INDEX(RM_Rates!$F$5:$F$137,MATCH(C777,RM_Rates!$A$5:$A$137,0))</f>
        <v>0.568400025367737</v>
      </c>
      <c r="J777" s="22" t="n">
        <f aca="false">H777*I777</f>
        <v>0.568400025367737</v>
      </c>
    </row>
    <row r="778" customFormat="false" ht="15" hidden="false" customHeight="false" outlineLevel="0" collapsed="false">
      <c r="A778" s="5" t="s">
        <v>552</v>
      </c>
      <c r="B778" s="2" t="s">
        <v>696</v>
      </c>
      <c r="C778" s="5" t="s">
        <v>136</v>
      </c>
      <c r="D778" s="5" t="s">
        <v>137</v>
      </c>
      <c r="E778" s="5" t="s">
        <v>72</v>
      </c>
      <c r="F778" s="21" t="n">
        <v>3840</v>
      </c>
      <c r="G778" s="21" t="n">
        <v>19.2000007629395</v>
      </c>
      <c r="H778" s="22" t="n">
        <f aca="false">F778+G778</f>
        <v>3859.20000076294</v>
      </c>
      <c r="I778" s="13" t="n">
        <f aca="false">INDEX(RM_Rates!$F$5:$F$137,MATCH(C778,RM_Rates!$A$5:$A$137,0))</f>
        <v>1.968214</v>
      </c>
      <c r="J778" s="22" t="n">
        <f aca="false">H778*I778</f>
        <v>7595.73147030163</v>
      </c>
    </row>
    <row r="779" customFormat="false" ht="15" hidden="false" customHeight="false" outlineLevel="0" collapsed="false">
      <c r="A779" s="5" t="s">
        <v>552</v>
      </c>
      <c r="B779" s="2" t="s">
        <v>696</v>
      </c>
      <c r="C779" s="5" t="s">
        <v>326</v>
      </c>
      <c r="D779" s="5" t="s">
        <v>327</v>
      </c>
      <c r="E779" s="5" t="s">
        <v>72</v>
      </c>
      <c r="F779" s="21" t="n">
        <v>216</v>
      </c>
      <c r="G779" s="21" t="n">
        <v>10.7999992370605</v>
      </c>
      <c r="H779" s="22" t="n">
        <f aca="false">F779+G779</f>
        <v>226.799999237061</v>
      </c>
      <c r="I779" s="13" t="n">
        <f aca="false">INDEX(RM_Rates!$F$5:$F$137,MATCH(C779,RM_Rates!$A$5:$A$137,0))</f>
        <v>0.596000015735626</v>
      </c>
      <c r="J779" s="22" t="n">
        <f aca="false">H779*I779</f>
        <v>135.172803114128</v>
      </c>
    </row>
    <row r="780" customFormat="false" ht="15" hidden="false" customHeight="false" outlineLevel="0" collapsed="false">
      <c r="A780" s="5" t="s">
        <v>552</v>
      </c>
      <c r="B780" s="2" t="s">
        <v>696</v>
      </c>
      <c r="C780" s="5" t="s">
        <v>324</v>
      </c>
      <c r="D780" s="5" t="s">
        <v>325</v>
      </c>
      <c r="E780" s="5" t="s">
        <v>72</v>
      </c>
      <c r="F780" s="21" t="n">
        <v>11.8800001144409</v>
      </c>
      <c r="G780" s="21" t="n">
        <v>0.593999981880188</v>
      </c>
      <c r="H780" s="22" t="n">
        <f aca="false">F780+G780</f>
        <v>12.4740000963211</v>
      </c>
      <c r="I780" s="13" t="n">
        <f aca="false">INDEX(RM_Rates!$F$5:$F$137,MATCH(C780,RM_Rates!$A$5:$A$137,0))</f>
        <v>1.35229277610779</v>
      </c>
      <c r="J780" s="22" t="n">
        <f aca="false">H780*I780</f>
        <v>16.8685002194229</v>
      </c>
    </row>
    <row r="781" customFormat="false" ht="15" hidden="false" customHeight="false" outlineLevel="0" collapsed="false">
      <c r="A781" s="5" t="s">
        <v>552</v>
      </c>
      <c r="B781" s="2" t="s">
        <v>696</v>
      </c>
      <c r="C781" s="5" t="s">
        <v>318</v>
      </c>
      <c r="D781" s="5" t="s">
        <v>319</v>
      </c>
      <c r="E781" s="5" t="s">
        <v>72</v>
      </c>
      <c r="F781" s="21" t="n">
        <v>1.08000004291534</v>
      </c>
      <c r="G781" s="21" t="n">
        <v>0.0540000014007092</v>
      </c>
      <c r="H781" s="22" t="n">
        <f aca="false">F781+G781</f>
        <v>1.13400004431605</v>
      </c>
      <c r="I781" s="13" t="n">
        <f aca="false">INDEX(RM_Rates!$F$5:$F$137,MATCH(C781,RM_Rates!$A$5:$A$137,0))</f>
        <v>1.6441433429718</v>
      </c>
      <c r="J781" s="22" t="n">
        <f aca="false">H781*I781</f>
        <v>1.86445862379196</v>
      </c>
    </row>
    <row r="782" customFormat="false" ht="15" hidden="false" customHeight="false" outlineLevel="0" collapsed="false">
      <c r="A782" s="5" t="s">
        <v>552</v>
      </c>
      <c r="B782" s="2" t="s">
        <v>696</v>
      </c>
      <c r="C782" s="5" t="s">
        <v>322</v>
      </c>
      <c r="D782" s="5" t="s">
        <v>323</v>
      </c>
      <c r="E782" s="5" t="s">
        <v>72</v>
      </c>
      <c r="F782" s="21" t="n">
        <v>1.08000004291534</v>
      </c>
      <c r="G782" s="21" t="n">
        <v>0.0540000014007092</v>
      </c>
      <c r="H782" s="22" t="n">
        <f aca="false">F782+G782</f>
        <v>1.13400004431605</v>
      </c>
      <c r="I782" s="13" t="n">
        <f aca="false">INDEX(RM_Rates!$F$5:$F$137,MATCH(C782,RM_Rates!$A$5:$A$137,0))</f>
        <v>1.6441433429718</v>
      </c>
      <c r="J782" s="22" t="n">
        <f aca="false">H782*I782</f>
        <v>1.86445862379196</v>
      </c>
    </row>
    <row r="783" customFormat="false" ht="15" hidden="false" customHeight="false" outlineLevel="0" collapsed="false">
      <c r="A783" s="5" t="s">
        <v>552</v>
      </c>
      <c r="B783" s="2" t="s">
        <v>696</v>
      </c>
      <c r="C783" s="5" t="s">
        <v>316</v>
      </c>
      <c r="D783" s="5" t="s">
        <v>317</v>
      </c>
      <c r="E783" s="5" t="s">
        <v>72</v>
      </c>
      <c r="F783" s="21" t="n">
        <v>1.08000004291534</v>
      </c>
      <c r="G783" s="21" t="n">
        <v>0.0540000014007092</v>
      </c>
      <c r="H783" s="22" t="n">
        <f aca="false">F783+G783</f>
        <v>1.13400004431605</v>
      </c>
      <c r="I783" s="13" t="n">
        <f aca="false">INDEX(RM_Rates!$F$5:$F$137,MATCH(C783,RM_Rates!$A$5:$A$137,0))</f>
        <v>1.6441433429718</v>
      </c>
      <c r="J783" s="22" t="n">
        <f aca="false">H783*I783</f>
        <v>1.86445862379196</v>
      </c>
    </row>
    <row r="784" customFormat="false" ht="15" hidden="false" customHeight="false" outlineLevel="0" collapsed="false">
      <c r="A784" s="5" t="s">
        <v>552</v>
      </c>
      <c r="B784" s="2" t="s">
        <v>696</v>
      </c>
      <c r="C784" s="5" t="s">
        <v>222</v>
      </c>
      <c r="D784" s="5" t="s">
        <v>223</v>
      </c>
      <c r="E784" s="5" t="s">
        <v>72</v>
      </c>
      <c r="F784" s="21" t="n">
        <v>17.7600002288818</v>
      </c>
      <c r="G784" s="21" t="n">
        <v>0</v>
      </c>
      <c r="H784" s="22" t="n">
        <f aca="false">F784+G784</f>
        <v>17.7600002288818</v>
      </c>
      <c r="I784" s="13" t="n">
        <f aca="false">INDEX(RM_Rates!$F$5:$F$137,MATCH(C784,RM_Rates!$A$5:$A$137,0))</f>
        <v>0.379036813974381</v>
      </c>
      <c r="J784" s="22" t="n">
        <f aca="false">H784*I784</f>
        <v>6.73169390293964</v>
      </c>
    </row>
    <row r="785" customFormat="false" ht="15" hidden="false" customHeight="false" outlineLevel="0" collapsed="false">
      <c r="A785" s="5" t="s">
        <v>552</v>
      </c>
      <c r="B785" s="2" t="s">
        <v>696</v>
      </c>
      <c r="C785" s="5" t="s">
        <v>228</v>
      </c>
      <c r="D785" s="5" t="s">
        <v>229</v>
      </c>
      <c r="E785" s="5" t="s">
        <v>72</v>
      </c>
      <c r="F785" s="21" t="n">
        <v>8</v>
      </c>
      <c r="G785" s="21" t="n">
        <v>0</v>
      </c>
      <c r="H785" s="22" t="n">
        <f aca="false">F785+G785</f>
        <v>8</v>
      </c>
      <c r="I785" s="13" t="n">
        <f aca="false">INDEX(RM_Rates!$F$5:$F$137,MATCH(C785,RM_Rates!$A$5:$A$137,0))</f>
        <v>0.742858171463013</v>
      </c>
      <c r="J785" s="22" t="n">
        <f aca="false">H785*I785</f>
        <v>5.9428653717041</v>
      </c>
    </row>
    <row r="786" customFormat="false" ht="15" hidden="false" customHeight="false" outlineLevel="0" collapsed="false">
      <c r="A786" s="5" t="s">
        <v>552</v>
      </c>
      <c r="B786" s="2" t="s">
        <v>696</v>
      </c>
      <c r="C786" s="5" t="s">
        <v>240</v>
      </c>
      <c r="D786" s="5" t="s">
        <v>241</v>
      </c>
      <c r="E786" s="5" t="s">
        <v>72</v>
      </c>
      <c r="F786" s="21" t="n">
        <v>664.200012207031</v>
      </c>
      <c r="G786" s="21" t="n">
        <v>13.2840003967285</v>
      </c>
      <c r="H786" s="22" t="n">
        <f aca="false">F786+G786</f>
        <v>677.48401260376</v>
      </c>
      <c r="I786" s="13" t="n">
        <f aca="false">INDEX(RM_Rates!$F$5:$F$137,MATCH(C786,RM_Rates!$A$5:$A$137,0))</f>
        <v>0.363999992609024</v>
      </c>
      <c r="J786" s="22" t="n">
        <f aca="false">H786*I786</f>
        <v>246.6041755805</v>
      </c>
    </row>
    <row r="787" customFormat="false" ht="15" hidden="false" customHeight="false" outlineLevel="0" collapsed="false">
      <c r="A787" s="5" t="s">
        <v>552</v>
      </c>
      <c r="B787" s="2" t="s">
        <v>696</v>
      </c>
      <c r="C787" s="5" t="s">
        <v>275</v>
      </c>
      <c r="D787" s="5" t="s">
        <v>276</v>
      </c>
      <c r="E787" s="5" t="s">
        <v>72</v>
      </c>
      <c r="F787" s="21" t="n">
        <v>1629.59997558594</v>
      </c>
      <c r="G787" s="21" t="n">
        <v>16.2959995269775</v>
      </c>
      <c r="H787" s="22" t="n">
        <f aca="false">F787+G787</f>
        <v>1645.89597511292</v>
      </c>
      <c r="I787" s="13" t="n">
        <f aca="false">INDEX(RM_Rates!$F$5:$F$137,MATCH(C787,RM_Rates!$A$5:$A$137,0))</f>
        <v>0.367191910743713</v>
      </c>
      <c r="J787" s="22" t="n">
        <f aca="false">H787*I787</f>
        <v>604.359687987099</v>
      </c>
    </row>
    <row r="788" customFormat="false" ht="15" hidden="false" customHeight="false" outlineLevel="0" collapsed="false">
      <c r="A788" s="5" t="s">
        <v>552</v>
      </c>
      <c r="B788" s="2" t="s">
        <v>696</v>
      </c>
      <c r="C788" s="5" t="s">
        <v>253</v>
      </c>
      <c r="D788" s="5" t="s">
        <v>254</v>
      </c>
      <c r="E788" s="5" t="s">
        <v>166</v>
      </c>
      <c r="F788" s="21" t="n">
        <v>2</v>
      </c>
      <c r="G788" s="21" t="n">
        <v>0</v>
      </c>
      <c r="H788" s="22" t="n">
        <f aca="false">F788+G788</f>
        <v>2</v>
      </c>
      <c r="I788" s="13" t="n">
        <f aca="false">INDEX(RM_Rates!$F$5:$F$137,MATCH(C788,RM_Rates!$A$5:$A$137,0))</f>
        <v>90.4160690307617</v>
      </c>
      <c r="J788" s="22" t="n">
        <f aca="false">H788*I788</f>
        <v>180.832138061523</v>
      </c>
    </row>
    <row r="789" customFormat="false" ht="15" hidden="false" customHeight="false" outlineLevel="0" collapsed="false">
      <c r="A789" s="5" t="s">
        <v>552</v>
      </c>
      <c r="B789" s="2" t="s">
        <v>696</v>
      </c>
      <c r="C789" s="5" t="s">
        <v>173</v>
      </c>
      <c r="D789" s="5" t="s">
        <v>174</v>
      </c>
      <c r="E789" s="5" t="s">
        <v>166</v>
      </c>
      <c r="F789" s="21" t="n">
        <v>4</v>
      </c>
      <c r="G789" s="21" t="n">
        <v>0</v>
      </c>
      <c r="H789" s="22" t="n">
        <f aca="false">F789+G789</f>
        <v>4</v>
      </c>
      <c r="I789" s="13" t="n">
        <f aca="false">INDEX(RM_Rates!$F$5:$F$137,MATCH(C789,RM_Rates!$A$5:$A$137,0))</f>
        <v>0.255849838256836</v>
      </c>
      <c r="J789" s="22" t="n">
        <f aca="false">H789*I789</f>
        <v>1.02339935302734</v>
      </c>
    </row>
    <row r="790" customFormat="false" ht="15" hidden="false" customHeight="false" outlineLevel="0" collapsed="false">
      <c r="A790" s="5" t="s">
        <v>552</v>
      </c>
      <c r="B790" s="2" t="s">
        <v>696</v>
      </c>
      <c r="C790" s="5" t="s">
        <v>310</v>
      </c>
      <c r="D790" s="5" t="s">
        <v>311</v>
      </c>
      <c r="E790" s="5" t="s">
        <v>297</v>
      </c>
      <c r="F790" s="21" t="n">
        <v>11.3999996185303</v>
      </c>
      <c r="G790" s="21" t="n">
        <v>0</v>
      </c>
      <c r="H790" s="22" t="n">
        <f aca="false">F790+G790</f>
        <v>11.3999996185303</v>
      </c>
      <c r="I790" s="13" t="n">
        <f aca="false">INDEX(RM_Rates!$F$5:$F$137,MATCH(C790,RM_Rates!$A$5:$A$137,0))</f>
        <v>1.40752077102661</v>
      </c>
      <c r="J790" s="22" t="n">
        <f aca="false">H790*I790</f>
        <v>16.0457362527768</v>
      </c>
    </row>
    <row r="791" customFormat="false" ht="15" hidden="false" customHeight="false" outlineLevel="0" collapsed="false">
      <c r="A791" s="5" t="s">
        <v>552</v>
      </c>
      <c r="B791" s="2" t="s">
        <v>696</v>
      </c>
      <c r="C791" s="5" t="s">
        <v>189</v>
      </c>
      <c r="D791" s="5" t="s">
        <v>190</v>
      </c>
      <c r="E791" s="5" t="s">
        <v>60</v>
      </c>
      <c r="F791" s="21" t="n">
        <v>1.17999994754791</v>
      </c>
      <c r="G791" s="21" t="n">
        <v>0</v>
      </c>
      <c r="H791" s="22" t="n">
        <f aca="false">F791+G791</f>
        <v>1.17999994754791</v>
      </c>
      <c r="I791" s="13" t="n">
        <f aca="false">INDEX(RM_Rates!$F$5:$F$137,MATCH(C791,RM_Rates!$A$5:$A$137,0))</f>
        <v>0.568400025367737</v>
      </c>
      <c r="J791" s="22" t="n">
        <f aca="false">H791*I791</f>
        <v>0.67071200012016</v>
      </c>
    </row>
    <row r="792" customFormat="false" ht="15" hidden="false" customHeight="false" outlineLevel="0" collapsed="false">
      <c r="A792" s="5" t="s">
        <v>554</v>
      </c>
      <c r="B792" s="2" t="s">
        <v>697</v>
      </c>
      <c r="C792" s="5" t="s">
        <v>94</v>
      </c>
      <c r="D792" s="5" t="s">
        <v>95</v>
      </c>
      <c r="E792" s="5" t="s">
        <v>72</v>
      </c>
      <c r="F792" s="21" t="n">
        <v>409.5</v>
      </c>
      <c r="G792" s="21" t="n">
        <v>2.04900002479553</v>
      </c>
      <c r="H792" s="22" t="n">
        <f aca="false">F792+G792</f>
        <v>411.549000024796</v>
      </c>
      <c r="I792" s="13" t="n">
        <f aca="false">INDEX(RM_Rates!$F$5:$F$137,MATCH(C792,RM_Rates!$A$5:$A$137,0))</f>
        <v>1.973232</v>
      </c>
      <c r="J792" s="22" t="n">
        <f aca="false">H792*I792</f>
        <v>812.081656416927</v>
      </c>
    </row>
    <row r="793" customFormat="false" ht="15" hidden="false" customHeight="false" outlineLevel="0" collapsed="false">
      <c r="A793" s="5" t="s">
        <v>554</v>
      </c>
      <c r="B793" s="2" t="s">
        <v>697</v>
      </c>
      <c r="C793" s="5" t="s">
        <v>326</v>
      </c>
      <c r="D793" s="5" t="s">
        <v>327</v>
      </c>
      <c r="E793" s="5" t="s">
        <v>72</v>
      </c>
      <c r="F793" s="21" t="n">
        <v>37.1999969482422</v>
      </c>
      <c r="G793" s="21" t="n">
        <v>1.86000001430511</v>
      </c>
      <c r="H793" s="22" t="n">
        <f aca="false">F793+G793</f>
        <v>39.0599969625473</v>
      </c>
      <c r="I793" s="13" t="n">
        <f aca="false">INDEX(RM_Rates!$F$5:$F$137,MATCH(C793,RM_Rates!$A$5:$A$137,0))</f>
        <v>0.596000015735626</v>
      </c>
      <c r="J793" s="22" t="n">
        <f aca="false">H793*I793</f>
        <v>23.2797588043117</v>
      </c>
    </row>
    <row r="794" customFormat="false" ht="15" hidden="false" customHeight="false" outlineLevel="0" collapsed="false">
      <c r="A794" s="5" t="s">
        <v>554</v>
      </c>
      <c r="B794" s="2" t="s">
        <v>697</v>
      </c>
      <c r="C794" s="5" t="s">
        <v>324</v>
      </c>
      <c r="D794" s="5" t="s">
        <v>325</v>
      </c>
      <c r="E794" s="5" t="s">
        <v>72</v>
      </c>
      <c r="F794" s="21" t="n">
        <v>2.0460000038147</v>
      </c>
      <c r="G794" s="21" t="n">
        <v>0.102000005543232</v>
      </c>
      <c r="H794" s="22" t="n">
        <f aca="false">F794+G794</f>
        <v>2.14800000935793</v>
      </c>
      <c r="I794" s="13" t="n">
        <f aca="false">INDEX(RM_Rates!$F$5:$F$137,MATCH(C794,RM_Rates!$A$5:$A$137,0))</f>
        <v>1.35229277610779</v>
      </c>
      <c r="J794" s="22" t="n">
        <f aca="false">H794*I794</f>
        <v>2.9047248957342</v>
      </c>
    </row>
    <row r="795" customFormat="false" ht="15" hidden="false" customHeight="false" outlineLevel="0" collapsed="false">
      <c r="A795" s="5" t="s">
        <v>554</v>
      </c>
      <c r="B795" s="2" t="s">
        <v>697</v>
      </c>
      <c r="C795" s="5" t="s">
        <v>318</v>
      </c>
      <c r="D795" s="5" t="s">
        <v>319</v>
      </c>
      <c r="E795" s="5" t="s">
        <v>72</v>
      </c>
      <c r="F795" s="21" t="n">
        <v>0.186000004410744</v>
      </c>
      <c r="G795" s="21" t="n">
        <v>0.00899999961256981</v>
      </c>
      <c r="H795" s="22" t="n">
        <f aca="false">F795+G795</f>
        <v>0.195000004023314</v>
      </c>
      <c r="I795" s="13" t="n">
        <f aca="false">INDEX(RM_Rates!$F$5:$F$137,MATCH(C795,RM_Rates!$A$5:$A$137,0))</f>
        <v>1.6441433429718</v>
      </c>
      <c r="J795" s="22" t="n">
        <f aca="false">H795*I795</f>
        <v>0.320607958494406</v>
      </c>
    </row>
    <row r="796" customFormat="false" ht="15" hidden="false" customHeight="false" outlineLevel="0" collapsed="false">
      <c r="A796" s="5" t="s">
        <v>554</v>
      </c>
      <c r="B796" s="2" t="s">
        <v>697</v>
      </c>
      <c r="C796" s="5" t="s">
        <v>322</v>
      </c>
      <c r="D796" s="5" t="s">
        <v>323</v>
      </c>
      <c r="E796" s="5" t="s">
        <v>72</v>
      </c>
      <c r="F796" s="21" t="n">
        <v>0.186000004410744</v>
      </c>
      <c r="G796" s="21" t="n">
        <v>0.00899999961256981</v>
      </c>
      <c r="H796" s="22" t="n">
        <f aca="false">F796+G796</f>
        <v>0.195000004023314</v>
      </c>
      <c r="I796" s="13" t="n">
        <f aca="false">INDEX(RM_Rates!$F$5:$F$137,MATCH(C796,RM_Rates!$A$5:$A$137,0))</f>
        <v>1.6441433429718</v>
      </c>
      <c r="J796" s="22" t="n">
        <f aca="false">H796*I796</f>
        <v>0.320607958494406</v>
      </c>
    </row>
    <row r="797" customFormat="false" ht="15" hidden="false" customHeight="false" outlineLevel="0" collapsed="false">
      <c r="A797" s="5" t="s">
        <v>554</v>
      </c>
      <c r="B797" s="2" t="s">
        <v>697</v>
      </c>
      <c r="C797" s="5" t="s">
        <v>316</v>
      </c>
      <c r="D797" s="5" t="s">
        <v>317</v>
      </c>
      <c r="E797" s="5" t="s">
        <v>72</v>
      </c>
      <c r="F797" s="21" t="n">
        <v>0.186000004410744</v>
      </c>
      <c r="G797" s="21" t="n">
        <v>0.00899999961256981</v>
      </c>
      <c r="H797" s="22" t="n">
        <f aca="false">F797+G797</f>
        <v>0.195000004023314</v>
      </c>
      <c r="I797" s="13" t="n">
        <f aca="false">INDEX(RM_Rates!$F$5:$F$137,MATCH(C797,RM_Rates!$A$5:$A$137,0))</f>
        <v>1.6441433429718</v>
      </c>
      <c r="J797" s="22" t="n">
        <f aca="false">H797*I797</f>
        <v>0.320607958494406</v>
      </c>
    </row>
    <row r="798" customFormat="false" ht="15" hidden="false" customHeight="false" outlineLevel="0" collapsed="false">
      <c r="A798" s="5" t="s">
        <v>554</v>
      </c>
      <c r="B798" s="2" t="s">
        <v>697</v>
      </c>
      <c r="C798" s="5" t="s">
        <v>222</v>
      </c>
      <c r="D798" s="5" t="s">
        <v>223</v>
      </c>
      <c r="E798" s="5" t="s">
        <v>72</v>
      </c>
      <c r="F798" s="21" t="n">
        <v>21.2999992370605</v>
      </c>
      <c r="G798" s="21" t="n">
        <v>0</v>
      </c>
      <c r="H798" s="22" t="n">
        <f aca="false">F798+G798</f>
        <v>21.2999992370605</v>
      </c>
      <c r="I798" s="13" t="n">
        <f aca="false">INDEX(RM_Rates!$F$5:$F$137,MATCH(C798,RM_Rates!$A$5:$A$137,0))</f>
        <v>0.379036813974381</v>
      </c>
      <c r="J798" s="22" t="n">
        <f aca="false">H798*I798</f>
        <v>8.07348384847216</v>
      </c>
    </row>
    <row r="799" customFormat="false" ht="15" hidden="false" customHeight="false" outlineLevel="0" collapsed="false">
      <c r="A799" s="5" t="s">
        <v>554</v>
      </c>
      <c r="B799" s="2" t="s">
        <v>697</v>
      </c>
      <c r="C799" s="5" t="s">
        <v>224</v>
      </c>
      <c r="D799" s="5" t="s">
        <v>225</v>
      </c>
      <c r="E799" s="5" t="s">
        <v>72</v>
      </c>
      <c r="F799" s="21" t="n">
        <v>3.29999995231628</v>
      </c>
      <c r="G799" s="21" t="n">
        <v>0</v>
      </c>
      <c r="H799" s="22" t="n">
        <f aca="false">F799+G799</f>
        <v>3.29999995231628</v>
      </c>
      <c r="I799" s="13" t="n">
        <f aca="false">INDEX(RM_Rates!$F$5:$F$137,MATCH(C799,RM_Rates!$A$5:$A$137,0))</f>
        <v>0.742858171463013</v>
      </c>
      <c r="J799" s="22" t="n">
        <f aca="false">H799*I799</f>
        <v>2.4514319304057</v>
      </c>
    </row>
    <row r="800" customFormat="false" ht="15" hidden="false" customHeight="false" outlineLevel="0" collapsed="false">
      <c r="A800" s="5" t="s">
        <v>554</v>
      </c>
      <c r="B800" s="2" t="s">
        <v>697</v>
      </c>
      <c r="C800" s="5" t="s">
        <v>240</v>
      </c>
      <c r="D800" s="5" t="s">
        <v>241</v>
      </c>
      <c r="E800" s="5" t="s">
        <v>72</v>
      </c>
      <c r="F800" s="21" t="n">
        <v>207.300003051758</v>
      </c>
      <c r="G800" s="21" t="n">
        <v>4.14599990844727</v>
      </c>
      <c r="H800" s="22" t="n">
        <f aca="false">F800+G800</f>
        <v>211.446002960205</v>
      </c>
      <c r="I800" s="13" t="n">
        <f aca="false">INDEX(RM_Rates!$F$5:$F$137,MATCH(C800,RM_Rates!$A$5:$A$137,0))</f>
        <v>0.363999992609024</v>
      </c>
      <c r="J800" s="22" t="n">
        <f aca="false">H800*I800</f>
        <v>76.9663435147224</v>
      </c>
    </row>
    <row r="801" customFormat="false" ht="15" hidden="false" customHeight="false" outlineLevel="0" collapsed="false">
      <c r="A801" s="5" t="s">
        <v>554</v>
      </c>
      <c r="B801" s="2" t="s">
        <v>697</v>
      </c>
      <c r="C801" s="5" t="s">
        <v>269</v>
      </c>
      <c r="D801" s="5" t="s">
        <v>270</v>
      </c>
      <c r="E801" s="5" t="s">
        <v>72</v>
      </c>
      <c r="F801" s="21" t="n">
        <v>358.899993896484</v>
      </c>
      <c r="G801" s="21" t="n">
        <v>3.58899998664856</v>
      </c>
      <c r="H801" s="22" t="n">
        <f aca="false">F801+G801</f>
        <v>362.488993883133</v>
      </c>
      <c r="I801" s="13" t="n">
        <f aca="false">INDEX(RM_Rates!$F$5:$F$137,MATCH(C801,RM_Rates!$A$5:$A$137,0))</f>
        <v>0.452080339193344</v>
      </c>
      <c r="J801" s="22" t="n">
        <f aca="false">H801*I801</f>
        <v>163.874147308541</v>
      </c>
    </row>
    <row r="802" customFormat="false" ht="15" hidden="false" customHeight="false" outlineLevel="0" collapsed="false">
      <c r="A802" s="5" t="s">
        <v>554</v>
      </c>
      <c r="B802" s="2" t="s">
        <v>697</v>
      </c>
      <c r="C802" s="5" t="s">
        <v>283</v>
      </c>
      <c r="D802" s="5" t="s">
        <v>284</v>
      </c>
      <c r="E802" s="5" t="s">
        <v>166</v>
      </c>
      <c r="F802" s="21" t="n">
        <v>1</v>
      </c>
      <c r="G802" s="21" t="n">
        <v>0</v>
      </c>
      <c r="H802" s="22" t="n">
        <f aca="false">F802+G802</f>
        <v>1</v>
      </c>
      <c r="I802" s="13" t="n">
        <f aca="false">INDEX(RM_Rates!$F$5:$F$137,MATCH(C802,RM_Rates!$A$5:$A$137,0))</f>
        <v>31.1947288513184</v>
      </c>
      <c r="J802" s="22" t="n">
        <f aca="false">H802*I802</f>
        <v>31.1947288513184</v>
      </c>
    </row>
    <row r="803" customFormat="false" ht="15" hidden="false" customHeight="false" outlineLevel="0" collapsed="false">
      <c r="A803" s="5" t="s">
        <v>554</v>
      </c>
      <c r="B803" s="2" t="s">
        <v>697</v>
      </c>
      <c r="C803" s="5" t="s">
        <v>169</v>
      </c>
      <c r="D803" s="5" t="s">
        <v>170</v>
      </c>
      <c r="E803" s="5" t="s">
        <v>166</v>
      </c>
      <c r="F803" s="21" t="n">
        <v>2</v>
      </c>
      <c r="G803" s="21" t="n">
        <v>0</v>
      </c>
      <c r="H803" s="22" t="n">
        <f aca="false">F803+G803</f>
        <v>2</v>
      </c>
      <c r="I803" s="13" t="n">
        <f aca="false">INDEX(RM_Rates!$F$5:$F$137,MATCH(C803,RM_Rates!$A$5:$A$137,0))</f>
        <v>0.124766282737255</v>
      </c>
      <c r="J803" s="22" t="n">
        <f aca="false">H803*I803</f>
        <v>0.24953256547451</v>
      </c>
    </row>
    <row r="804" customFormat="false" ht="15" hidden="false" customHeight="false" outlineLevel="0" collapsed="false">
      <c r="A804" s="5" t="s">
        <v>554</v>
      </c>
      <c r="B804" s="2" t="s">
        <v>697</v>
      </c>
      <c r="C804" s="5" t="s">
        <v>308</v>
      </c>
      <c r="D804" s="5" t="s">
        <v>309</v>
      </c>
      <c r="E804" s="5" t="s">
        <v>297</v>
      </c>
      <c r="F804" s="21" t="n">
        <v>3.79999995231628</v>
      </c>
      <c r="G804" s="21" t="n">
        <v>0</v>
      </c>
      <c r="H804" s="22" t="n">
        <f aca="false">F804+G804</f>
        <v>3.79999995231628</v>
      </c>
      <c r="I804" s="13" t="n">
        <f aca="false">INDEX(RM_Rates!$F$5:$F$137,MATCH(C804,RM_Rates!$A$5:$A$137,0))</f>
        <v>1.40752077102661</v>
      </c>
      <c r="J804" s="22" t="n">
        <f aca="false">H804*I804</f>
        <v>5.34857886278529</v>
      </c>
    </row>
    <row r="805" customFormat="false" ht="15" hidden="false" customHeight="false" outlineLevel="0" collapsed="false">
      <c r="A805" s="5" t="s">
        <v>554</v>
      </c>
      <c r="B805" s="2" t="s">
        <v>697</v>
      </c>
      <c r="C805" s="5" t="s">
        <v>189</v>
      </c>
      <c r="D805" s="5" t="s">
        <v>190</v>
      </c>
      <c r="E805" s="5" t="s">
        <v>60</v>
      </c>
      <c r="F805" s="21" t="n">
        <v>0.379999995231628</v>
      </c>
      <c r="G805" s="21" t="n">
        <v>0</v>
      </c>
      <c r="H805" s="22" t="n">
        <f aca="false">F805+G805</f>
        <v>0.379999995231628</v>
      </c>
      <c r="I805" s="13" t="n">
        <f aca="false">INDEX(RM_Rates!$F$5:$F$137,MATCH(C805,RM_Rates!$A$5:$A$137,0))</f>
        <v>0.568400025367737</v>
      </c>
      <c r="J805" s="22" t="n">
        <f aca="false">H805*I805</f>
        <v>0.215992006929397</v>
      </c>
    </row>
    <row r="806" customFormat="false" ht="15" hidden="false" customHeight="false" outlineLevel="0" collapsed="false">
      <c r="A806" s="5" t="s">
        <v>556</v>
      </c>
      <c r="B806" s="2" t="s">
        <v>698</v>
      </c>
      <c r="C806" s="5" t="s">
        <v>114</v>
      </c>
      <c r="D806" s="5" t="s">
        <v>115</v>
      </c>
      <c r="E806" s="5" t="s">
        <v>72</v>
      </c>
      <c r="F806" s="21" t="n">
        <v>4749</v>
      </c>
      <c r="G806" s="21" t="n">
        <v>23.7449989318848</v>
      </c>
      <c r="H806" s="22" t="n">
        <f aca="false">F806+G806</f>
        <v>4772.74499893189</v>
      </c>
      <c r="I806" s="13" t="n">
        <f aca="false">INDEX(RM_Rates!$F$5:$F$137,MATCH(C806,RM_Rates!$A$5:$A$137,0))</f>
        <v>1.969372</v>
      </c>
      <c r="J806" s="22" t="n">
        <f aca="false">H806*I806</f>
        <v>9399.31036403648</v>
      </c>
    </row>
    <row r="807" customFormat="false" ht="15" hidden="false" customHeight="false" outlineLevel="0" collapsed="false">
      <c r="A807" s="5" t="s">
        <v>556</v>
      </c>
      <c r="B807" s="2" t="s">
        <v>698</v>
      </c>
      <c r="C807" s="5" t="s">
        <v>328</v>
      </c>
      <c r="D807" s="5" t="s">
        <v>329</v>
      </c>
      <c r="E807" s="5" t="s">
        <v>72</v>
      </c>
      <c r="F807" s="21" t="n">
        <v>217.608001708984</v>
      </c>
      <c r="G807" s="21" t="n">
        <v>10.8810005187988</v>
      </c>
      <c r="H807" s="22" t="n">
        <f aca="false">F807+G807</f>
        <v>228.489002227783</v>
      </c>
      <c r="I807" s="13" t="n">
        <f aca="false">INDEX(RM_Rates!$F$5:$F$137,MATCH(C807,RM_Rates!$A$5:$A$137,0))</f>
        <v>0.821246385574341</v>
      </c>
      <c r="J807" s="22" t="n">
        <f aca="false">H807*I807</f>
        <v>187.645767223054</v>
      </c>
    </row>
    <row r="808" customFormat="false" ht="15" hidden="false" customHeight="false" outlineLevel="0" collapsed="false">
      <c r="A808" s="5" t="s">
        <v>556</v>
      </c>
      <c r="B808" s="2" t="s">
        <v>698</v>
      </c>
      <c r="C808" s="5" t="s">
        <v>312</v>
      </c>
      <c r="D808" s="5" t="s">
        <v>313</v>
      </c>
      <c r="E808" s="5" t="s">
        <v>72</v>
      </c>
      <c r="F808" s="21" t="n">
        <v>448.800018310547</v>
      </c>
      <c r="G808" s="21" t="n">
        <v>22.4400005340576</v>
      </c>
      <c r="H808" s="22" t="n">
        <f aca="false">F808+G808</f>
        <v>471.240018844605</v>
      </c>
      <c r="I808" s="13" t="n">
        <f aca="false">INDEX(RM_Rates!$F$5:$F$137,MATCH(C808,RM_Rates!$A$5:$A$137,0))</f>
        <v>0.600000023841858</v>
      </c>
      <c r="J808" s="22" t="n">
        <f aca="false">H808*I808</f>
        <v>282.744022542</v>
      </c>
    </row>
    <row r="809" customFormat="false" ht="15" hidden="false" customHeight="false" outlineLevel="0" collapsed="false">
      <c r="A809" s="5" t="s">
        <v>556</v>
      </c>
      <c r="B809" s="2" t="s">
        <v>698</v>
      </c>
      <c r="C809" s="5" t="s">
        <v>160</v>
      </c>
      <c r="D809" s="5" t="s">
        <v>161</v>
      </c>
      <c r="E809" s="5" t="s">
        <v>72</v>
      </c>
      <c r="F809" s="21" t="n">
        <v>106.200004577637</v>
      </c>
      <c r="G809" s="21" t="n">
        <v>1.06200003623962</v>
      </c>
      <c r="H809" s="22" t="n">
        <f aca="false">F809+G809</f>
        <v>107.262004613877</v>
      </c>
      <c r="I809" s="13" t="n">
        <f aca="false">INDEX(RM_Rates!$F$5:$F$137,MATCH(C809,RM_Rates!$A$5:$A$137,0))</f>
        <v>3.00841188430786</v>
      </c>
      <c r="J809" s="22" t="n">
        <f aca="false">H809*I809</f>
        <v>322.688289415071</v>
      </c>
    </row>
    <row r="810" customFormat="false" ht="15" hidden="false" customHeight="false" outlineLevel="0" collapsed="false">
      <c r="A810" s="5" t="s">
        <v>556</v>
      </c>
      <c r="B810" s="2" t="s">
        <v>698</v>
      </c>
      <c r="C810" s="5" t="s">
        <v>220</v>
      </c>
      <c r="D810" s="5" t="s">
        <v>221</v>
      </c>
      <c r="E810" s="5" t="s">
        <v>72</v>
      </c>
      <c r="F810" s="21" t="n">
        <v>404.040008544922</v>
      </c>
      <c r="G810" s="21" t="n">
        <v>0</v>
      </c>
      <c r="H810" s="22" t="n">
        <f aca="false">F810+G810</f>
        <v>404.040008544922</v>
      </c>
      <c r="I810" s="13" t="n">
        <f aca="false">INDEX(RM_Rates!$F$5:$F$137,MATCH(C810,RM_Rates!$A$5:$A$137,0))</f>
        <v>0.379036813974381</v>
      </c>
      <c r="J810" s="22" t="n">
        <f aca="false">H810*I810</f>
        <v>153.146037557049</v>
      </c>
    </row>
    <row r="811" customFormat="false" ht="15" hidden="false" customHeight="false" outlineLevel="0" collapsed="false">
      <c r="A811" s="5" t="s">
        <v>556</v>
      </c>
      <c r="B811" s="2" t="s">
        <v>698</v>
      </c>
      <c r="C811" s="5" t="s">
        <v>230</v>
      </c>
      <c r="D811" s="5" t="s">
        <v>231</v>
      </c>
      <c r="E811" s="5" t="s">
        <v>72</v>
      </c>
      <c r="F811" s="21" t="n">
        <v>22.5</v>
      </c>
      <c r="G811" s="21" t="n">
        <v>0</v>
      </c>
      <c r="H811" s="22" t="n">
        <f aca="false">F811+G811</f>
        <v>22.5</v>
      </c>
      <c r="I811" s="13" t="n">
        <f aca="false">INDEX(RM_Rates!$F$5:$F$137,MATCH(C811,RM_Rates!$A$5:$A$137,0))</f>
        <v>0.742858171463013</v>
      </c>
      <c r="J811" s="22" t="n">
        <f aca="false">H811*I811</f>
        <v>16.7143088579178</v>
      </c>
    </row>
    <row r="812" customFormat="false" ht="15" hidden="false" customHeight="false" outlineLevel="0" collapsed="false">
      <c r="A812" s="5" t="s">
        <v>556</v>
      </c>
      <c r="B812" s="2" t="s">
        <v>698</v>
      </c>
      <c r="C812" s="5" t="s">
        <v>246</v>
      </c>
      <c r="D812" s="5" t="s">
        <v>247</v>
      </c>
      <c r="E812" s="5" t="s">
        <v>72</v>
      </c>
      <c r="F812" s="21" t="n">
        <v>1069.42993164063</v>
      </c>
      <c r="G812" s="21" t="n">
        <v>2.67400002479553</v>
      </c>
      <c r="H812" s="22" t="n">
        <f aca="false">F812+G812</f>
        <v>1072.10393166543</v>
      </c>
      <c r="I812" s="13" t="n">
        <f aca="false">INDEX(RM_Rates!$F$5:$F$137,MATCH(C812,RM_Rates!$A$5:$A$137,0))</f>
        <v>0.420493960380554</v>
      </c>
      <c r="J812" s="22" t="n">
        <f aca="false">H812*I812</f>
        <v>450.813228165558</v>
      </c>
    </row>
    <row r="813" customFormat="false" ht="15" hidden="false" customHeight="false" outlineLevel="0" collapsed="false">
      <c r="A813" s="5" t="s">
        <v>556</v>
      </c>
      <c r="B813" s="2" t="s">
        <v>698</v>
      </c>
      <c r="C813" s="5" t="s">
        <v>232</v>
      </c>
      <c r="D813" s="5" t="s">
        <v>233</v>
      </c>
      <c r="E813" s="5" t="s">
        <v>72</v>
      </c>
      <c r="F813" s="21" t="n">
        <v>17.1108798980713</v>
      </c>
      <c r="G813" s="21" t="n">
        <v>0.0429999977350235</v>
      </c>
      <c r="H813" s="22" t="n">
        <f aca="false">F813+G813</f>
        <v>17.1538798958063</v>
      </c>
      <c r="I813" s="13" t="n">
        <f aca="false">INDEX(RM_Rates!$F$5:$F$137,MATCH(C813,RM_Rates!$A$5:$A$137,0))</f>
        <v>1.45200002193451</v>
      </c>
      <c r="J813" s="22" t="n">
        <f aca="false">H813*I813</f>
        <v>24.9074339849727</v>
      </c>
    </row>
    <row r="814" customFormat="false" ht="15" hidden="false" customHeight="false" outlineLevel="0" collapsed="false">
      <c r="A814" s="5" t="s">
        <v>556</v>
      </c>
      <c r="B814" s="2" t="s">
        <v>698</v>
      </c>
      <c r="C814" s="5" t="s">
        <v>275</v>
      </c>
      <c r="D814" s="5" t="s">
        <v>276</v>
      </c>
      <c r="E814" s="5" t="s">
        <v>72</v>
      </c>
      <c r="F814" s="21" t="n">
        <v>2429.69995117188</v>
      </c>
      <c r="G814" s="21" t="n">
        <v>24.2970008850098</v>
      </c>
      <c r="H814" s="22" t="n">
        <f aca="false">F814+G814</f>
        <v>2453.99695205689</v>
      </c>
      <c r="I814" s="13" t="n">
        <f aca="false">INDEX(RM_Rates!$F$5:$F$137,MATCH(C814,RM_Rates!$A$5:$A$137,0))</f>
        <v>0.367191910743713</v>
      </c>
      <c r="J814" s="22" t="n">
        <f aca="false">H814*I814</f>
        <v>901.087829785017</v>
      </c>
    </row>
    <row r="815" customFormat="false" ht="15" hidden="false" customHeight="false" outlineLevel="0" collapsed="false">
      <c r="A815" s="5" t="s">
        <v>556</v>
      </c>
      <c r="B815" s="2" t="s">
        <v>698</v>
      </c>
      <c r="C815" s="5" t="s">
        <v>255</v>
      </c>
      <c r="D815" s="5" t="s">
        <v>256</v>
      </c>
      <c r="E815" s="5" t="s">
        <v>166</v>
      </c>
      <c r="F815" s="21" t="n">
        <v>4</v>
      </c>
      <c r="G815" s="21" t="n">
        <v>0</v>
      </c>
      <c r="H815" s="22" t="n">
        <f aca="false">F815+G815</f>
        <v>4</v>
      </c>
      <c r="I815" s="13" t="n">
        <f aca="false">INDEX(RM_Rates!$F$5:$F$137,MATCH(C815,RM_Rates!$A$5:$A$137,0))</f>
        <v>114.500701904297</v>
      </c>
      <c r="J815" s="22" t="n">
        <f aca="false">H815*I815</f>
        <v>458.002807617188</v>
      </c>
    </row>
    <row r="816" customFormat="false" ht="15" hidden="false" customHeight="false" outlineLevel="0" collapsed="false">
      <c r="A816" s="5" t="s">
        <v>556</v>
      </c>
      <c r="B816" s="2" t="s">
        <v>698</v>
      </c>
      <c r="C816" s="5" t="s">
        <v>175</v>
      </c>
      <c r="D816" s="5" t="s">
        <v>176</v>
      </c>
      <c r="E816" s="5" t="s">
        <v>166</v>
      </c>
      <c r="F816" s="21" t="n">
        <v>8</v>
      </c>
      <c r="G816" s="21" t="n">
        <v>0</v>
      </c>
      <c r="H816" s="22" t="n">
        <f aca="false">F816+G816</f>
        <v>8</v>
      </c>
      <c r="I816" s="13" t="n">
        <f aca="false">INDEX(RM_Rates!$F$5:$F$137,MATCH(C816,RM_Rates!$A$5:$A$137,0))</f>
        <v>0.39300000667572</v>
      </c>
      <c r="J816" s="22" t="n">
        <f aca="false">H816*I816</f>
        <v>3.14400005340576</v>
      </c>
    </row>
    <row r="817" customFormat="false" ht="15" hidden="false" customHeight="false" outlineLevel="0" collapsed="false">
      <c r="A817" s="5" t="s">
        <v>556</v>
      </c>
      <c r="B817" s="2" t="s">
        <v>698</v>
      </c>
      <c r="C817" s="5" t="s">
        <v>189</v>
      </c>
      <c r="D817" s="5" t="s">
        <v>190</v>
      </c>
      <c r="E817" s="5" t="s">
        <v>60</v>
      </c>
      <c r="F817" s="21" t="n">
        <v>3.07999992370605</v>
      </c>
      <c r="G817" s="21" t="n">
        <v>0</v>
      </c>
      <c r="H817" s="22" t="n">
        <f aca="false">F817+G817</f>
        <v>3.07999992370605</v>
      </c>
      <c r="I817" s="13" t="n">
        <f aca="false">INDEX(RM_Rates!$F$5:$F$137,MATCH(C817,RM_Rates!$A$5:$A$137,0))</f>
        <v>0.568400025367737</v>
      </c>
      <c r="J817" s="22" t="n">
        <f aca="false">H817*I817</f>
        <v>1.75067203476715</v>
      </c>
    </row>
    <row r="818" customFormat="false" ht="15" hidden="false" customHeight="false" outlineLevel="0" collapsed="false">
      <c r="A818" s="5" t="s">
        <v>556</v>
      </c>
      <c r="B818" s="2" t="s">
        <v>698</v>
      </c>
      <c r="C818" s="5" t="s">
        <v>295</v>
      </c>
      <c r="D818" s="5" t="s">
        <v>296</v>
      </c>
      <c r="E818" s="5" t="s">
        <v>297</v>
      </c>
      <c r="F818" s="21" t="n">
        <v>25.2000007629395</v>
      </c>
      <c r="G818" s="21" t="n">
        <v>0</v>
      </c>
      <c r="H818" s="22" t="n">
        <f aca="false">F818+G818</f>
        <v>25.2000007629395</v>
      </c>
      <c r="I818" s="13" t="n">
        <f aca="false">INDEX(RM_Rates!$F$5:$F$137,MATCH(C818,RM_Rates!$A$5:$A$137,0))</f>
        <v>1.40752077102661</v>
      </c>
      <c r="J818" s="22" t="n">
        <f aca="false">H818*I818</f>
        <v>35.4695245037238</v>
      </c>
    </row>
    <row r="819" customFormat="false" ht="15" hidden="false" customHeight="false" outlineLevel="0" collapsed="false">
      <c r="A819" s="5" t="s">
        <v>558</v>
      </c>
      <c r="B819" s="2" t="s">
        <v>699</v>
      </c>
      <c r="C819" s="5" t="s">
        <v>138</v>
      </c>
      <c r="D819" s="5" t="s">
        <v>139</v>
      </c>
      <c r="E819" s="5" t="s">
        <v>72</v>
      </c>
      <c r="F819" s="21" t="n">
        <v>4749</v>
      </c>
      <c r="G819" s="21" t="n">
        <v>23.7449989318848</v>
      </c>
      <c r="H819" s="22" t="n">
        <f aca="false">F819+G819</f>
        <v>4772.74499893189</v>
      </c>
      <c r="I819" s="13" t="n">
        <f aca="false">INDEX(RM_Rates!$F$5:$F$137,MATCH(C819,RM_Rates!$A$5:$A$137,0))</f>
        <v>1.969372</v>
      </c>
      <c r="J819" s="22" t="n">
        <f aca="false">H819*I819</f>
        <v>9399.31036403648</v>
      </c>
    </row>
    <row r="820" customFormat="false" ht="15" hidden="false" customHeight="false" outlineLevel="0" collapsed="false">
      <c r="A820" s="5" t="s">
        <v>558</v>
      </c>
      <c r="B820" s="2" t="s">
        <v>699</v>
      </c>
      <c r="C820" s="5" t="s">
        <v>326</v>
      </c>
      <c r="D820" s="5" t="s">
        <v>327</v>
      </c>
      <c r="E820" s="5" t="s">
        <v>72</v>
      </c>
      <c r="F820" s="21" t="n">
        <v>270</v>
      </c>
      <c r="G820" s="21" t="n">
        <v>13.5</v>
      </c>
      <c r="H820" s="22" t="n">
        <f aca="false">F820+G820</f>
        <v>283.5</v>
      </c>
      <c r="I820" s="13" t="n">
        <f aca="false">INDEX(RM_Rates!$F$5:$F$137,MATCH(C820,RM_Rates!$A$5:$A$137,0))</f>
        <v>0.596000015735626</v>
      </c>
      <c r="J820" s="22" t="n">
        <f aca="false">H820*I820</f>
        <v>168.96600446105</v>
      </c>
    </row>
    <row r="821" customFormat="false" ht="15" hidden="false" customHeight="false" outlineLevel="0" collapsed="false">
      <c r="A821" s="5" t="s">
        <v>558</v>
      </c>
      <c r="B821" s="2" t="s">
        <v>699</v>
      </c>
      <c r="C821" s="5" t="s">
        <v>324</v>
      </c>
      <c r="D821" s="5" t="s">
        <v>325</v>
      </c>
      <c r="E821" s="5" t="s">
        <v>72</v>
      </c>
      <c r="F821" s="21" t="n">
        <v>14.8499994277954</v>
      </c>
      <c r="G821" s="21" t="n">
        <v>0.74399995803833</v>
      </c>
      <c r="H821" s="22" t="n">
        <f aca="false">F821+G821</f>
        <v>15.5939993858337</v>
      </c>
      <c r="I821" s="13" t="n">
        <f aca="false">INDEX(RM_Rates!$F$5:$F$137,MATCH(C821,RM_Rates!$A$5:$A$137,0))</f>
        <v>1.35229277610779</v>
      </c>
      <c r="J821" s="22" t="n">
        <f aca="false">H821*I821</f>
        <v>21.0876527200923</v>
      </c>
    </row>
    <row r="822" customFormat="false" ht="15" hidden="false" customHeight="false" outlineLevel="0" collapsed="false">
      <c r="A822" s="5" t="s">
        <v>558</v>
      </c>
      <c r="B822" s="2" t="s">
        <v>699</v>
      </c>
      <c r="C822" s="5" t="s">
        <v>318</v>
      </c>
      <c r="D822" s="5" t="s">
        <v>319</v>
      </c>
      <c r="E822" s="5" t="s">
        <v>72</v>
      </c>
      <c r="F822" s="21" t="n">
        <v>1.35000002384186</v>
      </c>
      <c r="G822" s="21" t="n">
        <v>0.068000003695488</v>
      </c>
      <c r="H822" s="22" t="n">
        <f aca="false">F822+G822</f>
        <v>1.41800002753735</v>
      </c>
      <c r="I822" s="13" t="n">
        <f aca="false">INDEX(RM_Rates!$F$5:$F$137,MATCH(C822,RM_Rates!$A$5:$A$137,0))</f>
        <v>1.6441433429718</v>
      </c>
      <c r="J822" s="22" t="n">
        <f aca="false">H822*I822</f>
        <v>2.33139530560936</v>
      </c>
    </row>
    <row r="823" customFormat="false" ht="15" hidden="false" customHeight="false" outlineLevel="0" collapsed="false">
      <c r="A823" s="5" t="s">
        <v>558</v>
      </c>
      <c r="B823" s="2" t="s">
        <v>699</v>
      </c>
      <c r="C823" s="5" t="s">
        <v>322</v>
      </c>
      <c r="D823" s="5" t="s">
        <v>323</v>
      </c>
      <c r="E823" s="5" t="s">
        <v>72</v>
      </c>
      <c r="F823" s="21" t="n">
        <v>1.35000002384186</v>
      </c>
      <c r="G823" s="21" t="n">
        <v>0.068000003695488</v>
      </c>
      <c r="H823" s="22" t="n">
        <f aca="false">F823+G823</f>
        <v>1.41800002753735</v>
      </c>
      <c r="I823" s="13" t="n">
        <f aca="false">INDEX(RM_Rates!$F$5:$F$137,MATCH(C823,RM_Rates!$A$5:$A$137,0))</f>
        <v>1.6441433429718</v>
      </c>
      <c r="J823" s="22" t="n">
        <f aca="false">H823*I823</f>
        <v>2.33139530560936</v>
      </c>
    </row>
    <row r="824" customFormat="false" ht="15" hidden="false" customHeight="false" outlineLevel="0" collapsed="false">
      <c r="A824" s="5" t="s">
        <v>558</v>
      </c>
      <c r="B824" s="2" t="s">
        <v>699</v>
      </c>
      <c r="C824" s="5" t="s">
        <v>316</v>
      </c>
      <c r="D824" s="5" t="s">
        <v>317</v>
      </c>
      <c r="E824" s="5" t="s">
        <v>72</v>
      </c>
      <c r="F824" s="21" t="n">
        <v>1.35000002384186</v>
      </c>
      <c r="G824" s="21" t="n">
        <v>0.068000003695488</v>
      </c>
      <c r="H824" s="22" t="n">
        <f aca="false">F824+G824</f>
        <v>1.41800002753735</v>
      </c>
      <c r="I824" s="13" t="n">
        <f aca="false">INDEX(RM_Rates!$F$5:$F$137,MATCH(C824,RM_Rates!$A$5:$A$137,0))</f>
        <v>1.6441433429718</v>
      </c>
      <c r="J824" s="22" t="n">
        <f aca="false">H824*I824</f>
        <v>2.33139530560936</v>
      </c>
    </row>
    <row r="825" customFormat="false" ht="15" hidden="false" customHeight="false" outlineLevel="0" collapsed="false">
      <c r="A825" s="5" t="s">
        <v>558</v>
      </c>
      <c r="B825" s="2" t="s">
        <v>699</v>
      </c>
      <c r="C825" s="5" t="s">
        <v>222</v>
      </c>
      <c r="D825" s="5" t="s">
        <v>223</v>
      </c>
      <c r="E825" s="5" t="s">
        <v>72</v>
      </c>
      <c r="F825" s="21" t="n">
        <v>26.7000007629395</v>
      </c>
      <c r="G825" s="21" t="n">
        <v>0</v>
      </c>
      <c r="H825" s="22" t="n">
        <f aca="false">F825+G825</f>
        <v>26.7000007629395</v>
      </c>
      <c r="I825" s="13" t="n">
        <f aca="false">INDEX(RM_Rates!$F$5:$F$137,MATCH(C825,RM_Rates!$A$5:$A$137,0))</f>
        <v>0.379036813974381</v>
      </c>
      <c r="J825" s="22" t="n">
        <f aca="false">H825*I825</f>
        <v>10.1202832222981</v>
      </c>
    </row>
    <row r="826" customFormat="false" ht="15" hidden="false" customHeight="false" outlineLevel="0" collapsed="false">
      <c r="A826" s="5" t="s">
        <v>558</v>
      </c>
      <c r="B826" s="2" t="s">
        <v>699</v>
      </c>
      <c r="C826" s="5" t="s">
        <v>228</v>
      </c>
      <c r="D826" s="5" t="s">
        <v>229</v>
      </c>
      <c r="E826" s="5" t="s">
        <v>72</v>
      </c>
      <c r="F826" s="21" t="n">
        <v>8.60000038146973</v>
      </c>
      <c r="G826" s="21" t="n">
        <v>0</v>
      </c>
      <c r="H826" s="22" t="n">
        <f aca="false">F826+G826</f>
        <v>8.60000038146973</v>
      </c>
      <c r="I826" s="13" t="n">
        <f aca="false">INDEX(RM_Rates!$F$5:$F$137,MATCH(C826,RM_Rates!$A$5:$A$137,0))</f>
        <v>0.742858171463013</v>
      </c>
      <c r="J826" s="22" t="n">
        <f aca="false">H826*I826</f>
        <v>6.38858055795982</v>
      </c>
    </row>
    <row r="827" customFormat="false" ht="15" hidden="false" customHeight="false" outlineLevel="0" collapsed="false">
      <c r="A827" s="5" t="s">
        <v>558</v>
      </c>
      <c r="B827" s="2" t="s">
        <v>699</v>
      </c>
      <c r="C827" s="5" t="s">
        <v>240</v>
      </c>
      <c r="D827" s="5" t="s">
        <v>241</v>
      </c>
      <c r="E827" s="5" t="s">
        <v>72</v>
      </c>
      <c r="F827" s="21" t="n">
        <v>706.599975585938</v>
      </c>
      <c r="G827" s="21" t="n">
        <v>14.1319999694824</v>
      </c>
      <c r="H827" s="22" t="n">
        <f aca="false">F827+G827</f>
        <v>720.73197555542</v>
      </c>
      <c r="I827" s="13" t="n">
        <f aca="false">INDEX(RM_Rates!$F$5:$F$137,MATCH(C827,RM_Rates!$A$5:$A$137,0))</f>
        <v>0.363999992609024</v>
      </c>
      <c r="J827" s="22" t="n">
        <f aca="false">H827*I827</f>
        <v>262.34643377526</v>
      </c>
    </row>
    <row r="828" customFormat="false" ht="15" hidden="false" customHeight="false" outlineLevel="0" collapsed="false">
      <c r="A828" s="5" t="s">
        <v>558</v>
      </c>
      <c r="B828" s="2" t="s">
        <v>699</v>
      </c>
      <c r="C828" s="5" t="s">
        <v>275</v>
      </c>
      <c r="D828" s="5" t="s">
        <v>276</v>
      </c>
      <c r="E828" s="5" t="s">
        <v>72</v>
      </c>
      <c r="F828" s="21" t="n">
        <v>1746</v>
      </c>
      <c r="G828" s="21" t="n">
        <v>17.4599990844727</v>
      </c>
      <c r="H828" s="22" t="n">
        <f aca="false">F828+G828</f>
        <v>1763.45999908447</v>
      </c>
      <c r="I828" s="13" t="n">
        <f aca="false">INDEX(RM_Rates!$F$5:$F$137,MATCH(C828,RM_Rates!$A$5:$A$137,0))</f>
        <v>0.367191910743713</v>
      </c>
      <c r="J828" s="22" t="n">
        <f aca="false">H828*I828</f>
        <v>647.528246583934</v>
      </c>
    </row>
    <row r="829" customFormat="false" ht="15" hidden="false" customHeight="false" outlineLevel="0" collapsed="false">
      <c r="A829" s="5" t="s">
        <v>558</v>
      </c>
      <c r="B829" s="2" t="s">
        <v>699</v>
      </c>
      <c r="C829" s="5" t="s">
        <v>253</v>
      </c>
      <c r="D829" s="5" t="s">
        <v>254</v>
      </c>
      <c r="E829" s="5" t="s">
        <v>166</v>
      </c>
      <c r="F829" s="21" t="n">
        <v>2</v>
      </c>
      <c r="G829" s="21" t="n">
        <v>0</v>
      </c>
      <c r="H829" s="22" t="n">
        <f aca="false">F829+G829</f>
        <v>2</v>
      </c>
      <c r="I829" s="13" t="n">
        <f aca="false">INDEX(RM_Rates!$F$5:$F$137,MATCH(C829,RM_Rates!$A$5:$A$137,0))</f>
        <v>90.4160690307617</v>
      </c>
      <c r="J829" s="22" t="n">
        <f aca="false">H829*I829</f>
        <v>180.832138061523</v>
      </c>
    </row>
    <row r="830" customFormat="false" ht="15" hidden="false" customHeight="false" outlineLevel="0" collapsed="false">
      <c r="A830" s="5" t="s">
        <v>558</v>
      </c>
      <c r="B830" s="2" t="s">
        <v>699</v>
      </c>
      <c r="C830" s="5" t="s">
        <v>173</v>
      </c>
      <c r="D830" s="5" t="s">
        <v>174</v>
      </c>
      <c r="E830" s="5" t="s">
        <v>166</v>
      </c>
      <c r="F830" s="21" t="n">
        <v>4</v>
      </c>
      <c r="G830" s="21" t="n">
        <v>0</v>
      </c>
      <c r="H830" s="22" t="n">
        <f aca="false">F830+G830</f>
        <v>4</v>
      </c>
      <c r="I830" s="13" t="n">
        <f aca="false">INDEX(RM_Rates!$F$5:$F$137,MATCH(C830,RM_Rates!$A$5:$A$137,0))</f>
        <v>0.255849838256836</v>
      </c>
      <c r="J830" s="22" t="n">
        <f aca="false">H830*I830</f>
        <v>1.02339935302734</v>
      </c>
    </row>
    <row r="831" customFormat="false" ht="15" hidden="false" customHeight="false" outlineLevel="0" collapsed="false">
      <c r="A831" s="5" t="s">
        <v>558</v>
      </c>
      <c r="B831" s="2" t="s">
        <v>699</v>
      </c>
      <c r="C831" s="5" t="s">
        <v>310</v>
      </c>
      <c r="D831" s="5" t="s">
        <v>311</v>
      </c>
      <c r="E831" s="5" t="s">
        <v>297</v>
      </c>
      <c r="F831" s="21" t="n">
        <v>11.3999996185303</v>
      </c>
      <c r="G831" s="21" t="n">
        <v>0</v>
      </c>
      <c r="H831" s="22" t="n">
        <f aca="false">F831+G831</f>
        <v>11.3999996185303</v>
      </c>
      <c r="I831" s="13" t="n">
        <f aca="false">INDEX(RM_Rates!$F$5:$F$137,MATCH(C831,RM_Rates!$A$5:$A$137,0))</f>
        <v>1.40752077102661</v>
      </c>
      <c r="J831" s="22" t="n">
        <f aca="false">H831*I831</f>
        <v>16.0457362527768</v>
      </c>
    </row>
    <row r="832" customFormat="false" ht="15" hidden="false" customHeight="false" outlineLevel="0" collapsed="false">
      <c r="A832" s="5" t="s">
        <v>558</v>
      </c>
      <c r="B832" s="2" t="s">
        <v>699</v>
      </c>
      <c r="C832" s="5" t="s">
        <v>189</v>
      </c>
      <c r="D832" s="5" t="s">
        <v>190</v>
      </c>
      <c r="E832" s="5" t="s">
        <v>60</v>
      </c>
      <c r="F832" s="21" t="n">
        <v>1.17999994754791</v>
      </c>
      <c r="G832" s="21" t="n">
        <v>0</v>
      </c>
      <c r="H832" s="22" t="n">
        <f aca="false">F832+G832</f>
        <v>1.17999994754791</v>
      </c>
      <c r="I832" s="13" t="n">
        <f aca="false">INDEX(RM_Rates!$F$5:$F$137,MATCH(C832,RM_Rates!$A$5:$A$137,0))</f>
        <v>0.568400025367737</v>
      </c>
      <c r="J832" s="22" t="n">
        <f aca="false">H832*I832</f>
        <v>0.67071200012016</v>
      </c>
    </row>
    <row r="833" customFormat="false" ht="15" hidden="false" customHeight="false" outlineLevel="0" collapsed="false">
      <c r="A833" s="5" t="s">
        <v>560</v>
      </c>
      <c r="B833" s="2" t="s">
        <v>700</v>
      </c>
      <c r="C833" s="5" t="s">
        <v>116</v>
      </c>
      <c r="D833" s="5" t="s">
        <v>117</v>
      </c>
      <c r="E833" s="5" t="s">
        <v>72</v>
      </c>
      <c r="F833" s="21" t="n">
        <v>6240</v>
      </c>
      <c r="G833" s="21" t="n">
        <v>31.1999988555908</v>
      </c>
      <c r="H833" s="22" t="n">
        <f aca="false">F833+G833</f>
        <v>6271.19999885559</v>
      </c>
      <c r="I833" s="13" t="n">
        <f aca="false">INDEX(RM_Rates!$F$5:$F$137,MATCH(C833,RM_Rates!$A$5:$A$137,0))</f>
        <v>1.968214</v>
      </c>
      <c r="J833" s="22" t="n">
        <f aca="false">H833*I833</f>
        <v>12343.0636345476</v>
      </c>
    </row>
    <row r="834" customFormat="false" ht="15" hidden="false" customHeight="false" outlineLevel="0" collapsed="false">
      <c r="A834" s="5" t="s">
        <v>560</v>
      </c>
      <c r="B834" s="2" t="s">
        <v>700</v>
      </c>
      <c r="C834" s="5" t="s">
        <v>328</v>
      </c>
      <c r="D834" s="5" t="s">
        <v>329</v>
      </c>
      <c r="E834" s="5" t="s">
        <v>72</v>
      </c>
      <c r="F834" s="21" t="n">
        <v>245.615997314453</v>
      </c>
      <c r="G834" s="21" t="n">
        <v>12.2819995880127</v>
      </c>
      <c r="H834" s="22" t="n">
        <f aca="false">F834+G834</f>
        <v>257.897996902466</v>
      </c>
      <c r="I834" s="13" t="n">
        <f aca="false">INDEX(RM_Rates!$F$5:$F$137,MATCH(C834,RM_Rates!$A$5:$A$137,0))</f>
        <v>0.821246385574341</v>
      </c>
      <c r="J834" s="22" t="n">
        <f aca="false">H834*I834</f>
        <v>211.797797803013</v>
      </c>
    </row>
    <row r="835" customFormat="false" ht="15" hidden="false" customHeight="false" outlineLevel="0" collapsed="false">
      <c r="A835" s="5" t="s">
        <v>560</v>
      </c>
      <c r="B835" s="2" t="s">
        <v>700</v>
      </c>
      <c r="C835" s="5" t="s">
        <v>312</v>
      </c>
      <c r="D835" s="5" t="s">
        <v>313</v>
      </c>
      <c r="E835" s="5" t="s">
        <v>72</v>
      </c>
      <c r="F835" s="21" t="n">
        <v>526.5</v>
      </c>
      <c r="G835" s="21" t="n">
        <v>26.3249988555908</v>
      </c>
      <c r="H835" s="22" t="n">
        <f aca="false">F835+G835</f>
        <v>552.824998855591</v>
      </c>
      <c r="I835" s="13" t="n">
        <f aca="false">INDEX(RM_Rates!$F$5:$F$137,MATCH(C835,RM_Rates!$A$5:$A$137,0))</f>
        <v>0.600000023841858</v>
      </c>
      <c r="J835" s="22" t="n">
        <f aca="false">H835*I835</f>
        <v>331.69501249373</v>
      </c>
    </row>
    <row r="836" customFormat="false" ht="15" hidden="false" customHeight="false" outlineLevel="0" collapsed="false">
      <c r="A836" s="5" t="s">
        <v>560</v>
      </c>
      <c r="B836" s="2" t="s">
        <v>700</v>
      </c>
      <c r="C836" s="5" t="s">
        <v>160</v>
      </c>
      <c r="D836" s="5" t="s">
        <v>161</v>
      </c>
      <c r="E836" s="5" t="s">
        <v>72</v>
      </c>
      <c r="F836" s="21" t="n">
        <v>118.200004577637</v>
      </c>
      <c r="G836" s="21" t="n">
        <v>1.18199992179871</v>
      </c>
      <c r="H836" s="22" t="n">
        <f aca="false">F836+G836</f>
        <v>119.382004499436</v>
      </c>
      <c r="I836" s="13" t="n">
        <f aca="false">INDEX(RM_Rates!$F$5:$F$137,MATCH(C836,RM_Rates!$A$5:$A$137,0))</f>
        <v>3.00841188430786</v>
      </c>
      <c r="J836" s="22" t="n">
        <f aca="false">H836*I836</f>
        <v>359.150241108597</v>
      </c>
    </row>
    <row r="837" customFormat="false" ht="15" hidden="false" customHeight="false" outlineLevel="0" collapsed="false">
      <c r="A837" s="5" t="s">
        <v>560</v>
      </c>
      <c r="B837" s="2" t="s">
        <v>700</v>
      </c>
      <c r="C837" s="5" t="s">
        <v>220</v>
      </c>
      <c r="D837" s="5" t="s">
        <v>221</v>
      </c>
      <c r="E837" s="5" t="s">
        <v>72</v>
      </c>
      <c r="F837" s="21" t="n">
        <v>475.079986572266</v>
      </c>
      <c r="G837" s="21" t="n">
        <v>0</v>
      </c>
      <c r="H837" s="22" t="n">
        <f aca="false">F837+G837</f>
        <v>475.079986572266</v>
      </c>
      <c r="I837" s="13" t="n">
        <f aca="false">INDEX(RM_Rates!$F$5:$F$137,MATCH(C837,RM_Rates!$A$5:$A$137,0))</f>
        <v>0.379036813974381</v>
      </c>
      <c r="J837" s="22" t="n">
        <f aca="false">H837*I837</f>
        <v>180.072804493343</v>
      </c>
    </row>
    <row r="838" customFormat="false" ht="15" hidden="false" customHeight="false" outlineLevel="0" collapsed="false">
      <c r="A838" s="5" t="s">
        <v>560</v>
      </c>
      <c r="B838" s="2" t="s">
        <v>700</v>
      </c>
      <c r="C838" s="5" t="s">
        <v>230</v>
      </c>
      <c r="D838" s="5" t="s">
        <v>231</v>
      </c>
      <c r="E838" s="5" t="s">
        <v>72</v>
      </c>
      <c r="F838" s="21" t="n">
        <v>25</v>
      </c>
      <c r="G838" s="21" t="n">
        <v>0</v>
      </c>
      <c r="H838" s="22" t="n">
        <f aca="false">F838+G838</f>
        <v>25</v>
      </c>
      <c r="I838" s="13" t="n">
        <f aca="false">INDEX(RM_Rates!$F$5:$F$137,MATCH(C838,RM_Rates!$A$5:$A$137,0))</f>
        <v>0.742858171463013</v>
      </c>
      <c r="J838" s="22" t="n">
        <f aca="false">H838*I838</f>
        <v>18.5714542865753</v>
      </c>
    </row>
    <row r="839" customFormat="false" ht="15" hidden="false" customHeight="false" outlineLevel="0" collapsed="false">
      <c r="A839" s="5" t="s">
        <v>560</v>
      </c>
      <c r="B839" s="2" t="s">
        <v>700</v>
      </c>
      <c r="C839" s="5" t="s">
        <v>246</v>
      </c>
      <c r="D839" s="5" t="s">
        <v>247</v>
      </c>
      <c r="E839" s="5" t="s">
        <v>72</v>
      </c>
      <c r="F839" s="21" t="n">
        <v>1270.33996582031</v>
      </c>
      <c r="G839" s="21" t="n">
        <v>3.17600011825562</v>
      </c>
      <c r="H839" s="22" t="n">
        <f aca="false">F839+G839</f>
        <v>1273.51596593857</v>
      </c>
      <c r="I839" s="13" t="n">
        <f aca="false">INDEX(RM_Rates!$F$5:$F$137,MATCH(C839,RM_Rates!$A$5:$A$137,0))</f>
        <v>0.420493960380554</v>
      </c>
      <c r="J839" s="22" t="n">
        <f aca="false">H839*I839</f>
        <v>535.505772125374</v>
      </c>
    </row>
    <row r="840" customFormat="false" ht="15" hidden="false" customHeight="false" outlineLevel="0" collapsed="false">
      <c r="A840" s="5" t="s">
        <v>560</v>
      </c>
      <c r="B840" s="2" t="s">
        <v>700</v>
      </c>
      <c r="C840" s="5" t="s">
        <v>232</v>
      </c>
      <c r="D840" s="5" t="s">
        <v>233</v>
      </c>
      <c r="E840" s="5" t="s">
        <v>72</v>
      </c>
      <c r="F840" s="21" t="n">
        <v>20.325439453125</v>
      </c>
      <c r="G840" s="21" t="n">
        <v>0.0509999990463257</v>
      </c>
      <c r="H840" s="22" t="n">
        <f aca="false">F840+G840</f>
        <v>20.3764394521713</v>
      </c>
      <c r="I840" s="13" t="n">
        <f aca="false">INDEX(RM_Rates!$F$5:$F$137,MATCH(C840,RM_Rates!$A$5:$A$137,0))</f>
        <v>1.45200002193451</v>
      </c>
      <c r="J840" s="22" t="n">
        <f aca="false">H840*I840</f>
        <v>29.5865905315</v>
      </c>
    </row>
    <row r="841" customFormat="false" ht="15" hidden="false" customHeight="false" outlineLevel="0" collapsed="false">
      <c r="A841" s="5" t="s">
        <v>560</v>
      </c>
      <c r="B841" s="2" t="s">
        <v>700</v>
      </c>
      <c r="C841" s="5" t="s">
        <v>275</v>
      </c>
      <c r="D841" s="5" t="s">
        <v>276</v>
      </c>
      <c r="E841" s="5" t="s">
        <v>72</v>
      </c>
      <c r="F841" s="21" t="n">
        <v>2704</v>
      </c>
      <c r="G841" s="21" t="n">
        <v>27.0400009155273</v>
      </c>
      <c r="H841" s="22" t="n">
        <f aca="false">F841+G841</f>
        <v>2731.04000091553</v>
      </c>
      <c r="I841" s="13" t="n">
        <f aca="false">INDEX(RM_Rates!$F$5:$F$137,MATCH(C841,RM_Rates!$A$5:$A$137,0))</f>
        <v>0.367191910743713</v>
      </c>
      <c r="J841" s="22" t="n">
        <f aca="false">H841*I841</f>
        <v>1002.81579625368</v>
      </c>
    </row>
    <row r="842" customFormat="false" ht="15" hidden="false" customHeight="false" outlineLevel="0" collapsed="false">
      <c r="A842" s="5" t="s">
        <v>560</v>
      </c>
      <c r="B842" s="2" t="s">
        <v>700</v>
      </c>
      <c r="C842" s="5" t="s">
        <v>255</v>
      </c>
      <c r="D842" s="5" t="s">
        <v>256</v>
      </c>
      <c r="E842" s="5" t="s">
        <v>166</v>
      </c>
      <c r="F842" s="21" t="n">
        <v>4</v>
      </c>
      <c r="G842" s="21" t="n">
        <v>0</v>
      </c>
      <c r="H842" s="22" t="n">
        <f aca="false">F842+G842</f>
        <v>4</v>
      </c>
      <c r="I842" s="13" t="n">
        <f aca="false">INDEX(RM_Rates!$F$5:$F$137,MATCH(C842,RM_Rates!$A$5:$A$137,0))</f>
        <v>114.500701904297</v>
      </c>
      <c r="J842" s="22" t="n">
        <f aca="false">H842*I842</f>
        <v>458.002807617188</v>
      </c>
    </row>
    <row r="843" customFormat="false" ht="15" hidden="false" customHeight="false" outlineLevel="0" collapsed="false">
      <c r="A843" s="5" t="s">
        <v>560</v>
      </c>
      <c r="B843" s="2" t="s">
        <v>700</v>
      </c>
      <c r="C843" s="5" t="s">
        <v>177</v>
      </c>
      <c r="D843" s="5" t="s">
        <v>178</v>
      </c>
      <c r="E843" s="5" t="s">
        <v>166</v>
      </c>
      <c r="F843" s="21" t="n">
        <v>8</v>
      </c>
      <c r="G843" s="21" t="n">
        <v>0</v>
      </c>
      <c r="H843" s="22" t="n">
        <f aca="false">F843+G843</f>
        <v>8</v>
      </c>
      <c r="I843" s="13" t="n">
        <f aca="false">INDEX(RM_Rates!$F$5:$F$137,MATCH(C843,RM_Rates!$A$5:$A$137,0))</f>
        <v>0.39300000667572</v>
      </c>
      <c r="J843" s="22" t="n">
        <f aca="false">H843*I843</f>
        <v>3.14400005340576</v>
      </c>
    </row>
    <row r="844" customFormat="false" ht="15" hidden="false" customHeight="false" outlineLevel="0" collapsed="false">
      <c r="A844" s="5" t="s">
        <v>560</v>
      </c>
      <c r="B844" s="2" t="s">
        <v>700</v>
      </c>
      <c r="C844" s="5" t="s">
        <v>189</v>
      </c>
      <c r="D844" s="5" t="s">
        <v>190</v>
      </c>
      <c r="E844" s="5" t="s">
        <v>60</v>
      </c>
      <c r="F844" s="21" t="n">
        <v>3.07999992370605</v>
      </c>
      <c r="G844" s="21" t="n">
        <v>0</v>
      </c>
      <c r="H844" s="22" t="n">
        <f aca="false">F844+G844</f>
        <v>3.07999992370605</v>
      </c>
      <c r="I844" s="13" t="n">
        <f aca="false">INDEX(RM_Rates!$F$5:$F$137,MATCH(C844,RM_Rates!$A$5:$A$137,0))</f>
        <v>0.568400025367737</v>
      </c>
      <c r="J844" s="22" t="n">
        <f aca="false">H844*I844</f>
        <v>1.75067203476715</v>
      </c>
    </row>
    <row r="845" customFormat="false" ht="15" hidden="false" customHeight="false" outlineLevel="0" collapsed="false">
      <c r="A845" s="5" t="s">
        <v>560</v>
      </c>
      <c r="B845" s="2" t="s">
        <v>700</v>
      </c>
      <c r="C845" s="5" t="s">
        <v>295</v>
      </c>
      <c r="D845" s="5" t="s">
        <v>296</v>
      </c>
      <c r="E845" s="5" t="s">
        <v>297</v>
      </c>
      <c r="F845" s="21" t="n">
        <v>25.2000007629395</v>
      </c>
      <c r="G845" s="21" t="n">
        <v>0</v>
      </c>
      <c r="H845" s="22" t="n">
        <f aca="false">F845+G845</f>
        <v>25.2000007629395</v>
      </c>
      <c r="I845" s="13" t="n">
        <f aca="false">INDEX(RM_Rates!$F$5:$F$137,MATCH(C845,RM_Rates!$A$5:$A$137,0))</f>
        <v>1.40752077102661</v>
      </c>
      <c r="J845" s="22" t="n">
        <f aca="false">H845*I845</f>
        <v>35.4695245037238</v>
      </c>
    </row>
    <row r="846" customFormat="false" ht="15" hidden="false" customHeight="false" outlineLevel="0" collapsed="false">
      <c r="A846" s="5" t="s">
        <v>562</v>
      </c>
      <c r="B846" s="2" t="s">
        <v>701</v>
      </c>
      <c r="C846" s="5" t="s">
        <v>140</v>
      </c>
      <c r="D846" s="5" t="s">
        <v>141</v>
      </c>
      <c r="E846" s="5" t="s">
        <v>72</v>
      </c>
      <c r="F846" s="21" t="n">
        <v>6240</v>
      </c>
      <c r="G846" s="21" t="n">
        <v>31.1999988555908</v>
      </c>
      <c r="H846" s="22" t="n">
        <f aca="false">F846+G846</f>
        <v>6271.19999885559</v>
      </c>
      <c r="I846" s="13" t="n">
        <f aca="false">INDEX(RM_Rates!$F$5:$F$137,MATCH(C846,RM_Rates!$A$5:$A$137,0))</f>
        <v>1.967828</v>
      </c>
      <c r="J846" s="22" t="n">
        <f aca="false">H846*I846</f>
        <v>12340.642951348</v>
      </c>
    </row>
    <row r="847" customFormat="false" ht="15" hidden="false" customHeight="false" outlineLevel="0" collapsed="false">
      <c r="A847" s="5" t="s">
        <v>562</v>
      </c>
      <c r="B847" s="2" t="s">
        <v>701</v>
      </c>
      <c r="C847" s="5" t="s">
        <v>326</v>
      </c>
      <c r="D847" s="5" t="s">
        <v>327</v>
      </c>
      <c r="E847" s="5" t="s">
        <v>72</v>
      </c>
      <c r="F847" s="21" t="n">
        <v>329.400024414063</v>
      </c>
      <c r="G847" s="21" t="n">
        <v>16.4699993133545</v>
      </c>
      <c r="H847" s="22" t="n">
        <f aca="false">F847+G847</f>
        <v>345.870023727418</v>
      </c>
      <c r="I847" s="13" t="n">
        <f aca="false">INDEX(RM_Rates!$F$5:$F$137,MATCH(C847,RM_Rates!$A$5:$A$137,0))</f>
        <v>0.596000015735626</v>
      </c>
      <c r="J847" s="22" t="n">
        <f aca="false">H847*I847</f>
        <v>206.138539584022</v>
      </c>
    </row>
    <row r="848" customFormat="false" ht="15" hidden="false" customHeight="false" outlineLevel="0" collapsed="false">
      <c r="A848" s="5" t="s">
        <v>562</v>
      </c>
      <c r="B848" s="2" t="s">
        <v>701</v>
      </c>
      <c r="C848" s="5" t="s">
        <v>324</v>
      </c>
      <c r="D848" s="5" t="s">
        <v>325</v>
      </c>
      <c r="E848" s="5" t="s">
        <v>72</v>
      </c>
      <c r="F848" s="21" t="n">
        <v>18.117000579834</v>
      </c>
      <c r="G848" s="21" t="n">
        <v>0.905999958515167</v>
      </c>
      <c r="H848" s="22" t="n">
        <f aca="false">F848+G848</f>
        <v>19.0230005383492</v>
      </c>
      <c r="I848" s="13" t="n">
        <f aca="false">INDEX(RM_Rates!$F$5:$F$137,MATCH(C848,RM_Rates!$A$5:$A$137,0))</f>
        <v>1.35229277610779</v>
      </c>
      <c r="J848" s="22" t="n">
        <f aca="false">H848*I848</f>
        <v>25.7246662079042</v>
      </c>
    </row>
    <row r="849" customFormat="false" ht="15" hidden="false" customHeight="false" outlineLevel="0" collapsed="false">
      <c r="A849" s="5" t="s">
        <v>562</v>
      </c>
      <c r="B849" s="2" t="s">
        <v>701</v>
      </c>
      <c r="C849" s="5" t="s">
        <v>318</v>
      </c>
      <c r="D849" s="5" t="s">
        <v>319</v>
      </c>
      <c r="E849" s="5" t="s">
        <v>72</v>
      </c>
      <c r="F849" s="21" t="n">
        <v>1.64699995517731</v>
      </c>
      <c r="G849" s="21" t="n">
        <v>0.0820000022649765</v>
      </c>
      <c r="H849" s="22" t="n">
        <f aca="false">F849+G849</f>
        <v>1.72899995744229</v>
      </c>
      <c r="I849" s="13" t="n">
        <f aca="false">INDEX(RM_Rates!$F$5:$F$137,MATCH(C849,RM_Rates!$A$5:$A$137,0))</f>
        <v>1.6441433429718</v>
      </c>
      <c r="J849" s="22" t="n">
        <f aca="false">H849*I849</f>
        <v>2.84272377002726</v>
      </c>
    </row>
    <row r="850" customFormat="false" ht="15" hidden="false" customHeight="false" outlineLevel="0" collapsed="false">
      <c r="A850" s="5" t="s">
        <v>562</v>
      </c>
      <c r="B850" s="2" t="s">
        <v>701</v>
      </c>
      <c r="C850" s="5" t="s">
        <v>322</v>
      </c>
      <c r="D850" s="5" t="s">
        <v>323</v>
      </c>
      <c r="E850" s="5" t="s">
        <v>72</v>
      </c>
      <c r="F850" s="21" t="n">
        <v>1.64699995517731</v>
      </c>
      <c r="G850" s="21" t="n">
        <v>0.0820000022649765</v>
      </c>
      <c r="H850" s="22" t="n">
        <f aca="false">F850+G850</f>
        <v>1.72899995744229</v>
      </c>
      <c r="I850" s="13" t="n">
        <f aca="false">INDEX(RM_Rates!$F$5:$F$137,MATCH(C850,RM_Rates!$A$5:$A$137,0))</f>
        <v>1.6441433429718</v>
      </c>
      <c r="J850" s="22" t="n">
        <f aca="false">H850*I850</f>
        <v>2.84272377002726</v>
      </c>
    </row>
    <row r="851" customFormat="false" ht="15" hidden="false" customHeight="false" outlineLevel="0" collapsed="false">
      <c r="A851" s="5" t="s">
        <v>562</v>
      </c>
      <c r="B851" s="2" t="s">
        <v>701</v>
      </c>
      <c r="C851" s="5" t="s">
        <v>316</v>
      </c>
      <c r="D851" s="5" t="s">
        <v>317</v>
      </c>
      <c r="E851" s="5" t="s">
        <v>72</v>
      </c>
      <c r="F851" s="21" t="n">
        <v>1.64699995517731</v>
      </c>
      <c r="G851" s="21" t="n">
        <v>0.0820000022649765</v>
      </c>
      <c r="H851" s="22" t="n">
        <f aca="false">F851+G851</f>
        <v>1.72899995744229</v>
      </c>
      <c r="I851" s="13" t="n">
        <f aca="false">INDEX(RM_Rates!$F$5:$F$137,MATCH(C851,RM_Rates!$A$5:$A$137,0))</f>
        <v>1.6441433429718</v>
      </c>
      <c r="J851" s="22" t="n">
        <f aca="false">H851*I851</f>
        <v>2.84272377002726</v>
      </c>
    </row>
    <row r="852" customFormat="false" ht="15" hidden="false" customHeight="false" outlineLevel="0" collapsed="false">
      <c r="A852" s="5" t="s">
        <v>562</v>
      </c>
      <c r="B852" s="2" t="s">
        <v>701</v>
      </c>
      <c r="C852" s="5" t="s">
        <v>222</v>
      </c>
      <c r="D852" s="5" t="s">
        <v>223</v>
      </c>
      <c r="E852" s="5" t="s">
        <v>72</v>
      </c>
      <c r="F852" s="21" t="n">
        <v>35.5200004577637</v>
      </c>
      <c r="G852" s="21" t="n">
        <v>0</v>
      </c>
      <c r="H852" s="22" t="n">
        <f aca="false">F852+G852</f>
        <v>35.5200004577637</v>
      </c>
      <c r="I852" s="13" t="n">
        <f aca="false">INDEX(RM_Rates!$F$5:$F$137,MATCH(C852,RM_Rates!$A$5:$A$137,0))</f>
        <v>0.379036813974381</v>
      </c>
      <c r="J852" s="22" t="n">
        <f aca="false">H852*I852</f>
        <v>13.4633878058793</v>
      </c>
    </row>
    <row r="853" customFormat="false" ht="15" hidden="false" customHeight="false" outlineLevel="0" collapsed="false">
      <c r="A853" s="5" t="s">
        <v>562</v>
      </c>
      <c r="B853" s="2" t="s">
        <v>701</v>
      </c>
      <c r="C853" s="5" t="s">
        <v>228</v>
      </c>
      <c r="D853" s="5" t="s">
        <v>229</v>
      </c>
      <c r="E853" s="5" t="s">
        <v>72</v>
      </c>
      <c r="F853" s="21" t="n">
        <v>10</v>
      </c>
      <c r="G853" s="21" t="n">
        <v>0</v>
      </c>
      <c r="H853" s="22" t="n">
        <f aca="false">F853+G853</f>
        <v>10</v>
      </c>
      <c r="I853" s="13" t="n">
        <f aca="false">INDEX(RM_Rates!$F$5:$F$137,MATCH(C853,RM_Rates!$A$5:$A$137,0))</f>
        <v>0.742858171463013</v>
      </c>
      <c r="J853" s="22" t="n">
        <f aca="false">H853*I853</f>
        <v>7.42858171463013</v>
      </c>
    </row>
    <row r="854" customFormat="false" ht="15" hidden="false" customHeight="false" outlineLevel="0" collapsed="false">
      <c r="A854" s="5" t="s">
        <v>562</v>
      </c>
      <c r="B854" s="2" t="s">
        <v>701</v>
      </c>
      <c r="C854" s="5" t="s">
        <v>240</v>
      </c>
      <c r="D854" s="5" t="s">
        <v>241</v>
      </c>
      <c r="E854" s="5" t="s">
        <v>72</v>
      </c>
      <c r="F854" s="21" t="n">
        <v>899.099975585938</v>
      </c>
      <c r="G854" s="21" t="n">
        <v>17.9820003509522</v>
      </c>
      <c r="H854" s="22" t="n">
        <f aca="false">F854+G854</f>
        <v>917.08197593689</v>
      </c>
      <c r="I854" s="13" t="n">
        <f aca="false">INDEX(RM_Rates!$F$5:$F$137,MATCH(C854,RM_Rates!$A$5:$A$137,0))</f>
        <v>0.363999992609024</v>
      </c>
      <c r="J854" s="22" t="n">
        <f aca="false">H854*I854</f>
        <v>333.817832462897</v>
      </c>
    </row>
    <row r="855" customFormat="false" ht="15" hidden="false" customHeight="false" outlineLevel="0" collapsed="false">
      <c r="A855" s="5" t="s">
        <v>562</v>
      </c>
      <c r="B855" s="2" t="s">
        <v>701</v>
      </c>
      <c r="C855" s="5" t="s">
        <v>275</v>
      </c>
      <c r="D855" s="5" t="s">
        <v>276</v>
      </c>
      <c r="E855" s="5" t="s">
        <v>72</v>
      </c>
      <c r="F855" s="21" t="n">
        <v>2017.59997558594</v>
      </c>
      <c r="G855" s="21" t="n">
        <v>20.1760005950928</v>
      </c>
      <c r="H855" s="22" t="n">
        <f aca="false">F855+G855</f>
        <v>2037.77597618103</v>
      </c>
      <c r="I855" s="13" t="n">
        <f aca="false">INDEX(RM_Rates!$F$5:$F$137,MATCH(C855,RM_Rates!$A$5:$A$137,0))</f>
        <v>0.367191910743713</v>
      </c>
      <c r="J855" s="22" t="n">
        <f aca="false">H855*I855</f>
        <v>748.254854361548</v>
      </c>
    </row>
    <row r="856" customFormat="false" ht="15" hidden="false" customHeight="false" outlineLevel="0" collapsed="false">
      <c r="A856" s="5" t="s">
        <v>562</v>
      </c>
      <c r="B856" s="2" t="s">
        <v>701</v>
      </c>
      <c r="C856" s="5" t="s">
        <v>287</v>
      </c>
      <c r="D856" s="5" t="s">
        <v>288</v>
      </c>
      <c r="E856" s="5" t="s">
        <v>166</v>
      </c>
      <c r="F856" s="21" t="n">
        <v>4</v>
      </c>
      <c r="G856" s="21" t="n">
        <v>0</v>
      </c>
      <c r="H856" s="22" t="n">
        <f aca="false">F856+G856</f>
        <v>4</v>
      </c>
      <c r="I856" s="13" t="n">
        <f aca="false">INDEX(RM_Rates!$F$5:$F$137,MATCH(C856,RM_Rates!$A$5:$A$137,0))</f>
        <v>57.848518371582</v>
      </c>
      <c r="J856" s="22" t="n">
        <f aca="false">H856*I856</f>
        <v>231.394073486328</v>
      </c>
    </row>
    <row r="857" customFormat="false" ht="15" hidden="false" customHeight="false" outlineLevel="0" collapsed="false">
      <c r="A857" s="5" t="s">
        <v>562</v>
      </c>
      <c r="B857" s="2" t="s">
        <v>701</v>
      </c>
      <c r="C857" s="5" t="s">
        <v>175</v>
      </c>
      <c r="D857" s="5" t="s">
        <v>176</v>
      </c>
      <c r="E857" s="5" t="s">
        <v>166</v>
      </c>
      <c r="F857" s="21" t="n">
        <v>8</v>
      </c>
      <c r="G857" s="21" t="n">
        <v>0</v>
      </c>
      <c r="H857" s="22" t="n">
        <f aca="false">F857+G857</f>
        <v>8</v>
      </c>
      <c r="I857" s="13" t="n">
        <f aca="false">INDEX(RM_Rates!$F$5:$F$137,MATCH(C857,RM_Rates!$A$5:$A$137,0))</f>
        <v>0.39300000667572</v>
      </c>
      <c r="J857" s="22" t="n">
        <f aca="false">H857*I857</f>
        <v>3.14400005340576</v>
      </c>
    </row>
    <row r="858" customFormat="false" ht="15" hidden="false" customHeight="false" outlineLevel="0" collapsed="false">
      <c r="A858" s="5" t="s">
        <v>562</v>
      </c>
      <c r="B858" s="2" t="s">
        <v>701</v>
      </c>
      <c r="C858" s="5" t="s">
        <v>308</v>
      </c>
      <c r="D858" s="5" t="s">
        <v>309</v>
      </c>
      <c r="E858" s="5" t="s">
        <v>297</v>
      </c>
      <c r="F858" s="21" t="n">
        <v>20</v>
      </c>
      <c r="G858" s="21" t="n">
        <v>0</v>
      </c>
      <c r="H858" s="22" t="n">
        <f aca="false">F858+G858</f>
        <v>20</v>
      </c>
      <c r="I858" s="13" t="n">
        <f aca="false">INDEX(RM_Rates!$F$5:$F$137,MATCH(C858,RM_Rates!$A$5:$A$137,0))</f>
        <v>1.40752077102661</v>
      </c>
      <c r="J858" s="22" t="n">
        <f aca="false">H858*I858</f>
        <v>28.1504154205322</v>
      </c>
    </row>
    <row r="859" customFormat="false" ht="15" hidden="false" customHeight="false" outlineLevel="0" collapsed="false">
      <c r="A859" s="5" t="s">
        <v>562</v>
      </c>
      <c r="B859" s="2" t="s">
        <v>701</v>
      </c>
      <c r="C859" s="5" t="s">
        <v>189</v>
      </c>
      <c r="D859" s="5" t="s">
        <v>190</v>
      </c>
      <c r="E859" s="5" t="s">
        <v>60</v>
      </c>
      <c r="F859" s="21" t="n">
        <v>2</v>
      </c>
      <c r="G859" s="21" t="n">
        <v>0</v>
      </c>
      <c r="H859" s="22" t="n">
        <f aca="false">F859+G859</f>
        <v>2</v>
      </c>
      <c r="I859" s="13" t="n">
        <f aca="false">INDEX(RM_Rates!$F$5:$F$137,MATCH(C859,RM_Rates!$A$5:$A$137,0))</f>
        <v>0.568400025367737</v>
      </c>
      <c r="J859" s="22" t="n">
        <f aca="false">H859*I859</f>
        <v>1.13680005073547</v>
      </c>
    </row>
    <row r="860" customFormat="false" ht="15" hidden="false" customHeight="false" outlineLevel="0" collapsed="false">
      <c r="A860" s="5" t="s">
        <v>564</v>
      </c>
      <c r="B860" s="2" t="s">
        <v>702</v>
      </c>
      <c r="C860" s="5" t="s">
        <v>124</v>
      </c>
      <c r="D860" s="5" t="s">
        <v>125</v>
      </c>
      <c r="E860" s="5" t="s">
        <v>72</v>
      </c>
      <c r="F860" s="21" t="n">
        <v>651</v>
      </c>
      <c r="G860" s="21" t="n">
        <v>3.25500011444092</v>
      </c>
      <c r="H860" s="22" t="n">
        <f aca="false">F860+G860</f>
        <v>654.255000114441</v>
      </c>
      <c r="I860" s="13" t="n">
        <f aca="false">INDEX(RM_Rates!$F$5:$F$137,MATCH(C860,RM_Rates!$A$5:$A$137,0))</f>
        <v>1.970916</v>
      </c>
      <c r="J860" s="22" t="n">
        <f aca="false">H860*I860</f>
        <v>1289.48164780555</v>
      </c>
    </row>
    <row r="861" customFormat="false" ht="15" hidden="false" customHeight="false" outlineLevel="0" collapsed="false">
      <c r="A861" s="5" t="s">
        <v>564</v>
      </c>
      <c r="B861" s="2" t="s">
        <v>702</v>
      </c>
      <c r="C861" s="5" t="s">
        <v>326</v>
      </c>
      <c r="D861" s="5" t="s">
        <v>327</v>
      </c>
      <c r="E861" s="5" t="s">
        <v>72</v>
      </c>
      <c r="F861" s="21" t="n">
        <v>59.1000022888184</v>
      </c>
      <c r="G861" s="21" t="n">
        <v>2.95499992370605</v>
      </c>
      <c r="H861" s="22" t="n">
        <f aca="false">F861+G861</f>
        <v>62.0550022125245</v>
      </c>
      <c r="I861" s="13" t="n">
        <f aca="false">INDEX(RM_Rates!$F$5:$F$137,MATCH(C861,RM_Rates!$A$5:$A$137,0))</f>
        <v>0.596000015735626</v>
      </c>
      <c r="J861" s="22" t="n">
        <f aca="false">H861*I861</f>
        <v>36.9847822951389</v>
      </c>
    </row>
    <row r="862" customFormat="false" ht="15" hidden="false" customHeight="false" outlineLevel="0" collapsed="false">
      <c r="A862" s="5" t="s">
        <v>564</v>
      </c>
      <c r="B862" s="2" t="s">
        <v>702</v>
      </c>
      <c r="C862" s="5" t="s">
        <v>324</v>
      </c>
      <c r="D862" s="5" t="s">
        <v>325</v>
      </c>
      <c r="E862" s="5" t="s">
        <v>72</v>
      </c>
      <c r="F862" s="21" t="n">
        <v>3.25050020217896</v>
      </c>
      <c r="G862" s="21" t="n">
        <v>0.162000000476837</v>
      </c>
      <c r="H862" s="22" t="n">
        <f aca="false">F862+G862</f>
        <v>3.4125002026558</v>
      </c>
      <c r="I862" s="13" t="n">
        <f aca="false">INDEX(RM_Rates!$F$5:$F$137,MATCH(C862,RM_Rates!$A$5:$A$137,0))</f>
        <v>1.35229277610779</v>
      </c>
      <c r="J862" s="22" t="n">
        <f aca="false">H862*I862</f>
        <v>4.6146993725178</v>
      </c>
    </row>
    <row r="863" customFormat="false" ht="15" hidden="false" customHeight="false" outlineLevel="0" collapsed="false">
      <c r="A863" s="5" t="s">
        <v>564</v>
      </c>
      <c r="B863" s="2" t="s">
        <v>702</v>
      </c>
      <c r="C863" s="5" t="s">
        <v>318</v>
      </c>
      <c r="D863" s="5" t="s">
        <v>319</v>
      </c>
      <c r="E863" s="5" t="s">
        <v>72</v>
      </c>
      <c r="F863" s="21" t="n">
        <v>0.295500010251999</v>
      </c>
      <c r="G863" s="21" t="n">
        <v>0.0149999996647239</v>
      </c>
      <c r="H863" s="22" t="n">
        <f aca="false">F863+G863</f>
        <v>0.310500009916723</v>
      </c>
      <c r="I863" s="13" t="n">
        <f aca="false">INDEX(RM_Rates!$F$5:$F$137,MATCH(C863,RM_Rates!$A$5:$A$137,0))</f>
        <v>1.6441433429718</v>
      </c>
      <c r="J863" s="22" t="n">
        <f aca="false">H863*I863</f>
        <v>0.510506524297258</v>
      </c>
    </row>
    <row r="864" customFormat="false" ht="15" hidden="false" customHeight="false" outlineLevel="0" collapsed="false">
      <c r="A864" s="5" t="s">
        <v>564</v>
      </c>
      <c r="B864" s="2" t="s">
        <v>702</v>
      </c>
      <c r="C864" s="5" t="s">
        <v>322</v>
      </c>
      <c r="D864" s="5" t="s">
        <v>323</v>
      </c>
      <c r="E864" s="5" t="s">
        <v>72</v>
      </c>
      <c r="F864" s="21" t="n">
        <v>0.295500010251999</v>
      </c>
      <c r="G864" s="21" t="n">
        <v>0.0149999996647239</v>
      </c>
      <c r="H864" s="22" t="n">
        <f aca="false">F864+G864</f>
        <v>0.310500009916723</v>
      </c>
      <c r="I864" s="13" t="n">
        <f aca="false">INDEX(RM_Rates!$F$5:$F$137,MATCH(C864,RM_Rates!$A$5:$A$137,0))</f>
        <v>1.6441433429718</v>
      </c>
      <c r="J864" s="22" t="n">
        <f aca="false">H864*I864</f>
        <v>0.510506524297258</v>
      </c>
    </row>
    <row r="865" customFormat="false" ht="15" hidden="false" customHeight="false" outlineLevel="0" collapsed="false">
      <c r="A865" s="5" t="s">
        <v>564</v>
      </c>
      <c r="B865" s="2" t="s">
        <v>702</v>
      </c>
      <c r="C865" s="5" t="s">
        <v>316</v>
      </c>
      <c r="D865" s="5" t="s">
        <v>317</v>
      </c>
      <c r="E865" s="5" t="s">
        <v>72</v>
      </c>
      <c r="F865" s="21" t="n">
        <v>0.295500010251999</v>
      </c>
      <c r="G865" s="21" t="n">
        <v>0.0149999996647239</v>
      </c>
      <c r="H865" s="22" t="n">
        <f aca="false">F865+G865</f>
        <v>0.310500009916723</v>
      </c>
      <c r="I865" s="13" t="n">
        <f aca="false">INDEX(RM_Rates!$F$5:$F$137,MATCH(C865,RM_Rates!$A$5:$A$137,0))</f>
        <v>1.6441433429718</v>
      </c>
      <c r="J865" s="22" t="n">
        <f aca="false">H865*I865</f>
        <v>0.510506524297258</v>
      </c>
    </row>
    <row r="866" customFormat="false" ht="15" hidden="false" customHeight="false" outlineLevel="0" collapsed="false">
      <c r="A866" s="5" t="s">
        <v>564</v>
      </c>
      <c r="B866" s="2" t="s">
        <v>702</v>
      </c>
      <c r="C866" s="5" t="s">
        <v>218</v>
      </c>
      <c r="D866" s="5" t="s">
        <v>219</v>
      </c>
      <c r="E866" s="5" t="s">
        <v>72</v>
      </c>
      <c r="F866" s="21" t="n">
        <v>8.88000011444092</v>
      </c>
      <c r="G866" s="21" t="n">
        <v>0</v>
      </c>
      <c r="H866" s="22" t="n">
        <f aca="false">F866+G866</f>
        <v>8.88000011444092</v>
      </c>
      <c r="I866" s="13" t="n">
        <f aca="false">INDEX(RM_Rates!$F$5:$F$137,MATCH(C866,RM_Rates!$A$5:$A$137,0))</f>
        <v>0.379036813974381</v>
      </c>
      <c r="J866" s="22" t="n">
        <f aca="false">H866*I866</f>
        <v>3.36584695146983</v>
      </c>
    </row>
    <row r="867" customFormat="false" ht="15" hidden="false" customHeight="false" outlineLevel="0" collapsed="false">
      <c r="A867" s="5" t="s">
        <v>564</v>
      </c>
      <c r="B867" s="2" t="s">
        <v>702</v>
      </c>
      <c r="C867" s="5" t="s">
        <v>224</v>
      </c>
      <c r="D867" s="5" t="s">
        <v>225</v>
      </c>
      <c r="E867" s="5" t="s">
        <v>72</v>
      </c>
      <c r="F867" s="21" t="n">
        <v>3.79999995231628</v>
      </c>
      <c r="G867" s="21" t="n">
        <v>0</v>
      </c>
      <c r="H867" s="22" t="n">
        <f aca="false">F867+G867</f>
        <v>3.79999995231628</v>
      </c>
      <c r="I867" s="13" t="n">
        <f aca="false">INDEX(RM_Rates!$F$5:$F$137,MATCH(C867,RM_Rates!$A$5:$A$137,0))</f>
        <v>0.742858171463013</v>
      </c>
      <c r="J867" s="22" t="n">
        <f aca="false">H867*I867</f>
        <v>2.82286101613721</v>
      </c>
    </row>
    <row r="868" customFormat="false" ht="15" hidden="false" customHeight="false" outlineLevel="0" collapsed="false">
      <c r="A868" s="5" t="s">
        <v>564</v>
      </c>
      <c r="B868" s="2" t="s">
        <v>702</v>
      </c>
      <c r="C868" s="5" t="s">
        <v>240</v>
      </c>
      <c r="D868" s="5" t="s">
        <v>241</v>
      </c>
      <c r="E868" s="5" t="s">
        <v>72</v>
      </c>
      <c r="F868" s="21" t="n">
        <v>233.5</v>
      </c>
      <c r="G868" s="21" t="n">
        <v>4.67000007629395</v>
      </c>
      <c r="H868" s="22" t="n">
        <f aca="false">F868+G868</f>
        <v>238.170000076294</v>
      </c>
      <c r="I868" s="13" t="n">
        <f aca="false">INDEX(RM_Rates!$F$5:$F$137,MATCH(C868,RM_Rates!$A$5:$A$137,0))</f>
        <v>0.363999992609024</v>
      </c>
      <c r="J868" s="22" t="n">
        <f aca="false">H868*I868</f>
        <v>86.6938782674622</v>
      </c>
    </row>
    <row r="869" customFormat="false" ht="15" hidden="false" customHeight="false" outlineLevel="0" collapsed="false">
      <c r="A869" s="5" t="s">
        <v>564</v>
      </c>
      <c r="B869" s="2" t="s">
        <v>702</v>
      </c>
      <c r="C869" s="5" t="s">
        <v>271</v>
      </c>
      <c r="D869" s="5" t="s">
        <v>272</v>
      </c>
      <c r="E869" s="5" t="s">
        <v>72</v>
      </c>
      <c r="F869" s="21" t="n">
        <v>508.799987792969</v>
      </c>
      <c r="G869" s="21" t="n">
        <v>5.08799982070923</v>
      </c>
      <c r="H869" s="22" t="n">
        <f aca="false">F869+G869</f>
        <v>513.887987613678</v>
      </c>
      <c r="I869" s="13" t="n">
        <f aca="false">INDEX(RM_Rates!$F$5:$F$137,MATCH(C869,RM_Rates!$A$5:$A$137,0))</f>
        <v>0.388907551765442</v>
      </c>
      <c r="J869" s="22" t="n">
        <f aca="false">H869*I869</f>
        <v>199.854919144505</v>
      </c>
    </row>
    <row r="870" customFormat="false" ht="15" hidden="false" customHeight="false" outlineLevel="0" collapsed="false">
      <c r="A870" s="5" t="s">
        <v>564</v>
      </c>
      <c r="B870" s="2" t="s">
        <v>702</v>
      </c>
      <c r="C870" s="5" t="s">
        <v>285</v>
      </c>
      <c r="D870" s="5" t="s">
        <v>286</v>
      </c>
      <c r="E870" s="5" t="s">
        <v>166</v>
      </c>
      <c r="F870" s="21" t="n">
        <v>1</v>
      </c>
      <c r="G870" s="21" t="n">
        <v>0</v>
      </c>
      <c r="H870" s="22" t="n">
        <f aca="false">F870+G870</f>
        <v>1</v>
      </c>
      <c r="I870" s="13" t="n">
        <f aca="false">INDEX(RM_Rates!$F$5:$F$137,MATCH(C870,RM_Rates!$A$5:$A$137,0))</f>
        <v>40.09814453125</v>
      </c>
      <c r="J870" s="22" t="n">
        <f aca="false">H870*I870</f>
        <v>40.09814453125</v>
      </c>
    </row>
    <row r="871" customFormat="false" ht="15" hidden="false" customHeight="false" outlineLevel="0" collapsed="false">
      <c r="A871" s="5" t="s">
        <v>564</v>
      </c>
      <c r="B871" s="2" t="s">
        <v>702</v>
      </c>
      <c r="C871" s="5" t="s">
        <v>169</v>
      </c>
      <c r="D871" s="5" t="s">
        <v>170</v>
      </c>
      <c r="E871" s="5" t="s">
        <v>166</v>
      </c>
      <c r="F871" s="21" t="n">
        <v>2</v>
      </c>
      <c r="G871" s="21" t="n">
        <v>0</v>
      </c>
      <c r="H871" s="22" t="n">
        <f aca="false">F871+G871</f>
        <v>2</v>
      </c>
      <c r="I871" s="13" t="n">
        <f aca="false">INDEX(RM_Rates!$F$5:$F$137,MATCH(C871,RM_Rates!$A$5:$A$137,0))</f>
        <v>0.124766282737255</v>
      </c>
      <c r="J871" s="22" t="n">
        <f aca="false">H871*I871</f>
        <v>0.24953256547451</v>
      </c>
    </row>
    <row r="872" customFormat="false" ht="15" hidden="false" customHeight="false" outlineLevel="0" collapsed="false">
      <c r="A872" s="5" t="s">
        <v>564</v>
      </c>
      <c r="B872" s="2" t="s">
        <v>702</v>
      </c>
      <c r="C872" s="5" t="s">
        <v>308</v>
      </c>
      <c r="D872" s="5" t="s">
        <v>309</v>
      </c>
      <c r="E872" s="5" t="s">
        <v>297</v>
      </c>
      <c r="F872" s="21" t="n">
        <v>4.40000009536743</v>
      </c>
      <c r="G872" s="21" t="n">
        <v>0</v>
      </c>
      <c r="H872" s="22" t="n">
        <f aca="false">F872+G872</f>
        <v>4.40000009536743</v>
      </c>
      <c r="I872" s="13" t="n">
        <f aca="false">INDEX(RM_Rates!$F$5:$F$137,MATCH(C872,RM_Rates!$A$5:$A$137,0))</f>
        <v>1.40752077102661</v>
      </c>
      <c r="J872" s="22" t="n">
        <f aca="false">H872*I872</f>
        <v>6.19309152674872</v>
      </c>
    </row>
    <row r="873" customFormat="false" ht="15" hidden="false" customHeight="false" outlineLevel="0" collapsed="false">
      <c r="A873" s="5" t="s">
        <v>564</v>
      </c>
      <c r="B873" s="2" t="s">
        <v>702</v>
      </c>
      <c r="C873" s="5" t="s">
        <v>189</v>
      </c>
      <c r="D873" s="5" t="s">
        <v>190</v>
      </c>
      <c r="E873" s="5" t="s">
        <v>60</v>
      </c>
      <c r="F873" s="21" t="n">
        <v>0.439999997615814</v>
      </c>
      <c r="G873" s="21" t="n">
        <v>0</v>
      </c>
      <c r="H873" s="22" t="n">
        <f aca="false">F873+G873</f>
        <v>0.439999997615814</v>
      </c>
      <c r="I873" s="13" t="n">
        <f aca="false">INDEX(RM_Rates!$F$5:$F$137,MATCH(C873,RM_Rates!$A$5:$A$137,0))</f>
        <v>0.568400025367737</v>
      </c>
      <c r="J873" s="22" t="n">
        <f aca="false">H873*I873</f>
        <v>0.250096009806633</v>
      </c>
    </row>
    <row r="874" customFormat="false" ht="15" hidden="false" customHeight="false" outlineLevel="0" collapsed="false">
      <c r="A874" s="5" t="s">
        <v>566</v>
      </c>
      <c r="B874" s="2" t="s">
        <v>703</v>
      </c>
      <c r="C874" s="5" t="s">
        <v>118</v>
      </c>
      <c r="D874" s="5" t="s">
        <v>119</v>
      </c>
      <c r="E874" s="5" t="s">
        <v>72</v>
      </c>
      <c r="F874" s="21" t="n">
        <v>7830</v>
      </c>
      <c r="G874" s="21" t="n">
        <v>39.1500015258789</v>
      </c>
      <c r="H874" s="22" t="n">
        <f aca="false">F874+G874</f>
        <v>7869.15000152588</v>
      </c>
      <c r="I874" s="13" t="n">
        <f aca="false">INDEX(RM_Rates!$F$5:$F$137,MATCH(C874,RM_Rates!$A$5:$A$137,0))</f>
        <v>1.969372</v>
      </c>
      <c r="J874" s="22" t="n">
        <f aca="false">H874*I874</f>
        <v>15497.283676805</v>
      </c>
    </row>
    <row r="875" customFormat="false" ht="15" hidden="false" customHeight="false" outlineLevel="0" collapsed="false">
      <c r="A875" s="5" t="s">
        <v>566</v>
      </c>
      <c r="B875" s="2" t="s">
        <v>703</v>
      </c>
      <c r="C875" s="5" t="s">
        <v>328</v>
      </c>
      <c r="D875" s="5" t="s">
        <v>329</v>
      </c>
      <c r="E875" s="5" t="s">
        <v>72</v>
      </c>
      <c r="F875" s="21" t="n">
        <v>271.341003417969</v>
      </c>
      <c r="G875" s="21" t="n">
        <v>13.5689992904663</v>
      </c>
      <c r="H875" s="22" t="n">
        <f aca="false">F875+G875</f>
        <v>284.910002708435</v>
      </c>
      <c r="I875" s="13" t="n">
        <f aca="false">INDEX(RM_Rates!$F$5:$F$137,MATCH(C875,RM_Rates!$A$5:$A$137,0))</f>
        <v>0.821246385574341</v>
      </c>
      <c r="J875" s="22" t="n">
        <f aca="false">H875*I875</f>
        <v>233.981309938278</v>
      </c>
    </row>
    <row r="876" customFormat="false" ht="15" hidden="false" customHeight="false" outlineLevel="0" collapsed="false">
      <c r="A876" s="5" t="s">
        <v>566</v>
      </c>
      <c r="B876" s="2" t="s">
        <v>703</v>
      </c>
      <c r="C876" s="5" t="s">
        <v>312</v>
      </c>
      <c r="D876" s="5" t="s">
        <v>313</v>
      </c>
      <c r="E876" s="5" t="s">
        <v>72</v>
      </c>
      <c r="F876" s="21" t="n">
        <v>626.099975585938</v>
      </c>
      <c r="G876" s="21" t="n">
        <v>31.3050003051758</v>
      </c>
      <c r="H876" s="22" t="n">
        <f aca="false">F876+G876</f>
        <v>657.404975891114</v>
      </c>
      <c r="I876" s="13" t="n">
        <f aca="false">INDEX(RM_Rates!$F$5:$F$137,MATCH(C876,RM_Rates!$A$5:$A$137,0))</f>
        <v>0.600000023841858</v>
      </c>
      <c r="J876" s="22" t="n">
        <f aca="false">H876*I876</f>
        <v>394.443001208424</v>
      </c>
    </row>
    <row r="877" customFormat="false" ht="15" hidden="false" customHeight="false" outlineLevel="0" collapsed="false">
      <c r="A877" s="5" t="s">
        <v>566</v>
      </c>
      <c r="B877" s="2" t="s">
        <v>703</v>
      </c>
      <c r="C877" s="5" t="s">
        <v>160</v>
      </c>
      <c r="D877" s="5" t="s">
        <v>161</v>
      </c>
      <c r="E877" s="5" t="s">
        <v>72</v>
      </c>
      <c r="F877" s="21" t="n">
        <v>129.600006103516</v>
      </c>
      <c r="G877" s="21" t="n">
        <v>1.2960000038147</v>
      </c>
      <c r="H877" s="22" t="n">
        <f aca="false">F877+G877</f>
        <v>130.896006107331</v>
      </c>
      <c r="I877" s="13" t="n">
        <f aca="false">INDEX(RM_Rates!$F$5:$F$137,MATCH(C877,RM_Rates!$A$5:$A$137,0))</f>
        <v>3.00841188430786</v>
      </c>
      <c r="J877" s="22" t="n">
        <f aca="false">H877*I877</f>
        <v>393.789100381728</v>
      </c>
    </row>
    <row r="878" customFormat="false" ht="15" hidden="false" customHeight="false" outlineLevel="0" collapsed="false">
      <c r="A878" s="5" t="s">
        <v>566</v>
      </c>
      <c r="B878" s="2" t="s">
        <v>703</v>
      </c>
      <c r="C878" s="5" t="s">
        <v>220</v>
      </c>
      <c r="D878" s="5" t="s">
        <v>221</v>
      </c>
      <c r="E878" s="5" t="s">
        <v>72</v>
      </c>
      <c r="F878" s="21" t="n">
        <v>608.280029296875</v>
      </c>
      <c r="G878" s="21" t="n">
        <v>0</v>
      </c>
      <c r="H878" s="22" t="n">
        <f aca="false">F878+G878</f>
        <v>608.280029296875</v>
      </c>
      <c r="I878" s="13" t="n">
        <f aca="false">INDEX(RM_Rates!$F$5:$F$137,MATCH(C878,RM_Rates!$A$5:$A$137,0))</f>
        <v>0.379036813974381</v>
      </c>
      <c r="J878" s="22" t="n">
        <f aca="false">H878*I878</f>
        <v>230.560524308931</v>
      </c>
    </row>
    <row r="879" customFormat="false" ht="15" hidden="false" customHeight="false" outlineLevel="0" collapsed="false">
      <c r="A879" s="5" t="s">
        <v>566</v>
      </c>
      <c r="B879" s="2" t="s">
        <v>703</v>
      </c>
      <c r="C879" s="5" t="s">
        <v>230</v>
      </c>
      <c r="D879" s="5" t="s">
        <v>231</v>
      </c>
      <c r="E879" s="5" t="s">
        <v>72</v>
      </c>
      <c r="F879" s="21" t="n">
        <v>27.3999996185303</v>
      </c>
      <c r="G879" s="21" t="n">
        <v>0</v>
      </c>
      <c r="H879" s="22" t="n">
        <f aca="false">F879+G879</f>
        <v>27.3999996185303</v>
      </c>
      <c r="I879" s="13" t="n">
        <f aca="false">INDEX(RM_Rates!$F$5:$F$137,MATCH(C879,RM_Rates!$A$5:$A$137,0))</f>
        <v>0.742858171463013</v>
      </c>
      <c r="J879" s="22" t="n">
        <f aca="false">H879*I879</f>
        <v>20.3543136147087</v>
      </c>
    </row>
    <row r="880" customFormat="false" ht="15" hidden="false" customHeight="false" outlineLevel="0" collapsed="false">
      <c r="A880" s="5" t="s">
        <v>566</v>
      </c>
      <c r="B880" s="2" t="s">
        <v>703</v>
      </c>
      <c r="C880" s="5" t="s">
        <v>246</v>
      </c>
      <c r="D880" s="5" t="s">
        <v>247</v>
      </c>
      <c r="E880" s="5" t="s">
        <v>72</v>
      </c>
      <c r="F880" s="21" t="n">
        <v>1538.31994628906</v>
      </c>
      <c r="G880" s="21" t="n">
        <v>3.84599995613098</v>
      </c>
      <c r="H880" s="22" t="n">
        <f aca="false">F880+G880</f>
        <v>1542.16594624519</v>
      </c>
      <c r="I880" s="13" t="n">
        <f aca="false">INDEX(RM_Rates!$F$5:$F$137,MATCH(C880,RM_Rates!$A$5:$A$137,0))</f>
        <v>0.420493960380554</v>
      </c>
      <c r="J880" s="22" t="n">
        <f aca="false">H880*I880</f>
        <v>648.471466300665</v>
      </c>
    </row>
    <row r="881" customFormat="false" ht="15" hidden="false" customHeight="false" outlineLevel="0" collapsed="false">
      <c r="A881" s="5" t="s">
        <v>566</v>
      </c>
      <c r="B881" s="2" t="s">
        <v>703</v>
      </c>
      <c r="C881" s="5" t="s">
        <v>232</v>
      </c>
      <c r="D881" s="5" t="s">
        <v>233</v>
      </c>
      <c r="E881" s="5" t="s">
        <v>72</v>
      </c>
      <c r="F881" s="21" t="n">
        <v>24.6131191253662</v>
      </c>
      <c r="G881" s="21" t="n">
        <v>0.061999998986721</v>
      </c>
      <c r="H881" s="22" t="n">
        <f aca="false">F881+G881</f>
        <v>24.6751191243529</v>
      </c>
      <c r="I881" s="13" t="n">
        <f aca="false">INDEX(RM_Rates!$F$5:$F$137,MATCH(C881,RM_Rates!$A$5:$A$137,0))</f>
        <v>1.45200002193451</v>
      </c>
      <c r="J881" s="22" t="n">
        <f aca="false">H881*I881</f>
        <v>35.8282735097971</v>
      </c>
    </row>
    <row r="882" customFormat="false" ht="15" hidden="false" customHeight="false" outlineLevel="0" collapsed="false">
      <c r="A882" s="5" t="s">
        <v>566</v>
      </c>
      <c r="B882" s="2" t="s">
        <v>703</v>
      </c>
      <c r="C882" s="5" t="s">
        <v>277</v>
      </c>
      <c r="D882" s="5" t="s">
        <v>278</v>
      </c>
      <c r="E882" s="5" t="s">
        <v>72</v>
      </c>
      <c r="F882" s="21" t="n">
        <v>3733</v>
      </c>
      <c r="G882" s="21" t="n">
        <v>37.3300018310547</v>
      </c>
      <c r="H882" s="22" t="n">
        <f aca="false">F882+G882</f>
        <v>3770.33000183105</v>
      </c>
      <c r="I882" s="13" t="n">
        <f aca="false">INDEX(RM_Rates!$F$5:$F$137,MATCH(C882,RM_Rates!$A$5:$A$137,0))</f>
        <v>0.363243609666824</v>
      </c>
      <c r="J882" s="22" t="n">
        <f aca="false">H882*I882</f>
        <v>1369.54827950024</v>
      </c>
    </row>
    <row r="883" customFormat="false" ht="15" hidden="false" customHeight="false" outlineLevel="0" collapsed="false">
      <c r="A883" s="5" t="s">
        <v>566</v>
      </c>
      <c r="B883" s="2" t="s">
        <v>703</v>
      </c>
      <c r="C883" s="5" t="s">
        <v>257</v>
      </c>
      <c r="D883" s="5" t="s">
        <v>258</v>
      </c>
      <c r="E883" s="5" t="s">
        <v>166</v>
      </c>
      <c r="F883" s="21" t="n">
        <v>4</v>
      </c>
      <c r="G883" s="21" t="n">
        <v>0</v>
      </c>
      <c r="H883" s="22" t="n">
        <f aca="false">F883+G883</f>
        <v>4</v>
      </c>
      <c r="I883" s="13" t="n">
        <f aca="false">INDEX(RM_Rates!$F$5:$F$137,MATCH(C883,RM_Rates!$A$5:$A$137,0))</f>
        <v>131.083557128906</v>
      </c>
      <c r="J883" s="22" t="n">
        <f aca="false">H883*I883</f>
        <v>524.334228515624</v>
      </c>
    </row>
    <row r="884" customFormat="false" ht="15" hidden="false" customHeight="false" outlineLevel="0" collapsed="false">
      <c r="A884" s="5" t="s">
        <v>566</v>
      </c>
      <c r="B884" s="2" t="s">
        <v>703</v>
      </c>
      <c r="C884" s="5" t="s">
        <v>177</v>
      </c>
      <c r="D884" s="5" t="s">
        <v>178</v>
      </c>
      <c r="E884" s="5" t="s">
        <v>166</v>
      </c>
      <c r="F884" s="21" t="n">
        <v>8</v>
      </c>
      <c r="G884" s="21" t="n">
        <v>0</v>
      </c>
      <c r="H884" s="22" t="n">
        <f aca="false">F884+G884</f>
        <v>8</v>
      </c>
      <c r="I884" s="13" t="n">
        <f aca="false">INDEX(RM_Rates!$F$5:$F$137,MATCH(C884,RM_Rates!$A$5:$A$137,0))</f>
        <v>0.39300000667572</v>
      </c>
      <c r="J884" s="22" t="n">
        <f aca="false">H884*I884</f>
        <v>3.14400005340576</v>
      </c>
    </row>
    <row r="885" customFormat="false" ht="15" hidden="false" customHeight="false" outlineLevel="0" collapsed="false">
      <c r="A885" s="5" t="s">
        <v>566</v>
      </c>
      <c r="B885" s="2" t="s">
        <v>703</v>
      </c>
      <c r="C885" s="5" t="s">
        <v>189</v>
      </c>
      <c r="D885" s="5" t="s">
        <v>190</v>
      </c>
      <c r="E885" s="5" t="s">
        <v>60</v>
      </c>
      <c r="F885" s="21" t="n">
        <v>3.44000005722046</v>
      </c>
      <c r="G885" s="21" t="n">
        <v>0</v>
      </c>
      <c r="H885" s="22" t="n">
        <f aca="false">F885+G885</f>
        <v>3.44000005722046</v>
      </c>
      <c r="I885" s="13" t="n">
        <f aca="false">INDEX(RM_Rates!$F$5:$F$137,MATCH(C885,RM_Rates!$A$5:$A$137,0))</f>
        <v>0.568400025367737</v>
      </c>
      <c r="J885" s="22" t="n">
        <f aca="false">H885*I885</f>
        <v>1.95529611978913</v>
      </c>
    </row>
    <row r="886" customFormat="false" ht="15" hidden="false" customHeight="false" outlineLevel="0" collapsed="false">
      <c r="A886" s="5" t="s">
        <v>566</v>
      </c>
      <c r="B886" s="2" t="s">
        <v>703</v>
      </c>
      <c r="C886" s="5" t="s">
        <v>298</v>
      </c>
      <c r="D886" s="5" t="s">
        <v>299</v>
      </c>
      <c r="E886" s="5" t="s">
        <v>297</v>
      </c>
      <c r="F886" s="21" t="n">
        <v>25.6000003814697</v>
      </c>
      <c r="G886" s="21" t="n">
        <v>0</v>
      </c>
      <c r="H886" s="22" t="n">
        <f aca="false">F886+G886</f>
        <v>25.6000003814697</v>
      </c>
      <c r="I886" s="13" t="n">
        <f aca="false">INDEX(RM_Rates!$F$5:$F$137,MATCH(C886,RM_Rates!$A$5:$A$137,0))</f>
        <v>1.40752077102661</v>
      </c>
      <c r="J886" s="22" t="n">
        <f aca="false">H886*I886</f>
        <v>36.0325322752077</v>
      </c>
    </row>
    <row r="887" customFormat="false" ht="15" hidden="false" customHeight="false" outlineLevel="0" collapsed="false">
      <c r="A887" s="5" t="s">
        <v>568</v>
      </c>
      <c r="B887" s="2" t="s">
        <v>704</v>
      </c>
      <c r="C887" s="5" t="s">
        <v>142</v>
      </c>
      <c r="D887" s="5" t="s">
        <v>143</v>
      </c>
      <c r="E887" s="5" t="s">
        <v>72</v>
      </c>
      <c r="F887" s="21" t="n">
        <v>7830</v>
      </c>
      <c r="G887" s="21" t="n">
        <v>39.1500015258789</v>
      </c>
      <c r="H887" s="22" t="n">
        <f aca="false">F887+G887</f>
        <v>7869.15000152588</v>
      </c>
      <c r="I887" s="13" t="n">
        <f aca="false">INDEX(RM_Rates!$F$5:$F$137,MATCH(C887,RM_Rates!$A$5:$A$137,0))</f>
        <v>1.969372</v>
      </c>
      <c r="J887" s="22" t="n">
        <f aca="false">H887*I887</f>
        <v>15497.283676805</v>
      </c>
    </row>
    <row r="888" customFormat="false" ht="15" hidden="false" customHeight="false" outlineLevel="0" collapsed="false">
      <c r="A888" s="5" t="s">
        <v>568</v>
      </c>
      <c r="B888" s="2" t="s">
        <v>704</v>
      </c>
      <c r="C888" s="5" t="s">
        <v>326</v>
      </c>
      <c r="D888" s="5" t="s">
        <v>327</v>
      </c>
      <c r="E888" s="5" t="s">
        <v>72</v>
      </c>
      <c r="F888" s="21" t="n">
        <v>387</v>
      </c>
      <c r="G888" s="21" t="n">
        <v>19.3499984741211</v>
      </c>
      <c r="H888" s="22" t="n">
        <f aca="false">F888+G888</f>
        <v>406.349998474121</v>
      </c>
      <c r="I888" s="13" t="n">
        <f aca="false">INDEX(RM_Rates!$F$5:$F$137,MATCH(C888,RM_Rates!$A$5:$A$137,0))</f>
        <v>0.596000015735626</v>
      </c>
      <c r="J888" s="22" t="n">
        <f aca="false">H888*I888</f>
        <v>242.184605484748</v>
      </c>
    </row>
    <row r="889" customFormat="false" ht="15" hidden="false" customHeight="false" outlineLevel="0" collapsed="false">
      <c r="A889" s="5" t="s">
        <v>568</v>
      </c>
      <c r="B889" s="2" t="s">
        <v>704</v>
      </c>
      <c r="C889" s="5" t="s">
        <v>324</v>
      </c>
      <c r="D889" s="5" t="s">
        <v>325</v>
      </c>
      <c r="E889" s="5" t="s">
        <v>72</v>
      </c>
      <c r="F889" s="21" t="n">
        <v>21.2849998474121</v>
      </c>
      <c r="G889" s="21" t="n">
        <v>1.06499993801117</v>
      </c>
      <c r="H889" s="22" t="n">
        <f aca="false">F889+G889</f>
        <v>22.3499997854233</v>
      </c>
      <c r="I889" s="13" t="n">
        <f aca="false">INDEX(RM_Rates!$F$5:$F$137,MATCH(C889,RM_Rates!$A$5:$A$137,0))</f>
        <v>1.35229277610779</v>
      </c>
      <c r="J889" s="22" t="n">
        <f aca="false">H889*I889</f>
        <v>30.2237432558385</v>
      </c>
    </row>
    <row r="890" customFormat="false" ht="15" hidden="false" customHeight="false" outlineLevel="0" collapsed="false">
      <c r="A890" s="5" t="s">
        <v>568</v>
      </c>
      <c r="B890" s="2" t="s">
        <v>704</v>
      </c>
      <c r="C890" s="5" t="s">
        <v>318</v>
      </c>
      <c r="D890" s="5" t="s">
        <v>319</v>
      </c>
      <c r="E890" s="5" t="s">
        <v>72</v>
      </c>
      <c r="F890" s="21" t="n">
        <v>1.93499994277954</v>
      </c>
      <c r="G890" s="21" t="n">
        <v>0.097000002861023</v>
      </c>
      <c r="H890" s="22" t="n">
        <f aca="false">F890+G890</f>
        <v>2.03199994564056</v>
      </c>
      <c r="I890" s="13" t="n">
        <f aca="false">INDEX(RM_Rates!$F$5:$F$137,MATCH(C890,RM_Rates!$A$5:$A$137,0))</f>
        <v>1.6441433429718</v>
      </c>
      <c r="J890" s="22" t="n">
        <f aca="false">H890*I890</f>
        <v>3.34089918354399</v>
      </c>
    </row>
    <row r="891" customFormat="false" ht="15" hidden="false" customHeight="false" outlineLevel="0" collapsed="false">
      <c r="A891" s="5" t="s">
        <v>568</v>
      </c>
      <c r="B891" s="2" t="s">
        <v>704</v>
      </c>
      <c r="C891" s="5" t="s">
        <v>322</v>
      </c>
      <c r="D891" s="5" t="s">
        <v>323</v>
      </c>
      <c r="E891" s="5" t="s">
        <v>72</v>
      </c>
      <c r="F891" s="21" t="n">
        <v>1.93499994277954</v>
      </c>
      <c r="G891" s="21" t="n">
        <v>0.097000002861023</v>
      </c>
      <c r="H891" s="22" t="n">
        <f aca="false">F891+G891</f>
        <v>2.03199994564056</v>
      </c>
      <c r="I891" s="13" t="n">
        <f aca="false">INDEX(RM_Rates!$F$5:$F$137,MATCH(C891,RM_Rates!$A$5:$A$137,0))</f>
        <v>1.6441433429718</v>
      </c>
      <c r="J891" s="22" t="n">
        <f aca="false">H891*I891</f>
        <v>3.34089918354399</v>
      </c>
    </row>
    <row r="892" customFormat="false" ht="15" hidden="false" customHeight="false" outlineLevel="0" collapsed="false">
      <c r="A892" s="5" t="s">
        <v>568</v>
      </c>
      <c r="B892" s="2" t="s">
        <v>704</v>
      </c>
      <c r="C892" s="5" t="s">
        <v>316</v>
      </c>
      <c r="D892" s="5" t="s">
        <v>317</v>
      </c>
      <c r="E892" s="5" t="s">
        <v>72</v>
      </c>
      <c r="F892" s="21" t="n">
        <v>1.93499994277954</v>
      </c>
      <c r="G892" s="21" t="n">
        <v>0.097000002861023</v>
      </c>
      <c r="H892" s="22" t="n">
        <f aca="false">F892+G892</f>
        <v>2.03199994564056</v>
      </c>
      <c r="I892" s="13" t="n">
        <f aca="false">INDEX(RM_Rates!$F$5:$F$137,MATCH(C892,RM_Rates!$A$5:$A$137,0))</f>
        <v>1.6441433429718</v>
      </c>
      <c r="J892" s="22" t="n">
        <f aca="false">H892*I892</f>
        <v>3.34089918354399</v>
      </c>
    </row>
    <row r="893" customFormat="false" ht="15" hidden="false" customHeight="false" outlineLevel="0" collapsed="false">
      <c r="A893" s="5" t="s">
        <v>568</v>
      </c>
      <c r="B893" s="2" t="s">
        <v>704</v>
      </c>
      <c r="C893" s="5" t="s">
        <v>222</v>
      </c>
      <c r="D893" s="5" t="s">
        <v>223</v>
      </c>
      <c r="E893" s="5" t="s">
        <v>72</v>
      </c>
      <c r="F893" s="21" t="n">
        <v>35.5200004577637</v>
      </c>
      <c r="G893" s="21" t="n">
        <v>0</v>
      </c>
      <c r="H893" s="22" t="n">
        <f aca="false">F893+G893</f>
        <v>35.5200004577637</v>
      </c>
      <c r="I893" s="13" t="n">
        <f aca="false">INDEX(RM_Rates!$F$5:$F$137,MATCH(C893,RM_Rates!$A$5:$A$137,0))</f>
        <v>0.379036813974381</v>
      </c>
      <c r="J893" s="22" t="n">
        <f aca="false">H893*I893</f>
        <v>13.4633878058793</v>
      </c>
    </row>
    <row r="894" customFormat="false" ht="15" hidden="false" customHeight="false" outlineLevel="0" collapsed="false">
      <c r="A894" s="5" t="s">
        <v>568</v>
      </c>
      <c r="B894" s="2" t="s">
        <v>704</v>
      </c>
      <c r="C894" s="5" t="s">
        <v>230</v>
      </c>
      <c r="D894" s="5" t="s">
        <v>231</v>
      </c>
      <c r="E894" s="5" t="s">
        <v>72</v>
      </c>
      <c r="F894" s="21" t="n">
        <v>11.3000001907349</v>
      </c>
      <c r="G894" s="21" t="n">
        <v>0</v>
      </c>
      <c r="H894" s="22" t="n">
        <f aca="false">F894+G894</f>
        <v>11.3000001907349</v>
      </c>
      <c r="I894" s="13" t="n">
        <f aca="false">INDEX(RM_Rates!$F$5:$F$137,MATCH(C894,RM_Rates!$A$5:$A$137,0))</f>
        <v>0.742858171463013</v>
      </c>
      <c r="J894" s="22" t="n">
        <f aca="false">H894*I894</f>
        <v>8.39429747922103</v>
      </c>
    </row>
    <row r="895" customFormat="false" ht="15" hidden="false" customHeight="false" outlineLevel="0" collapsed="false">
      <c r="A895" s="5" t="s">
        <v>568</v>
      </c>
      <c r="B895" s="2" t="s">
        <v>704</v>
      </c>
      <c r="C895" s="5" t="s">
        <v>240</v>
      </c>
      <c r="D895" s="5" t="s">
        <v>241</v>
      </c>
      <c r="E895" s="5" t="s">
        <v>72</v>
      </c>
      <c r="F895" s="21" t="n">
        <v>1054.80004882813</v>
      </c>
      <c r="G895" s="21" t="n">
        <v>21.0960006713867</v>
      </c>
      <c r="H895" s="22" t="n">
        <f aca="false">F895+G895</f>
        <v>1075.89604949952</v>
      </c>
      <c r="I895" s="13" t="n">
        <f aca="false">INDEX(RM_Rates!$F$5:$F$137,MATCH(C895,RM_Rates!$A$5:$A$137,0))</f>
        <v>0.363999992609024</v>
      </c>
      <c r="J895" s="22" t="n">
        <f aca="false">H895*I895</f>
        <v>391.626154065902</v>
      </c>
    </row>
    <row r="896" customFormat="false" ht="15" hidden="false" customHeight="false" outlineLevel="0" collapsed="false">
      <c r="A896" s="5" t="s">
        <v>568</v>
      </c>
      <c r="B896" s="2" t="s">
        <v>704</v>
      </c>
      <c r="C896" s="5" t="s">
        <v>275</v>
      </c>
      <c r="D896" s="5" t="s">
        <v>276</v>
      </c>
      <c r="E896" s="5" t="s">
        <v>72</v>
      </c>
      <c r="F896" s="21" t="n">
        <v>2250.39990234375</v>
      </c>
      <c r="G896" s="21" t="n">
        <v>22.503999710083</v>
      </c>
      <c r="H896" s="22" t="n">
        <f aca="false">F896+G896</f>
        <v>2272.90390205383</v>
      </c>
      <c r="I896" s="13" t="n">
        <f aca="false">INDEX(RM_Rates!$F$5:$F$137,MATCH(C896,RM_Rates!$A$5:$A$137,0))</f>
        <v>0.367191910743713</v>
      </c>
      <c r="J896" s="22" t="n">
        <f aca="false">H896*I896</f>
        <v>834.591926731988</v>
      </c>
    </row>
    <row r="897" customFormat="false" ht="15" hidden="false" customHeight="false" outlineLevel="0" collapsed="false">
      <c r="A897" s="5" t="s">
        <v>568</v>
      </c>
      <c r="B897" s="2" t="s">
        <v>704</v>
      </c>
      <c r="C897" s="5" t="s">
        <v>253</v>
      </c>
      <c r="D897" s="5" t="s">
        <v>254</v>
      </c>
      <c r="E897" s="5" t="s">
        <v>166</v>
      </c>
      <c r="F897" s="21" t="n">
        <v>4</v>
      </c>
      <c r="G897" s="21" t="n">
        <v>0</v>
      </c>
      <c r="H897" s="22" t="n">
        <f aca="false">F897+G897</f>
        <v>4</v>
      </c>
      <c r="I897" s="13" t="n">
        <f aca="false">INDEX(RM_Rates!$F$5:$F$137,MATCH(C897,RM_Rates!$A$5:$A$137,0))</f>
        <v>90.4160690307617</v>
      </c>
      <c r="J897" s="22" t="n">
        <f aca="false">H897*I897</f>
        <v>361.664276123047</v>
      </c>
    </row>
    <row r="898" customFormat="false" ht="15" hidden="false" customHeight="false" outlineLevel="0" collapsed="false">
      <c r="A898" s="5" t="s">
        <v>568</v>
      </c>
      <c r="B898" s="2" t="s">
        <v>704</v>
      </c>
      <c r="C898" s="5" t="s">
        <v>175</v>
      </c>
      <c r="D898" s="5" t="s">
        <v>176</v>
      </c>
      <c r="E898" s="5" t="s">
        <v>166</v>
      </c>
      <c r="F898" s="21" t="n">
        <v>8</v>
      </c>
      <c r="G898" s="21" t="n">
        <v>0</v>
      </c>
      <c r="H898" s="22" t="n">
        <f aca="false">F898+G898</f>
        <v>8</v>
      </c>
      <c r="I898" s="13" t="n">
        <f aca="false">INDEX(RM_Rates!$F$5:$F$137,MATCH(C898,RM_Rates!$A$5:$A$137,0))</f>
        <v>0.39300000667572</v>
      </c>
      <c r="J898" s="22" t="n">
        <f aca="false">H898*I898</f>
        <v>3.14400005340576</v>
      </c>
    </row>
    <row r="899" customFormat="false" ht="15" hidden="false" customHeight="false" outlineLevel="0" collapsed="false">
      <c r="A899" s="5" t="s">
        <v>568</v>
      </c>
      <c r="B899" s="2" t="s">
        <v>704</v>
      </c>
      <c r="C899" s="5" t="s">
        <v>310</v>
      </c>
      <c r="D899" s="5" t="s">
        <v>311</v>
      </c>
      <c r="E899" s="5" t="s">
        <v>297</v>
      </c>
      <c r="F899" s="21" t="n">
        <v>22.7999992370605</v>
      </c>
      <c r="G899" s="21" t="n">
        <v>0</v>
      </c>
      <c r="H899" s="22" t="n">
        <f aca="false">F899+G899</f>
        <v>22.7999992370605</v>
      </c>
      <c r="I899" s="13" t="n">
        <f aca="false">INDEX(RM_Rates!$F$5:$F$137,MATCH(C899,RM_Rates!$A$5:$A$137,0))</f>
        <v>1.40752077102661</v>
      </c>
      <c r="J899" s="22" t="n">
        <f aca="false">H899*I899</f>
        <v>32.0914725055535</v>
      </c>
    </row>
    <row r="900" customFormat="false" ht="15" hidden="false" customHeight="false" outlineLevel="0" collapsed="false">
      <c r="A900" s="5" t="s">
        <v>568</v>
      </c>
      <c r="B900" s="2" t="s">
        <v>704</v>
      </c>
      <c r="C900" s="5" t="s">
        <v>189</v>
      </c>
      <c r="D900" s="5" t="s">
        <v>190</v>
      </c>
      <c r="E900" s="5" t="s">
        <v>60</v>
      </c>
      <c r="F900" s="21" t="n">
        <v>2.35999989509583</v>
      </c>
      <c r="G900" s="21" t="n">
        <v>0</v>
      </c>
      <c r="H900" s="22" t="n">
        <f aca="false">F900+G900</f>
        <v>2.35999989509583</v>
      </c>
      <c r="I900" s="13" t="n">
        <f aca="false">INDEX(RM_Rates!$F$5:$F$137,MATCH(C900,RM_Rates!$A$5:$A$137,0))</f>
        <v>0.568400025367737</v>
      </c>
      <c r="J900" s="22" t="n">
        <f aca="false">H900*I900</f>
        <v>1.34142400024033</v>
      </c>
    </row>
    <row r="901" customFormat="false" ht="15" hidden="false" customHeight="false" outlineLevel="0" collapsed="false">
      <c r="A901" s="5" t="s">
        <v>570</v>
      </c>
      <c r="B901" s="2" t="s">
        <v>705</v>
      </c>
      <c r="C901" s="5" t="s">
        <v>98</v>
      </c>
      <c r="D901" s="5" t="s">
        <v>99</v>
      </c>
      <c r="E901" s="5" t="s">
        <v>72</v>
      </c>
      <c r="F901" s="21" t="n">
        <v>906</v>
      </c>
      <c r="G901" s="21" t="n">
        <v>4.52999973297119</v>
      </c>
      <c r="H901" s="22" t="n">
        <f aca="false">F901+G901</f>
        <v>910.529999732971</v>
      </c>
      <c r="I901" s="13" t="n">
        <f aca="false">INDEX(RM_Rates!$F$5:$F$137,MATCH(C901,RM_Rates!$A$5:$A$137,0))</f>
        <v>1.969372</v>
      </c>
      <c r="J901" s="22" t="n">
        <f aca="false">H901*I901</f>
        <v>1793.17228663412</v>
      </c>
    </row>
    <row r="902" customFormat="false" ht="15" hidden="false" customHeight="false" outlineLevel="0" collapsed="false">
      <c r="A902" s="5" t="s">
        <v>570</v>
      </c>
      <c r="B902" s="2" t="s">
        <v>705</v>
      </c>
      <c r="C902" s="5" t="s">
        <v>328</v>
      </c>
      <c r="D902" s="5" t="s">
        <v>329</v>
      </c>
      <c r="E902" s="5" t="s">
        <v>72</v>
      </c>
      <c r="F902" s="21" t="n">
        <v>115.527000427246</v>
      </c>
      <c r="G902" s="21" t="n">
        <v>5.77500009536743</v>
      </c>
      <c r="H902" s="22" t="n">
        <f aca="false">F902+G902</f>
        <v>121.302000522613</v>
      </c>
      <c r="I902" s="13" t="n">
        <f aca="false">INDEX(RM_Rates!$F$5:$F$137,MATCH(C902,RM_Rates!$A$5:$A$137,0))</f>
        <v>0.821246385574341</v>
      </c>
      <c r="J902" s="22" t="n">
        <f aca="false">H902*I902</f>
        <v>99.6188294921331</v>
      </c>
    </row>
    <row r="903" customFormat="false" ht="15" hidden="false" customHeight="false" outlineLevel="0" collapsed="false">
      <c r="A903" s="5" t="s">
        <v>570</v>
      </c>
      <c r="B903" s="2" t="s">
        <v>705</v>
      </c>
      <c r="C903" s="5" t="s">
        <v>312</v>
      </c>
      <c r="D903" s="5" t="s">
        <v>313</v>
      </c>
      <c r="E903" s="5" t="s">
        <v>72</v>
      </c>
      <c r="F903" s="21" t="n">
        <v>239.400009155273</v>
      </c>
      <c r="G903" s="21" t="n">
        <v>11.9700002670288</v>
      </c>
      <c r="H903" s="22" t="n">
        <f aca="false">F903+G903</f>
        <v>251.370009422302</v>
      </c>
      <c r="I903" s="13" t="n">
        <f aca="false">INDEX(RM_Rates!$F$5:$F$137,MATCH(C903,RM_Rates!$A$5:$A$137,0))</f>
        <v>0.600000023841858</v>
      </c>
      <c r="J903" s="22" t="n">
        <f aca="false">H903*I903</f>
        <v>150.822011646509</v>
      </c>
    </row>
    <row r="904" customFormat="false" ht="15" hidden="false" customHeight="false" outlineLevel="0" collapsed="false">
      <c r="A904" s="5" t="s">
        <v>570</v>
      </c>
      <c r="B904" s="2" t="s">
        <v>705</v>
      </c>
      <c r="C904" s="5" t="s">
        <v>158</v>
      </c>
      <c r="D904" s="5" t="s">
        <v>159</v>
      </c>
      <c r="E904" s="5" t="s">
        <v>72</v>
      </c>
      <c r="F904" s="21" t="n">
        <v>64.1999969482422</v>
      </c>
      <c r="G904" s="21" t="n">
        <v>0.642000019550324</v>
      </c>
      <c r="H904" s="22" t="n">
        <f aca="false">F904+G904</f>
        <v>64.8419969677925</v>
      </c>
      <c r="I904" s="13" t="n">
        <f aca="false">INDEX(RM_Rates!$F$5:$F$137,MATCH(C904,RM_Rates!$A$5:$A$137,0))</f>
        <v>3.00841188430786</v>
      </c>
      <c r="J904" s="22" t="n">
        <f aca="false">H904*I904</f>
        <v>195.071434280161</v>
      </c>
    </row>
    <row r="905" customFormat="false" ht="15" hidden="false" customHeight="false" outlineLevel="0" collapsed="false">
      <c r="A905" s="5" t="s">
        <v>570</v>
      </c>
      <c r="B905" s="2" t="s">
        <v>705</v>
      </c>
      <c r="C905" s="5" t="s">
        <v>220</v>
      </c>
      <c r="D905" s="5" t="s">
        <v>221</v>
      </c>
      <c r="E905" s="5" t="s">
        <v>72</v>
      </c>
      <c r="F905" s="21" t="n">
        <v>137.639999389648</v>
      </c>
      <c r="G905" s="21" t="n">
        <v>0</v>
      </c>
      <c r="H905" s="22" t="n">
        <f aca="false">F905+G905</f>
        <v>137.639999389648</v>
      </c>
      <c r="I905" s="13" t="n">
        <f aca="false">INDEX(RM_Rates!$F$5:$F$137,MATCH(C905,RM_Rates!$A$5:$A$137,0))</f>
        <v>0.379036813974381</v>
      </c>
      <c r="J905" s="22" t="n">
        <f aca="false">H905*I905</f>
        <v>52.1706268440879</v>
      </c>
    </row>
    <row r="906" customFormat="false" ht="15" hidden="false" customHeight="false" outlineLevel="0" collapsed="false">
      <c r="A906" s="5" t="s">
        <v>570</v>
      </c>
      <c r="B906" s="2" t="s">
        <v>705</v>
      </c>
      <c r="C906" s="5" t="s">
        <v>228</v>
      </c>
      <c r="D906" s="5" t="s">
        <v>229</v>
      </c>
      <c r="E906" s="5" t="s">
        <v>72</v>
      </c>
      <c r="F906" s="21" t="n">
        <v>13.6999998092651</v>
      </c>
      <c r="G906" s="21" t="n">
        <v>0</v>
      </c>
      <c r="H906" s="22" t="n">
        <f aca="false">F906+G906</f>
        <v>13.6999998092651</v>
      </c>
      <c r="I906" s="13" t="n">
        <f aca="false">INDEX(RM_Rates!$F$5:$F$137,MATCH(C906,RM_Rates!$A$5:$A$137,0))</f>
        <v>0.742858171463013</v>
      </c>
      <c r="J906" s="22" t="n">
        <f aca="false">H906*I906</f>
        <v>10.1771568073543</v>
      </c>
    </row>
    <row r="907" customFormat="false" ht="15" hidden="false" customHeight="false" outlineLevel="0" collapsed="false">
      <c r="A907" s="5" t="s">
        <v>570</v>
      </c>
      <c r="B907" s="2" t="s">
        <v>705</v>
      </c>
      <c r="C907" s="5" t="s">
        <v>240</v>
      </c>
      <c r="D907" s="5" t="s">
        <v>241</v>
      </c>
      <c r="E907" s="5" t="s">
        <v>72</v>
      </c>
      <c r="F907" s="21" t="n">
        <v>155.369995117188</v>
      </c>
      <c r="G907" s="21" t="n">
        <v>0.388000011444092</v>
      </c>
      <c r="H907" s="22" t="n">
        <f aca="false">F907+G907</f>
        <v>155.757995128632</v>
      </c>
      <c r="I907" s="13" t="n">
        <f aca="false">INDEX(RM_Rates!$F$5:$F$137,MATCH(C907,RM_Rates!$A$5:$A$137,0))</f>
        <v>0.363999992609024</v>
      </c>
      <c r="J907" s="22" t="n">
        <f aca="false">H907*I907</f>
        <v>56.6959090756185</v>
      </c>
    </row>
    <row r="908" customFormat="false" ht="15" hidden="false" customHeight="false" outlineLevel="0" collapsed="false">
      <c r="A908" s="5" t="s">
        <v>570</v>
      </c>
      <c r="B908" s="2" t="s">
        <v>705</v>
      </c>
      <c r="C908" s="5" t="s">
        <v>232</v>
      </c>
      <c r="D908" s="5" t="s">
        <v>233</v>
      </c>
      <c r="E908" s="5" t="s">
        <v>72</v>
      </c>
      <c r="F908" s="21" t="n">
        <v>8.27631950378418</v>
      </c>
      <c r="G908" s="21" t="n">
        <v>0.0199999995529652</v>
      </c>
      <c r="H908" s="22" t="n">
        <f aca="false">F908+G908</f>
        <v>8.29631950333715</v>
      </c>
      <c r="I908" s="13" t="n">
        <f aca="false">INDEX(RM_Rates!$F$5:$F$137,MATCH(C908,RM_Rates!$A$5:$A$137,0))</f>
        <v>1.45200002193451</v>
      </c>
      <c r="J908" s="22" t="n">
        <f aca="false">H908*I908</f>
        <v>12.0462561008212</v>
      </c>
    </row>
    <row r="909" customFormat="false" ht="15" hidden="false" customHeight="false" outlineLevel="0" collapsed="false">
      <c r="A909" s="5" t="s">
        <v>570</v>
      </c>
      <c r="B909" s="2" t="s">
        <v>705</v>
      </c>
      <c r="C909" s="5" t="s">
        <v>273</v>
      </c>
      <c r="D909" s="5" t="s">
        <v>274</v>
      </c>
      <c r="E909" s="5" t="s">
        <v>72</v>
      </c>
      <c r="F909" s="21" t="n">
        <v>1202.30004882813</v>
      </c>
      <c r="G909" s="21" t="n">
        <v>12.0229997634888</v>
      </c>
      <c r="H909" s="22" t="n">
        <f aca="false">F909+G909</f>
        <v>1214.32304859162</v>
      </c>
      <c r="I909" s="13" t="n">
        <f aca="false">INDEX(RM_Rates!$F$5:$F$137,MATCH(C909,RM_Rates!$A$5:$A$137,0))</f>
        <v>0.386933386325836</v>
      </c>
      <c r="J909" s="22" t="n">
        <f aca="false">H909*I909</f>
        <v>469.862129285068</v>
      </c>
    </row>
    <row r="910" customFormat="false" ht="15" hidden="false" customHeight="false" outlineLevel="0" collapsed="false">
      <c r="A910" s="5" t="s">
        <v>570</v>
      </c>
      <c r="B910" s="2" t="s">
        <v>705</v>
      </c>
      <c r="C910" s="5" t="s">
        <v>246</v>
      </c>
      <c r="D910" s="5" t="s">
        <v>247</v>
      </c>
      <c r="E910" s="5" t="s">
        <v>72</v>
      </c>
      <c r="F910" s="21" t="n">
        <v>361.899993896484</v>
      </c>
      <c r="G910" s="21" t="n">
        <v>0.904999971389771</v>
      </c>
      <c r="H910" s="22" t="n">
        <f aca="false">F910+G910</f>
        <v>362.804993867874</v>
      </c>
      <c r="I910" s="13" t="n">
        <f aca="false">INDEX(RM_Rates!$F$5:$F$137,MATCH(C910,RM_Rates!$A$5:$A$137,0))</f>
        <v>0.420493960380554</v>
      </c>
      <c r="J910" s="22" t="n">
        <f aca="false">H910*I910</f>
        <v>152.557308717345</v>
      </c>
    </row>
    <row r="911" customFormat="false" ht="15" hidden="false" customHeight="false" outlineLevel="0" collapsed="false">
      <c r="A911" s="5" t="s">
        <v>570</v>
      </c>
      <c r="B911" s="2" t="s">
        <v>705</v>
      </c>
      <c r="C911" s="5" t="s">
        <v>255</v>
      </c>
      <c r="D911" s="5" t="s">
        <v>256</v>
      </c>
      <c r="E911" s="5" t="s">
        <v>166</v>
      </c>
      <c r="F911" s="21" t="n">
        <v>2</v>
      </c>
      <c r="G911" s="21" t="n">
        <v>0</v>
      </c>
      <c r="H911" s="22" t="n">
        <f aca="false">F911+G911</f>
        <v>2</v>
      </c>
      <c r="I911" s="13" t="n">
        <f aca="false">INDEX(RM_Rates!$F$5:$F$137,MATCH(C911,RM_Rates!$A$5:$A$137,0))</f>
        <v>114.500701904297</v>
      </c>
      <c r="J911" s="22" t="n">
        <f aca="false">H911*I911</f>
        <v>229.001403808594</v>
      </c>
    </row>
    <row r="912" customFormat="false" ht="15" hidden="false" customHeight="false" outlineLevel="0" collapsed="false">
      <c r="A912" s="5" t="s">
        <v>570</v>
      </c>
      <c r="B912" s="2" t="s">
        <v>705</v>
      </c>
      <c r="C912" s="5" t="s">
        <v>173</v>
      </c>
      <c r="D912" s="5" t="s">
        <v>174</v>
      </c>
      <c r="E912" s="5" t="s">
        <v>166</v>
      </c>
      <c r="F912" s="21" t="n">
        <v>4</v>
      </c>
      <c r="G912" s="21" t="n">
        <v>0</v>
      </c>
      <c r="H912" s="22" t="n">
        <f aca="false">F912+G912</f>
        <v>4</v>
      </c>
      <c r="I912" s="13" t="n">
        <f aca="false">INDEX(RM_Rates!$F$5:$F$137,MATCH(C912,RM_Rates!$A$5:$A$137,0))</f>
        <v>0.255849838256836</v>
      </c>
      <c r="J912" s="22" t="n">
        <f aca="false">H912*I912</f>
        <v>1.02339935302734</v>
      </c>
    </row>
    <row r="913" customFormat="false" ht="15" hidden="false" customHeight="false" outlineLevel="0" collapsed="false">
      <c r="A913" s="5" t="s">
        <v>570</v>
      </c>
      <c r="B913" s="2" t="s">
        <v>705</v>
      </c>
      <c r="C913" s="5" t="s">
        <v>189</v>
      </c>
      <c r="D913" s="5" t="s">
        <v>190</v>
      </c>
      <c r="E913" s="5" t="s">
        <v>60</v>
      </c>
      <c r="F913" s="21" t="n">
        <v>1.53999996185303</v>
      </c>
      <c r="G913" s="21" t="n">
        <v>0</v>
      </c>
      <c r="H913" s="22" t="n">
        <f aca="false">F913+G913</f>
        <v>1.53999996185303</v>
      </c>
      <c r="I913" s="13" t="n">
        <f aca="false">INDEX(RM_Rates!$F$5:$F$137,MATCH(C913,RM_Rates!$A$5:$A$137,0))</f>
        <v>0.568400025367737</v>
      </c>
      <c r="J913" s="22" t="n">
        <f aca="false">H913*I913</f>
        <v>0.875336017383576</v>
      </c>
    </row>
    <row r="914" customFormat="false" ht="15" hidden="false" customHeight="false" outlineLevel="0" collapsed="false">
      <c r="A914" s="5" t="s">
        <v>570</v>
      </c>
      <c r="B914" s="2" t="s">
        <v>705</v>
      </c>
      <c r="C914" s="5" t="s">
        <v>295</v>
      </c>
      <c r="D914" s="5" t="s">
        <v>296</v>
      </c>
      <c r="E914" s="5" t="s">
        <v>297</v>
      </c>
      <c r="F914" s="21" t="n">
        <v>12.6000003814697</v>
      </c>
      <c r="G914" s="21" t="n">
        <v>0</v>
      </c>
      <c r="H914" s="22" t="n">
        <f aca="false">F914+G914</f>
        <v>12.6000003814697</v>
      </c>
      <c r="I914" s="13" t="n">
        <f aca="false">INDEX(RM_Rates!$F$5:$F$137,MATCH(C914,RM_Rates!$A$5:$A$137,0))</f>
        <v>1.40752077102661</v>
      </c>
      <c r="J914" s="22" t="n">
        <f aca="false">H914*I914</f>
        <v>17.7347622518618</v>
      </c>
    </row>
    <row r="915" customFormat="false" ht="15" hidden="false" customHeight="false" outlineLevel="0" collapsed="false">
      <c r="A915" s="5" t="s">
        <v>572</v>
      </c>
      <c r="B915" s="2" t="s">
        <v>706</v>
      </c>
      <c r="C915" s="5" t="s">
        <v>126</v>
      </c>
      <c r="D915" s="5" t="s">
        <v>127</v>
      </c>
      <c r="E915" s="5" t="s">
        <v>72</v>
      </c>
      <c r="F915" s="21" t="n">
        <v>906</v>
      </c>
      <c r="G915" s="21" t="n">
        <v>4.52999973297119</v>
      </c>
      <c r="H915" s="22" t="n">
        <f aca="false">F915+G915</f>
        <v>910.529999732971</v>
      </c>
      <c r="I915" s="13" t="n">
        <f aca="false">INDEX(RM_Rates!$F$5:$F$137,MATCH(C915,RM_Rates!$A$5:$A$137,0))</f>
        <v>1.969372</v>
      </c>
      <c r="J915" s="22" t="n">
        <f aca="false">H915*I915</f>
        <v>1793.17228663412</v>
      </c>
    </row>
    <row r="916" customFormat="false" ht="15" hidden="false" customHeight="false" outlineLevel="0" collapsed="false">
      <c r="A916" s="5" t="s">
        <v>572</v>
      </c>
      <c r="B916" s="2" t="s">
        <v>706</v>
      </c>
      <c r="C916" s="5" t="s">
        <v>326</v>
      </c>
      <c r="D916" s="5" t="s">
        <v>327</v>
      </c>
      <c r="E916" s="5" t="s">
        <v>72</v>
      </c>
      <c r="F916" s="21" t="n">
        <v>67.8000030517578</v>
      </c>
      <c r="G916" s="21" t="n">
        <v>3.3899998664856</v>
      </c>
      <c r="H916" s="22" t="n">
        <f aca="false">F916+G916</f>
        <v>71.1900029182434</v>
      </c>
      <c r="I916" s="13" t="n">
        <f aca="false">INDEX(RM_Rates!$F$5:$F$137,MATCH(C916,RM_Rates!$A$5:$A$137,0))</f>
        <v>0.596000015735626</v>
      </c>
      <c r="J916" s="22" t="n">
        <f aca="false">H916*I916</f>
        <v>42.4292428594923</v>
      </c>
    </row>
    <row r="917" customFormat="false" ht="15" hidden="false" customHeight="false" outlineLevel="0" collapsed="false">
      <c r="A917" s="5" t="s">
        <v>572</v>
      </c>
      <c r="B917" s="2" t="s">
        <v>706</v>
      </c>
      <c r="C917" s="5" t="s">
        <v>324</v>
      </c>
      <c r="D917" s="5" t="s">
        <v>325</v>
      </c>
      <c r="E917" s="5" t="s">
        <v>72</v>
      </c>
      <c r="F917" s="21" t="n">
        <v>3.72900009155273</v>
      </c>
      <c r="G917" s="21" t="n">
        <v>0.185999989509583</v>
      </c>
      <c r="H917" s="22" t="n">
        <f aca="false">F917+G917</f>
        <v>3.91500008106231</v>
      </c>
      <c r="I917" s="13" t="n">
        <f aca="false">INDEX(RM_Rates!$F$5:$F$137,MATCH(C917,RM_Rates!$A$5:$A$137,0))</f>
        <v>1.35229277610779</v>
      </c>
      <c r="J917" s="22" t="n">
        <f aca="false">H917*I917</f>
        <v>5.29422632808198</v>
      </c>
    </row>
    <row r="918" customFormat="false" ht="15" hidden="false" customHeight="false" outlineLevel="0" collapsed="false">
      <c r="A918" s="5" t="s">
        <v>572</v>
      </c>
      <c r="B918" s="2" t="s">
        <v>706</v>
      </c>
      <c r="C918" s="5" t="s">
        <v>318</v>
      </c>
      <c r="D918" s="5" t="s">
        <v>319</v>
      </c>
      <c r="E918" s="5" t="s">
        <v>72</v>
      </c>
      <c r="F918" s="21" t="n">
        <v>0.33899998664856</v>
      </c>
      <c r="G918" s="21" t="n">
        <v>0.017000000923872</v>
      </c>
      <c r="H918" s="22" t="n">
        <f aca="false">F918+G918</f>
        <v>0.355999987572432</v>
      </c>
      <c r="I918" s="13" t="n">
        <f aca="false">INDEX(RM_Rates!$F$5:$F$137,MATCH(C918,RM_Rates!$A$5:$A$137,0))</f>
        <v>1.6441433429718</v>
      </c>
      <c r="J918" s="22" t="n">
        <f aca="false">H918*I918</f>
        <v>0.585315009665258</v>
      </c>
    </row>
    <row r="919" customFormat="false" ht="15" hidden="false" customHeight="false" outlineLevel="0" collapsed="false">
      <c r="A919" s="5" t="s">
        <v>572</v>
      </c>
      <c r="B919" s="2" t="s">
        <v>706</v>
      </c>
      <c r="C919" s="5" t="s">
        <v>322</v>
      </c>
      <c r="D919" s="5" t="s">
        <v>323</v>
      </c>
      <c r="E919" s="5" t="s">
        <v>72</v>
      </c>
      <c r="F919" s="21" t="n">
        <v>0.33899998664856</v>
      </c>
      <c r="G919" s="21" t="n">
        <v>0.017000000923872</v>
      </c>
      <c r="H919" s="22" t="n">
        <f aca="false">F919+G919</f>
        <v>0.355999987572432</v>
      </c>
      <c r="I919" s="13" t="n">
        <f aca="false">INDEX(RM_Rates!$F$5:$F$137,MATCH(C919,RM_Rates!$A$5:$A$137,0))</f>
        <v>1.6441433429718</v>
      </c>
      <c r="J919" s="22" t="n">
        <f aca="false">H919*I919</f>
        <v>0.585315009665258</v>
      </c>
    </row>
    <row r="920" customFormat="false" ht="15" hidden="false" customHeight="false" outlineLevel="0" collapsed="false">
      <c r="A920" s="5" t="s">
        <v>572</v>
      </c>
      <c r="B920" s="2" t="s">
        <v>706</v>
      </c>
      <c r="C920" s="5" t="s">
        <v>316</v>
      </c>
      <c r="D920" s="5" t="s">
        <v>317</v>
      </c>
      <c r="E920" s="5" t="s">
        <v>72</v>
      </c>
      <c r="F920" s="21" t="n">
        <v>0.33899998664856</v>
      </c>
      <c r="G920" s="21" t="n">
        <v>0.017000000923872</v>
      </c>
      <c r="H920" s="22" t="n">
        <f aca="false">F920+G920</f>
        <v>0.355999987572432</v>
      </c>
      <c r="I920" s="13" t="n">
        <f aca="false">INDEX(RM_Rates!$F$5:$F$137,MATCH(C920,RM_Rates!$A$5:$A$137,0))</f>
        <v>1.6441433429718</v>
      </c>
      <c r="J920" s="22" t="n">
        <f aca="false">H920*I920</f>
        <v>0.585315009665258</v>
      </c>
    </row>
    <row r="921" customFormat="false" ht="15" hidden="false" customHeight="false" outlineLevel="0" collapsed="false">
      <c r="A921" s="5" t="s">
        <v>572</v>
      </c>
      <c r="B921" s="2" t="s">
        <v>706</v>
      </c>
      <c r="C921" s="5" t="s">
        <v>222</v>
      </c>
      <c r="D921" s="5" t="s">
        <v>223</v>
      </c>
      <c r="E921" s="5" t="s">
        <v>72</v>
      </c>
      <c r="F921" s="21" t="n">
        <v>17.7600002288818</v>
      </c>
      <c r="G921" s="21" t="n">
        <v>0</v>
      </c>
      <c r="H921" s="22" t="n">
        <f aca="false">F921+G921</f>
        <v>17.7600002288818</v>
      </c>
      <c r="I921" s="13" t="n">
        <f aca="false">INDEX(RM_Rates!$F$5:$F$137,MATCH(C921,RM_Rates!$A$5:$A$137,0))</f>
        <v>0.379036813974381</v>
      </c>
      <c r="J921" s="22" t="n">
        <f aca="false">H921*I921</f>
        <v>6.73169390293964</v>
      </c>
    </row>
    <row r="922" customFormat="false" ht="15" hidden="false" customHeight="false" outlineLevel="0" collapsed="false">
      <c r="A922" s="5" t="s">
        <v>572</v>
      </c>
      <c r="B922" s="2" t="s">
        <v>706</v>
      </c>
      <c r="C922" s="5" t="s">
        <v>224</v>
      </c>
      <c r="D922" s="5" t="s">
        <v>225</v>
      </c>
      <c r="E922" s="5" t="s">
        <v>72</v>
      </c>
      <c r="F922" s="21" t="n">
        <v>4.09999990463257</v>
      </c>
      <c r="G922" s="21" t="n">
        <v>0</v>
      </c>
      <c r="H922" s="22" t="n">
        <f aca="false">F922+G922</f>
        <v>4.09999990463257</v>
      </c>
      <c r="I922" s="13" t="n">
        <f aca="false">INDEX(RM_Rates!$F$5:$F$137,MATCH(C922,RM_Rates!$A$5:$A$137,0))</f>
        <v>0.742858171463013</v>
      </c>
      <c r="J922" s="22" t="n">
        <f aca="false">H922*I922</f>
        <v>3.04571843215388</v>
      </c>
    </row>
    <row r="923" customFormat="false" ht="15" hidden="false" customHeight="false" outlineLevel="0" collapsed="false">
      <c r="A923" s="5" t="s">
        <v>572</v>
      </c>
      <c r="B923" s="2" t="s">
        <v>706</v>
      </c>
      <c r="C923" s="5" t="s">
        <v>240</v>
      </c>
      <c r="D923" s="5" t="s">
        <v>241</v>
      </c>
      <c r="E923" s="5" t="s">
        <v>72</v>
      </c>
      <c r="F923" s="21" t="n">
        <v>251.200012207031</v>
      </c>
      <c r="G923" s="21" t="n">
        <v>5.02400016784668</v>
      </c>
      <c r="H923" s="22" t="n">
        <f aca="false">F923+G923</f>
        <v>256.224012374878</v>
      </c>
      <c r="I923" s="13" t="n">
        <f aca="false">INDEX(RM_Rates!$F$5:$F$137,MATCH(C923,RM_Rates!$A$5:$A$137,0))</f>
        <v>0.363999992609024</v>
      </c>
      <c r="J923" s="22" t="n">
        <f aca="false">H923*I923</f>
        <v>93.26553861071</v>
      </c>
    </row>
    <row r="924" customFormat="false" ht="15" hidden="false" customHeight="false" outlineLevel="0" collapsed="false">
      <c r="A924" s="5" t="s">
        <v>572</v>
      </c>
      <c r="B924" s="2" t="s">
        <v>706</v>
      </c>
      <c r="C924" s="5" t="s">
        <v>271</v>
      </c>
      <c r="D924" s="5" t="s">
        <v>272</v>
      </c>
      <c r="E924" s="5" t="s">
        <v>72</v>
      </c>
      <c r="F924" s="21" t="n">
        <v>556.5</v>
      </c>
      <c r="G924" s="21" t="n">
        <v>5.56500005722046</v>
      </c>
      <c r="H924" s="22" t="n">
        <f aca="false">F924+G924</f>
        <v>562.065000057221</v>
      </c>
      <c r="I924" s="13" t="n">
        <f aca="false">INDEX(RM_Rates!$F$5:$F$137,MATCH(C924,RM_Rates!$A$5:$A$137,0))</f>
        <v>0.388907551765442</v>
      </c>
      <c r="J924" s="22" t="n">
        <f aca="false">H924*I924</f>
        <v>218.591323105297</v>
      </c>
    </row>
    <row r="925" customFormat="false" ht="15" hidden="false" customHeight="false" outlineLevel="0" collapsed="false">
      <c r="A925" s="5" t="s">
        <v>572</v>
      </c>
      <c r="B925" s="2" t="s">
        <v>706</v>
      </c>
      <c r="C925" s="5" t="s">
        <v>285</v>
      </c>
      <c r="D925" s="5" t="s">
        <v>286</v>
      </c>
      <c r="E925" s="5" t="s">
        <v>166</v>
      </c>
      <c r="F925" s="21" t="n">
        <v>1</v>
      </c>
      <c r="G925" s="21" t="n">
        <v>0</v>
      </c>
      <c r="H925" s="22" t="n">
        <f aca="false">F925+G925</f>
        <v>1</v>
      </c>
      <c r="I925" s="13" t="n">
        <f aca="false">INDEX(RM_Rates!$F$5:$F$137,MATCH(C925,RM_Rates!$A$5:$A$137,0))</f>
        <v>40.09814453125</v>
      </c>
      <c r="J925" s="22" t="n">
        <f aca="false">H925*I925</f>
        <v>40.09814453125</v>
      </c>
    </row>
    <row r="926" customFormat="false" ht="15" hidden="false" customHeight="false" outlineLevel="0" collapsed="false">
      <c r="A926" s="5" t="s">
        <v>572</v>
      </c>
      <c r="B926" s="2" t="s">
        <v>706</v>
      </c>
      <c r="C926" s="5" t="s">
        <v>169</v>
      </c>
      <c r="D926" s="5" t="s">
        <v>170</v>
      </c>
      <c r="E926" s="5" t="s">
        <v>166</v>
      </c>
      <c r="F926" s="21" t="n">
        <v>2</v>
      </c>
      <c r="G926" s="21" t="n">
        <v>0</v>
      </c>
      <c r="H926" s="22" t="n">
        <f aca="false">F926+G926</f>
        <v>2</v>
      </c>
      <c r="I926" s="13" t="n">
        <f aca="false">INDEX(RM_Rates!$F$5:$F$137,MATCH(C926,RM_Rates!$A$5:$A$137,0))</f>
        <v>0.124766282737255</v>
      </c>
      <c r="J926" s="22" t="n">
        <f aca="false">H926*I926</f>
        <v>0.24953256547451</v>
      </c>
    </row>
    <row r="927" customFormat="false" ht="15" hidden="false" customHeight="false" outlineLevel="0" collapsed="false">
      <c r="A927" s="5" t="s">
        <v>572</v>
      </c>
      <c r="B927" s="2" t="s">
        <v>706</v>
      </c>
      <c r="C927" s="5" t="s">
        <v>308</v>
      </c>
      <c r="D927" s="5" t="s">
        <v>309</v>
      </c>
      <c r="E927" s="5" t="s">
        <v>297</v>
      </c>
      <c r="F927" s="21" t="n">
        <v>4.40000009536743</v>
      </c>
      <c r="G927" s="21" t="n">
        <v>0</v>
      </c>
      <c r="H927" s="22" t="n">
        <f aca="false">F927+G927</f>
        <v>4.40000009536743</v>
      </c>
      <c r="I927" s="13" t="n">
        <f aca="false">INDEX(RM_Rates!$F$5:$F$137,MATCH(C927,RM_Rates!$A$5:$A$137,0))</f>
        <v>1.40752077102661</v>
      </c>
      <c r="J927" s="22" t="n">
        <f aca="false">H927*I927</f>
        <v>6.19309152674872</v>
      </c>
    </row>
    <row r="928" customFormat="false" ht="15" hidden="false" customHeight="false" outlineLevel="0" collapsed="false">
      <c r="A928" s="5" t="s">
        <v>572</v>
      </c>
      <c r="B928" s="2" t="s">
        <v>706</v>
      </c>
      <c r="C928" s="5" t="s">
        <v>189</v>
      </c>
      <c r="D928" s="5" t="s">
        <v>190</v>
      </c>
      <c r="E928" s="5" t="s">
        <v>60</v>
      </c>
      <c r="F928" s="21" t="n">
        <v>0.439999997615814</v>
      </c>
      <c r="G928" s="21" t="n">
        <v>0</v>
      </c>
      <c r="H928" s="22" t="n">
        <f aca="false">F928+G928</f>
        <v>0.439999997615814</v>
      </c>
      <c r="I928" s="13" t="n">
        <f aca="false">INDEX(RM_Rates!$F$5:$F$137,MATCH(C928,RM_Rates!$A$5:$A$137,0))</f>
        <v>0.568400025367737</v>
      </c>
      <c r="J928" s="22" t="n">
        <f aca="false">H928*I928</f>
        <v>0.250096009806633</v>
      </c>
    </row>
    <row r="929" customFormat="false" ht="15" hidden="false" customHeight="false" outlineLevel="0" collapsed="false">
      <c r="A929" s="5" t="s">
        <v>574</v>
      </c>
      <c r="B929" s="2" t="s">
        <v>707</v>
      </c>
      <c r="C929" s="5" t="s">
        <v>102</v>
      </c>
      <c r="D929" s="5" t="s">
        <v>103</v>
      </c>
      <c r="E929" s="5" t="s">
        <v>72</v>
      </c>
      <c r="F929" s="21" t="n">
        <v>1227</v>
      </c>
      <c r="G929" s="21" t="n">
        <v>6.13500022888184</v>
      </c>
      <c r="H929" s="22" t="n">
        <f aca="false">F929+G929</f>
        <v>1233.13500022888</v>
      </c>
      <c r="I929" s="13" t="n">
        <f aca="false">INDEX(RM_Rates!$F$5:$F$137,MATCH(C929,RM_Rates!$A$5:$A$137,0))</f>
        <v>1.975162</v>
      </c>
      <c r="J929" s="22" t="n">
        <f aca="false">H929*I929</f>
        <v>2435.64139332208</v>
      </c>
    </row>
    <row r="930" customFormat="false" ht="15" hidden="false" customHeight="false" outlineLevel="0" collapsed="false">
      <c r="A930" s="5" t="s">
        <v>574</v>
      </c>
      <c r="B930" s="2" t="s">
        <v>707</v>
      </c>
      <c r="C930" s="5" t="s">
        <v>328</v>
      </c>
      <c r="D930" s="5" t="s">
        <v>329</v>
      </c>
      <c r="E930" s="5" t="s">
        <v>72</v>
      </c>
      <c r="F930" s="21" t="n">
        <v>183.447006225586</v>
      </c>
      <c r="G930" s="21" t="n">
        <v>9.17399978637695</v>
      </c>
      <c r="H930" s="22" t="n">
        <f aca="false">F930+G930</f>
        <v>192.621006011963</v>
      </c>
      <c r="I930" s="13" t="n">
        <f aca="false">INDEX(RM_Rates!$F$5:$F$137,MATCH(C930,RM_Rates!$A$5:$A$137,0))</f>
        <v>0.821246385574341</v>
      </c>
      <c r="J930" s="22" t="n">
        <f aca="false">H930*I930</f>
        <v>158.189304973018</v>
      </c>
    </row>
    <row r="931" customFormat="false" ht="15" hidden="false" customHeight="false" outlineLevel="0" collapsed="false">
      <c r="A931" s="5" t="s">
        <v>574</v>
      </c>
      <c r="B931" s="2" t="s">
        <v>707</v>
      </c>
      <c r="C931" s="5" t="s">
        <v>312</v>
      </c>
      <c r="D931" s="5" t="s">
        <v>313</v>
      </c>
      <c r="E931" s="5" t="s">
        <v>72</v>
      </c>
      <c r="F931" s="21" t="n">
        <v>571.5</v>
      </c>
      <c r="G931" s="21" t="n">
        <v>28.5749988555908</v>
      </c>
      <c r="H931" s="22" t="n">
        <f aca="false">F931+G931</f>
        <v>600.074998855591</v>
      </c>
      <c r="I931" s="13" t="n">
        <f aca="false">INDEX(RM_Rates!$F$5:$F$137,MATCH(C931,RM_Rates!$A$5:$A$137,0))</f>
        <v>0.600000023841858</v>
      </c>
      <c r="J931" s="22" t="n">
        <f aca="false">H931*I931</f>
        <v>360.045013620257</v>
      </c>
    </row>
    <row r="932" customFormat="false" ht="15" hidden="false" customHeight="false" outlineLevel="0" collapsed="false">
      <c r="A932" s="5" t="s">
        <v>574</v>
      </c>
      <c r="B932" s="2" t="s">
        <v>707</v>
      </c>
      <c r="C932" s="5" t="s">
        <v>158</v>
      </c>
      <c r="D932" s="5" t="s">
        <v>159</v>
      </c>
      <c r="E932" s="5" t="s">
        <v>72</v>
      </c>
      <c r="F932" s="21" t="n">
        <v>90</v>
      </c>
      <c r="G932" s="21" t="n">
        <v>0.900000035762787</v>
      </c>
      <c r="H932" s="22" t="n">
        <f aca="false">F932+G932</f>
        <v>90.9000000357628</v>
      </c>
      <c r="I932" s="13" t="n">
        <f aca="false">INDEX(RM_Rates!$F$5:$F$137,MATCH(C932,RM_Rates!$A$5:$A$137,0))</f>
        <v>3.00841188430786</v>
      </c>
      <c r="J932" s="22" t="n">
        <f aca="false">H932*I932</f>
        <v>273.464640391174</v>
      </c>
    </row>
    <row r="933" customFormat="false" ht="15" hidden="false" customHeight="false" outlineLevel="0" collapsed="false">
      <c r="A933" s="5" t="s">
        <v>574</v>
      </c>
      <c r="B933" s="2" t="s">
        <v>707</v>
      </c>
      <c r="C933" s="5" t="s">
        <v>220</v>
      </c>
      <c r="D933" s="5" t="s">
        <v>221</v>
      </c>
      <c r="E933" s="5" t="s">
        <v>72</v>
      </c>
      <c r="F933" s="21" t="n">
        <v>270.839996337891</v>
      </c>
      <c r="G933" s="21" t="n">
        <v>0</v>
      </c>
      <c r="H933" s="22" t="n">
        <f aca="false">F933+G933</f>
        <v>270.839996337891</v>
      </c>
      <c r="I933" s="13" t="n">
        <f aca="false">INDEX(RM_Rates!$F$5:$F$137,MATCH(C933,RM_Rates!$A$5:$A$137,0))</f>
        <v>0.379036813974381</v>
      </c>
      <c r="J933" s="22" t="n">
        <f aca="false">H933*I933</f>
        <v>102.658329308747</v>
      </c>
    </row>
    <row r="934" customFormat="false" ht="15" hidden="false" customHeight="false" outlineLevel="0" collapsed="false">
      <c r="A934" s="5" t="s">
        <v>574</v>
      </c>
      <c r="B934" s="2" t="s">
        <v>707</v>
      </c>
      <c r="C934" s="5" t="s">
        <v>228</v>
      </c>
      <c r="D934" s="5" t="s">
        <v>229</v>
      </c>
      <c r="E934" s="5" t="s">
        <v>72</v>
      </c>
      <c r="F934" s="21" t="n">
        <v>19.1000003814697</v>
      </c>
      <c r="G934" s="21" t="n">
        <v>0</v>
      </c>
      <c r="H934" s="22" t="n">
        <f aca="false">F934+G934</f>
        <v>19.1000003814697</v>
      </c>
      <c r="I934" s="13" t="n">
        <f aca="false">INDEX(RM_Rates!$F$5:$F$137,MATCH(C934,RM_Rates!$A$5:$A$137,0))</f>
        <v>0.742858171463013</v>
      </c>
      <c r="J934" s="22" t="n">
        <f aca="false">H934*I934</f>
        <v>14.1885913583214</v>
      </c>
    </row>
    <row r="935" customFormat="false" ht="15" hidden="false" customHeight="false" outlineLevel="0" collapsed="false">
      <c r="A935" s="5" t="s">
        <v>574</v>
      </c>
      <c r="B935" s="2" t="s">
        <v>707</v>
      </c>
      <c r="C935" s="5" t="s">
        <v>242</v>
      </c>
      <c r="D935" s="5" t="s">
        <v>243</v>
      </c>
      <c r="E935" s="5" t="s">
        <v>72</v>
      </c>
      <c r="F935" s="21" t="n">
        <v>281.739990234375</v>
      </c>
      <c r="G935" s="21" t="n">
        <v>0.703999996185303</v>
      </c>
      <c r="H935" s="22" t="n">
        <f aca="false">F935+G935</f>
        <v>282.44399023056</v>
      </c>
      <c r="I935" s="13" t="n">
        <f aca="false">INDEX(RM_Rates!$F$5:$F$137,MATCH(C935,RM_Rates!$A$5:$A$137,0))</f>
        <v>0.389023095369339</v>
      </c>
      <c r="J935" s="22" t="n">
        <f aca="false">H935*I935</f>
        <v>109.87723534796</v>
      </c>
    </row>
    <row r="936" customFormat="false" ht="15" hidden="false" customHeight="false" outlineLevel="0" collapsed="false">
      <c r="A936" s="5" t="s">
        <v>574</v>
      </c>
      <c r="B936" s="2" t="s">
        <v>707</v>
      </c>
      <c r="C936" s="5" t="s">
        <v>232</v>
      </c>
      <c r="D936" s="5" t="s">
        <v>233</v>
      </c>
      <c r="E936" s="5" t="s">
        <v>72</v>
      </c>
      <c r="F936" s="21" t="n">
        <v>14.0086402893066</v>
      </c>
      <c r="G936" s="21" t="n">
        <v>0.0350000001490116</v>
      </c>
      <c r="H936" s="22" t="n">
        <f aca="false">F936+G936</f>
        <v>14.0436402894556</v>
      </c>
      <c r="I936" s="13" t="n">
        <f aca="false">INDEX(RM_Rates!$F$5:$F$137,MATCH(C936,RM_Rates!$A$5:$A$137,0))</f>
        <v>1.45200002193451</v>
      </c>
      <c r="J936" s="22" t="n">
        <f aca="false">H936*I936</f>
        <v>20.3913660083299</v>
      </c>
    </row>
    <row r="937" customFormat="false" ht="15" hidden="false" customHeight="false" outlineLevel="0" collapsed="false">
      <c r="A937" s="5" t="s">
        <v>574</v>
      </c>
      <c r="B937" s="2" t="s">
        <v>707</v>
      </c>
      <c r="C937" s="5" t="s">
        <v>275</v>
      </c>
      <c r="D937" s="5" t="s">
        <v>276</v>
      </c>
      <c r="E937" s="5" t="s">
        <v>72</v>
      </c>
      <c r="F937" s="21" t="n">
        <v>2077</v>
      </c>
      <c r="G937" s="21" t="n">
        <v>20.7700004577637</v>
      </c>
      <c r="H937" s="22" t="n">
        <f aca="false">F937+G937</f>
        <v>2097.77000045776</v>
      </c>
      <c r="I937" s="13" t="n">
        <f aca="false">INDEX(RM_Rates!$F$5:$F$137,MATCH(C937,RM_Rates!$A$5:$A$137,0))</f>
        <v>0.367191910743713</v>
      </c>
      <c r="J937" s="22" t="n">
        <f aca="false">H937*I937</f>
        <v>770.284174768926</v>
      </c>
    </row>
    <row r="938" customFormat="false" ht="15" hidden="false" customHeight="false" outlineLevel="0" collapsed="false">
      <c r="A938" s="5" t="s">
        <v>574</v>
      </c>
      <c r="B938" s="2" t="s">
        <v>707</v>
      </c>
      <c r="C938" s="5" t="s">
        <v>246</v>
      </c>
      <c r="D938" s="5" t="s">
        <v>247</v>
      </c>
      <c r="E938" s="5" t="s">
        <v>72</v>
      </c>
      <c r="F938" s="21" t="n">
        <v>593.799987792969</v>
      </c>
      <c r="G938" s="21" t="n">
        <v>1.48500001430511</v>
      </c>
      <c r="H938" s="22" t="n">
        <f aca="false">F938+G938</f>
        <v>595.284987807274</v>
      </c>
      <c r="I938" s="13" t="n">
        <f aca="false">INDEX(RM_Rates!$F$5:$F$137,MATCH(C938,RM_Rates!$A$5:$A$137,0))</f>
        <v>0.420493960380554</v>
      </c>
      <c r="J938" s="22" t="n">
        <f aca="false">H938*I938</f>
        <v>250.31374207817</v>
      </c>
    </row>
    <row r="939" customFormat="false" ht="15" hidden="false" customHeight="false" outlineLevel="0" collapsed="false">
      <c r="A939" s="5" t="s">
        <v>574</v>
      </c>
      <c r="B939" s="2" t="s">
        <v>707</v>
      </c>
      <c r="C939" s="5" t="s">
        <v>255</v>
      </c>
      <c r="D939" s="5" t="s">
        <v>256</v>
      </c>
      <c r="E939" s="5" t="s">
        <v>166</v>
      </c>
      <c r="F939" s="21" t="n">
        <v>2</v>
      </c>
      <c r="G939" s="21" t="n">
        <v>0</v>
      </c>
      <c r="H939" s="22" t="n">
        <f aca="false">F939+G939</f>
        <v>2</v>
      </c>
      <c r="I939" s="13" t="n">
        <f aca="false">INDEX(RM_Rates!$F$5:$F$137,MATCH(C939,RM_Rates!$A$5:$A$137,0))</f>
        <v>114.500701904297</v>
      </c>
      <c r="J939" s="22" t="n">
        <f aca="false">H939*I939</f>
        <v>229.001403808594</v>
      </c>
    </row>
    <row r="940" customFormat="false" ht="15" hidden="false" customHeight="false" outlineLevel="0" collapsed="false">
      <c r="A940" s="5" t="s">
        <v>574</v>
      </c>
      <c r="B940" s="2" t="s">
        <v>707</v>
      </c>
      <c r="C940" s="5" t="s">
        <v>175</v>
      </c>
      <c r="D940" s="5" t="s">
        <v>176</v>
      </c>
      <c r="E940" s="5" t="s">
        <v>166</v>
      </c>
      <c r="F940" s="21" t="n">
        <v>4</v>
      </c>
      <c r="G940" s="21" t="n">
        <v>0</v>
      </c>
      <c r="H940" s="22" t="n">
        <f aca="false">F940+G940</f>
        <v>4</v>
      </c>
      <c r="I940" s="13" t="n">
        <f aca="false">INDEX(RM_Rates!$F$5:$F$137,MATCH(C940,RM_Rates!$A$5:$A$137,0))</f>
        <v>0.39300000667572</v>
      </c>
      <c r="J940" s="22" t="n">
        <f aca="false">H940*I940</f>
        <v>1.57200002670288</v>
      </c>
    </row>
    <row r="941" customFormat="false" ht="15" hidden="false" customHeight="false" outlineLevel="0" collapsed="false">
      <c r="A941" s="5" t="s">
        <v>574</v>
      </c>
      <c r="B941" s="2" t="s">
        <v>707</v>
      </c>
      <c r="C941" s="5" t="s">
        <v>189</v>
      </c>
      <c r="D941" s="5" t="s">
        <v>190</v>
      </c>
      <c r="E941" s="5" t="s">
        <v>60</v>
      </c>
      <c r="F941" s="21" t="n">
        <v>1.53999996185303</v>
      </c>
      <c r="G941" s="21" t="n">
        <v>0</v>
      </c>
      <c r="H941" s="22" t="n">
        <f aca="false">F941+G941</f>
        <v>1.53999996185303</v>
      </c>
      <c r="I941" s="13" t="n">
        <f aca="false">INDEX(RM_Rates!$F$5:$F$137,MATCH(C941,RM_Rates!$A$5:$A$137,0))</f>
        <v>0.568400025367737</v>
      </c>
      <c r="J941" s="22" t="n">
        <f aca="false">H941*I941</f>
        <v>0.875336017383576</v>
      </c>
    </row>
    <row r="942" customFormat="false" ht="15" hidden="false" customHeight="false" outlineLevel="0" collapsed="false">
      <c r="A942" s="5" t="s">
        <v>574</v>
      </c>
      <c r="B942" s="2" t="s">
        <v>707</v>
      </c>
      <c r="C942" s="5" t="s">
        <v>295</v>
      </c>
      <c r="D942" s="5" t="s">
        <v>296</v>
      </c>
      <c r="E942" s="5" t="s">
        <v>297</v>
      </c>
      <c r="F942" s="21" t="n">
        <v>12.6000003814697</v>
      </c>
      <c r="G942" s="21" t="n">
        <v>0</v>
      </c>
      <c r="H942" s="22" t="n">
        <f aca="false">F942+G942</f>
        <v>12.6000003814697</v>
      </c>
      <c r="I942" s="13" t="n">
        <f aca="false">INDEX(RM_Rates!$F$5:$F$137,MATCH(C942,RM_Rates!$A$5:$A$137,0))</f>
        <v>1.40752077102661</v>
      </c>
      <c r="J942" s="22" t="n">
        <f aca="false">H942*I942</f>
        <v>17.7347622518618</v>
      </c>
    </row>
    <row r="943" customFormat="false" ht="15" hidden="false" customHeight="false" outlineLevel="0" collapsed="false">
      <c r="A943" s="5" t="s">
        <v>507</v>
      </c>
      <c r="B943" s="2" t="s">
        <v>708</v>
      </c>
      <c r="C943" s="5" t="s">
        <v>128</v>
      </c>
      <c r="D943" s="5" t="s">
        <v>129</v>
      </c>
      <c r="E943" s="5" t="s">
        <v>72</v>
      </c>
      <c r="F943" s="21" t="n">
        <v>1227</v>
      </c>
      <c r="G943" s="21" t="n">
        <v>6.13500022888184</v>
      </c>
      <c r="H943" s="22" t="n">
        <f aca="false">F943+G943</f>
        <v>1233.13500022888</v>
      </c>
      <c r="I943" s="13" t="n">
        <f aca="false">INDEX(RM_Rates!$F$5:$F$137,MATCH(C943,RM_Rates!$A$5:$A$137,0))</f>
        <v>1.968214</v>
      </c>
      <c r="J943" s="22" t="n">
        <f aca="false">H943*I943</f>
        <v>2427.07357134049</v>
      </c>
    </row>
    <row r="944" customFormat="false" ht="15" hidden="false" customHeight="false" outlineLevel="0" collapsed="false">
      <c r="A944" s="5" t="s">
        <v>507</v>
      </c>
      <c r="B944" s="2" t="s">
        <v>708</v>
      </c>
      <c r="C944" s="5" t="s">
        <v>326</v>
      </c>
      <c r="D944" s="5" t="s">
        <v>327</v>
      </c>
      <c r="E944" s="5" t="s">
        <v>72</v>
      </c>
      <c r="F944" s="21" t="n">
        <v>87.6000061035156</v>
      </c>
      <c r="G944" s="21" t="n">
        <v>4.38000011444092</v>
      </c>
      <c r="H944" s="22" t="n">
        <f aca="false">F944+G944</f>
        <v>91.9800062179565</v>
      </c>
      <c r="I944" s="13" t="n">
        <f aca="false">INDEX(RM_Rates!$F$5:$F$137,MATCH(C944,RM_Rates!$A$5:$A$137,0))</f>
        <v>0.596000015735626</v>
      </c>
      <c r="J944" s="22" t="n">
        <f aca="false">H944*I944</f>
        <v>54.8200851532651</v>
      </c>
    </row>
    <row r="945" customFormat="false" ht="15" hidden="false" customHeight="false" outlineLevel="0" collapsed="false">
      <c r="A945" s="5" t="s">
        <v>507</v>
      </c>
      <c r="B945" s="2" t="s">
        <v>708</v>
      </c>
      <c r="C945" s="5" t="s">
        <v>324</v>
      </c>
      <c r="D945" s="5" t="s">
        <v>325</v>
      </c>
      <c r="E945" s="5" t="s">
        <v>72</v>
      </c>
      <c r="F945" s="21" t="n">
        <v>4.81799983978272</v>
      </c>
      <c r="G945" s="21" t="n">
        <v>0.239999994635582</v>
      </c>
      <c r="H945" s="22" t="n">
        <f aca="false">F945+G945</f>
        <v>5.0579998344183</v>
      </c>
      <c r="I945" s="13" t="n">
        <f aca="false">INDEX(RM_Rates!$F$5:$F$137,MATCH(C945,RM_Rates!$A$5:$A$137,0))</f>
        <v>1.35229277610779</v>
      </c>
      <c r="J945" s="22" t="n">
        <f aca="false">H945*I945</f>
        <v>6.83989663763827</v>
      </c>
    </row>
    <row r="946" customFormat="false" ht="15" hidden="false" customHeight="false" outlineLevel="0" collapsed="false">
      <c r="A946" s="5" t="s">
        <v>507</v>
      </c>
      <c r="B946" s="2" t="s">
        <v>708</v>
      </c>
      <c r="C946" s="5" t="s">
        <v>318</v>
      </c>
      <c r="D946" s="5" t="s">
        <v>319</v>
      </c>
      <c r="E946" s="5" t="s">
        <v>72</v>
      </c>
      <c r="F946" s="21" t="n">
        <v>0.437999993562698</v>
      </c>
      <c r="G946" s="21" t="n">
        <v>0.0219999998807907</v>
      </c>
      <c r="H946" s="22" t="n">
        <f aca="false">F946+G946</f>
        <v>0.459999993443489</v>
      </c>
      <c r="I946" s="13" t="n">
        <f aca="false">INDEX(RM_Rates!$F$5:$F$137,MATCH(C946,RM_Rates!$A$5:$A$137,0))</f>
        <v>1.6441433429718</v>
      </c>
      <c r="J946" s="22" t="n">
        <f aca="false">H946*I946</f>
        <v>0.756305926987184</v>
      </c>
    </row>
    <row r="947" customFormat="false" ht="15" hidden="false" customHeight="false" outlineLevel="0" collapsed="false">
      <c r="A947" s="5" t="s">
        <v>507</v>
      </c>
      <c r="B947" s="2" t="s">
        <v>708</v>
      </c>
      <c r="C947" s="5" t="s">
        <v>322</v>
      </c>
      <c r="D947" s="5" t="s">
        <v>323</v>
      </c>
      <c r="E947" s="5" t="s">
        <v>72</v>
      </c>
      <c r="F947" s="21" t="n">
        <v>0.437999993562698</v>
      </c>
      <c r="G947" s="21" t="n">
        <v>0.0219999998807907</v>
      </c>
      <c r="H947" s="22" t="n">
        <f aca="false">F947+G947</f>
        <v>0.459999993443489</v>
      </c>
      <c r="I947" s="13" t="n">
        <f aca="false">INDEX(RM_Rates!$F$5:$F$137,MATCH(C947,RM_Rates!$A$5:$A$137,0))</f>
        <v>1.6441433429718</v>
      </c>
      <c r="J947" s="22" t="n">
        <f aca="false">H947*I947</f>
        <v>0.756305926987184</v>
      </c>
    </row>
    <row r="948" customFormat="false" ht="15" hidden="false" customHeight="false" outlineLevel="0" collapsed="false">
      <c r="A948" s="5" t="s">
        <v>507</v>
      </c>
      <c r="B948" s="2" t="s">
        <v>708</v>
      </c>
      <c r="C948" s="5" t="s">
        <v>316</v>
      </c>
      <c r="D948" s="5" t="s">
        <v>317</v>
      </c>
      <c r="E948" s="5" t="s">
        <v>72</v>
      </c>
      <c r="F948" s="21" t="n">
        <v>0.437999993562698</v>
      </c>
      <c r="G948" s="21" t="n">
        <v>0.0219999998807907</v>
      </c>
      <c r="H948" s="22" t="n">
        <f aca="false">F948+G948</f>
        <v>0.459999993443489</v>
      </c>
      <c r="I948" s="13" t="n">
        <f aca="false">INDEX(RM_Rates!$F$5:$F$137,MATCH(C948,RM_Rates!$A$5:$A$137,0))</f>
        <v>1.6441433429718</v>
      </c>
      <c r="J948" s="22" t="n">
        <f aca="false">H948*I948</f>
        <v>0.756305926987184</v>
      </c>
    </row>
    <row r="949" customFormat="false" ht="15" hidden="false" customHeight="false" outlineLevel="0" collapsed="false">
      <c r="A949" s="5" t="s">
        <v>507</v>
      </c>
      <c r="B949" s="2" t="s">
        <v>708</v>
      </c>
      <c r="C949" s="5" t="s">
        <v>222</v>
      </c>
      <c r="D949" s="5" t="s">
        <v>223</v>
      </c>
      <c r="E949" s="5" t="s">
        <v>72</v>
      </c>
      <c r="F949" s="21" t="n">
        <v>17.7600002288818</v>
      </c>
      <c r="G949" s="21" t="n">
        <v>0</v>
      </c>
      <c r="H949" s="22" t="n">
        <f aca="false">F949+G949</f>
        <v>17.7600002288818</v>
      </c>
      <c r="I949" s="13" t="n">
        <f aca="false">INDEX(RM_Rates!$F$5:$F$137,MATCH(C949,RM_Rates!$A$5:$A$137,0))</f>
        <v>0.379036813974381</v>
      </c>
      <c r="J949" s="22" t="n">
        <f aca="false">H949*I949</f>
        <v>6.73169390293964</v>
      </c>
    </row>
    <row r="950" customFormat="false" ht="15" hidden="false" customHeight="false" outlineLevel="0" collapsed="false">
      <c r="A950" s="5" t="s">
        <v>507</v>
      </c>
      <c r="B950" s="2" t="s">
        <v>708</v>
      </c>
      <c r="C950" s="5" t="s">
        <v>224</v>
      </c>
      <c r="D950" s="5" t="s">
        <v>225</v>
      </c>
      <c r="E950" s="5" t="s">
        <v>72</v>
      </c>
      <c r="F950" s="21" t="n">
        <v>4.69999980926514</v>
      </c>
      <c r="G950" s="21" t="n">
        <v>0</v>
      </c>
      <c r="H950" s="22" t="n">
        <f aca="false">F950+G950</f>
        <v>4.69999980926514</v>
      </c>
      <c r="I950" s="13" t="n">
        <f aca="false">INDEX(RM_Rates!$F$5:$F$137,MATCH(C950,RM_Rates!$A$5:$A$137,0))</f>
        <v>0.742858171463013</v>
      </c>
      <c r="J950" s="22" t="n">
        <f aca="false">H950*I950</f>
        <v>3.49143326418721</v>
      </c>
    </row>
    <row r="951" customFormat="false" ht="15" hidden="false" customHeight="false" outlineLevel="0" collapsed="false">
      <c r="A951" s="5" t="s">
        <v>507</v>
      </c>
      <c r="B951" s="2" t="s">
        <v>708</v>
      </c>
      <c r="C951" s="5" t="s">
        <v>240</v>
      </c>
      <c r="D951" s="5" t="s">
        <v>241</v>
      </c>
      <c r="E951" s="5" t="s">
        <v>72</v>
      </c>
      <c r="F951" s="21" t="n">
        <v>291.200012207031</v>
      </c>
      <c r="G951" s="21" t="n">
        <v>5.82400035858154</v>
      </c>
      <c r="H951" s="22" t="n">
        <f aca="false">F951+G951</f>
        <v>297.024012565613</v>
      </c>
      <c r="I951" s="13" t="n">
        <f aca="false">INDEX(RM_Rates!$F$5:$F$137,MATCH(C951,RM_Rates!$A$5:$A$137,0))</f>
        <v>0.363999992609024</v>
      </c>
      <c r="J951" s="22" t="n">
        <f aca="false">H951*I951</f>
        <v>108.116738378586</v>
      </c>
    </row>
    <row r="952" customFormat="false" ht="15" hidden="false" customHeight="false" outlineLevel="0" collapsed="false">
      <c r="A952" s="5" t="s">
        <v>507</v>
      </c>
      <c r="B952" s="2" t="s">
        <v>708</v>
      </c>
      <c r="C952" s="5" t="s">
        <v>271</v>
      </c>
      <c r="D952" s="5" t="s">
        <v>272</v>
      </c>
      <c r="E952" s="5" t="s">
        <v>72</v>
      </c>
      <c r="F952" s="21" t="n">
        <v>620.099975585938</v>
      </c>
      <c r="G952" s="21" t="n">
        <v>6.20100021362305</v>
      </c>
      <c r="H952" s="22" t="n">
        <f aca="false">F952+G952</f>
        <v>626.300975799561</v>
      </c>
      <c r="I952" s="13" t="n">
        <f aca="false">INDEX(RM_Rates!$F$5:$F$137,MATCH(C952,RM_Rates!$A$5:$A$137,0))</f>
        <v>0.388907551765442</v>
      </c>
      <c r="J952" s="22" t="n">
        <f aca="false">H952*I952</f>
        <v>243.573179166515</v>
      </c>
    </row>
    <row r="953" customFormat="false" ht="15" hidden="false" customHeight="false" outlineLevel="0" collapsed="false">
      <c r="A953" s="5" t="s">
        <v>507</v>
      </c>
      <c r="B953" s="2" t="s">
        <v>708</v>
      </c>
      <c r="C953" s="5" t="s">
        <v>287</v>
      </c>
      <c r="D953" s="5" t="s">
        <v>288</v>
      </c>
      <c r="E953" s="5" t="s">
        <v>166</v>
      </c>
      <c r="F953" s="21" t="n">
        <v>1</v>
      </c>
      <c r="G953" s="21" t="n">
        <v>0</v>
      </c>
      <c r="H953" s="22" t="n">
        <f aca="false">F953+G953</f>
        <v>1</v>
      </c>
      <c r="I953" s="13" t="n">
        <f aca="false">INDEX(RM_Rates!$F$5:$F$137,MATCH(C953,RM_Rates!$A$5:$A$137,0))</f>
        <v>57.848518371582</v>
      </c>
      <c r="J953" s="22" t="n">
        <f aca="false">H953*I953</f>
        <v>57.848518371582</v>
      </c>
    </row>
    <row r="954" customFormat="false" ht="15" hidden="false" customHeight="false" outlineLevel="0" collapsed="false">
      <c r="A954" s="5" t="s">
        <v>507</v>
      </c>
      <c r="B954" s="2" t="s">
        <v>708</v>
      </c>
      <c r="C954" s="5" t="s">
        <v>171</v>
      </c>
      <c r="D954" s="5" t="s">
        <v>172</v>
      </c>
      <c r="E954" s="5" t="s">
        <v>166</v>
      </c>
      <c r="F954" s="21" t="n">
        <v>2</v>
      </c>
      <c r="G954" s="21" t="n">
        <v>0</v>
      </c>
      <c r="H954" s="22" t="n">
        <f aca="false">F954+G954</f>
        <v>2</v>
      </c>
      <c r="I954" s="13" t="n">
        <f aca="false">INDEX(RM_Rates!$F$5:$F$137,MATCH(C954,RM_Rates!$A$5:$A$137,0))</f>
        <v>0.124766282737255</v>
      </c>
      <c r="J954" s="22" t="n">
        <f aca="false">H954*I954</f>
        <v>0.24953256547451</v>
      </c>
    </row>
    <row r="955" customFormat="false" ht="15" hidden="false" customHeight="false" outlineLevel="0" collapsed="false">
      <c r="A955" s="5" t="s">
        <v>507</v>
      </c>
      <c r="B955" s="2" t="s">
        <v>708</v>
      </c>
      <c r="C955" s="5" t="s">
        <v>308</v>
      </c>
      <c r="D955" s="5" t="s">
        <v>309</v>
      </c>
      <c r="E955" s="5" t="s">
        <v>297</v>
      </c>
      <c r="F955" s="21" t="n">
        <v>5</v>
      </c>
      <c r="G955" s="21" t="n">
        <v>0</v>
      </c>
      <c r="H955" s="22" t="n">
        <f aca="false">F955+G955</f>
        <v>5</v>
      </c>
      <c r="I955" s="13" t="n">
        <f aca="false">INDEX(RM_Rates!$F$5:$F$137,MATCH(C955,RM_Rates!$A$5:$A$137,0))</f>
        <v>1.40752077102661</v>
      </c>
      <c r="J955" s="22" t="n">
        <f aca="false">H955*I955</f>
        <v>7.03760385513305</v>
      </c>
    </row>
    <row r="956" customFormat="false" ht="15" hidden="false" customHeight="false" outlineLevel="0" collapsed="false">
      <c r="A956" s="5" t="s">
        <v>507</v>
      </c>
      <c r="B956" s="2" t="s">
        <v>708</v>
      </c>
      <c r="C956" s="5" t="s">
        <v>189</v>
      </c>
      <c r="D956" s="5" t="s">
        <v>190</v>
      </c>
      <c r="E956" s="5" t="s">
        <v>60</v>
      </c>
      <c r="F956" s="21" t="n">
        <v>0.5</v>
      </c>
      <c r="G956" s="21" t="n">
        <v>0</v>
      </c>
      <c r="H956" s="22" t="n">
        <f aca="false">F956+G956</f>
        <v>0.5</v>
      </c>
      <c r="I956" s="13" t="n">
        <f aca="false">INDEX(RM_Rates!$F$5:$F$137,MATCH(C956,RM_Rates!$A$5:$A$137,0))</f>
        <v>0.568400025367737</v>
      </c>
      <c r="J956" s="22" t="n">
        <f aca="false">H956*I956</f>
        <v>0.284200012683869</v>
      </c>
    </row>
    <row r="957" customFormat="false" ht="15" hidden="false" customHeight="false" outlineLevel="0" collapsed="false">
      <c r="A957" s="5" t="s">
        <v>576</v>
      </c>
      <c r="B957" s="2" t="s">
        <v>709</v>
      </c>
      <c r="C957" s="5" t="s">
        <v>90</v>
      </c>
      <c r="D957" s="5" t="s">
        <v>91</v>
      </c>
      <c r="E957" s="5" t="s">
        <v>72</v>
      </c>
      <c r="F957" s="21" t="n">
        <v>153.299987792969</v>
      </c>
      <c r="G957" s="21" t="n">
        <v>0.76800000667572</v>
      </c>
      <c r="H957" s="22" t="n">
        <f aca="false">F957+G957</f>
        <v>154.067987799645</v>
      </c>
      <c r="I957" s="13" t="n">
        <f aca="false">INDEX(RM_Rates!$F$5:$F$137,MATCH(C957,RM_Rates!$A$5:$A$137,0))</f>
        <v>2.004884</v>
      </c>
      <c r="J957" s="22" t="n">
        <f aca="false">H957*I957</f>
        <v>308.888443651703</v>
      </c>
    </row>
    <row r="958" customFormat="false" ht="15" hidden="false" customHeight="false" outlineLevel="0" collapsed="false">
      <c r="A958" s="5" t="s">
        <v>576</v>
      </c>
      <c r="B958" s="2" t="s">
        <v>709</v>
      </c>
      <c r="C958" s="5" t="s">
        <v>326</v>
      </c>
      <c r="D958" s="5" t="s">
        <v>327</v>
      </c>
      <c r="E958" s="5" t="s">
        <v>72</v>
      </c>
      <c r="F958" s="21" t="n">
        <v>25.5</v>
      </c>
      <c r="G958" s="21" t="n">
        <v>1.27500009536743</v>
      </c>
      <c r="H958" s="22" t="n">
        <f aca="false">F958+G958</f>
        <v>26.7750000953674</v>
      </c>
      <c r="I958" s="13" t="n">
        <f aca="false">INDEX(RM_Rates!$F$5:$F$137,MATCH(C958,RM_Rates!$A$5:$A$137,0))</f>
        <v>0.596000015735626</v>
      </c>
      <c r="J958" s="22" t="n">
        <f aca="false">H958*I958</f>
        <v>15.9579004781604</v>
      </c>
    </row>
    <row r="959" customFormat="false" ht="15" hidden="false" customHeight="false" outlineLevel="0" collapsed="false">
      <c r="A959" s="5" t="s">
        <v>576</v>
      </c>
      <c r="B959" s="2" t="s">
        <v>709</v>
      </c>
      <c r="C959" s="5" t="s">
        <v>324</v>
      </c>
      <c r="D959" s="5" t="s">
        <v>325</v>
      </c>
      <c r="E959" s="5" t="s">
        <v>72</v>
      </c>
      <c r="F959" s="21" t="n">
        <v>1.4025000333786</v>
      </c>
      <c r="G959" s="21" t="n">
        <v>0.0689999982714653</v>
      </c>
      <c r="H959" s="22" t="n">
        <f aca="false">F959+G959</f>
        <v>1.47150003165007</v>
      </c>
      <c r="I959" s="13" t="n">
        <f aca="false">INDEX(RM_Rates!$F$5:$F$137,MATCH(C959,RM_Rates!$A$5:$A$137,0))</f>
        <v>1.35229277610779</v>
      </c>
      <c r="J959" s="22" t="n">
        <f aca="false">H959*I959</f>
        <v>1.98989886284277</v>
      </c>
    </row>
    <row r="960" customFormat="false" ht="15" hidden="false" customHeight="false" outlineLevel="0" collapsed="false">
      <c r="A960" s="5" t="s">
        <v>576</v>
      </c>
      <c r="B960" s="2" t="s">
        <v>709</v>
      </c>
      <c r="C960" s="5" t="s">
        <v>318</v>
      </c>
      <c r="D960" s="5" t="s">
        <v>319</v>
      </c>
      <c r="E960" s="5" t="s">
        <v>72</v>
      </c>
      <c r="F960" s="21" t="n">
        <v>0.127499997615814</v>
      </c>
      <c r="G960" s="21" t="n">
        <v>0.00600000005215406</v>
      </c>
      <c r="H960" s="22" t="n">
        <f aca="false">F960+G960</f>
        <v>0.133499997667968</v>
      </c>
      <c r="I960" s="13" t="n">
        <f aca="false">INDEX(RM_Rates!$F$5:$F$137,MATCH(C960,RM_Rates!$A$5:$A$137,0))</f>
        <v>1.6441433429718</v>
      </c>
      <c r="J960" s="22" t="n">
        <f aca="false">H960*I960</f>
        <v>0.21949313245254</v>
      </c>
    </row>
    <row r="961" customFormat="false" ht="15" hidden="false" customHeight="false" outlineLevel="0" collapsed="false">
      <c r="A961" s="5" t="s">
        <v>576</v>
      </c>
      <c r="B961" s="2" t="s">
        <v>709</v>
      </c>
      <c r="C961" s="5" t="s">
        <v>322</v>
      </c>
      <c r="D961" s="5" t="s">
        <v>323</v>
      </c>
      <c r="E961" s="5" t="s">
        <v>72</v>
      </c>
      <c r="F961" s="21" t="n">
        <v>0.127499997615814</v>
      </c>
      <c r="G961" s="21" t="n">
        <v>0.00600000005215406</v>
      </c>
      <c r="H961" s="22" t="n">
        <f aca="false">F961+G961</f>
        <v>0.133499997667968</v>
      </c>
      <c r="I961" s="13" t="n">
        <f aca="false">INDEX(RM_Rates!$F$5:$F$137,MATCH(C961,RM_Rates!$A$5:$A$137,0))</f>
        <v>1.6441433429718</v>
      </c>
      <c r="J961" s="22" t="n">
        <f aca="false">H961*I961</f>
        <v>0.21949313245254</v>
      </c>
    </row>
    <row r="962" customFormat="false" ht="15" hidden="false" customHeight="false" outlineLevel="0" collapsed="false">
      <c r="A962" s="5" t="s">
        <v>576</v>
      </c>
      <c r="B962" s="2" t="s">
        <v>709</v>
      </c>
      <c r="C962" s="5" t="s">
        <v>316</v>
      </c>
      <c r="D962" s="5" t="s">
        <v>317</v>
      </c>
      <c r="E962" s="5" t="s">
        <v>72</v>
      </c>
      <c r="F962" s="21" t="n">
        <v>0.127499997615814</v>
      </c>
      <c r="G962" s="21" t="n">
        <v>0.00600000005215406</v>
      </c>
      <c r="H962" s="22" t="n">
        <f aca="false">F962+G962</f>
        <v>0.133499997667968</v>
      </c>
      <c r="I962" s="13" t="n">
        <f aca="false">INDEX(RM_Rates!$F$5:$F$137,MATCH(C962,RM_Rates!$A$5:$A$137,0))</f>
        <v>1.6441433429718</v>
      </c>
      <c r="J962" s="22" t="n">
        <f aca="false">H962*I962</f>
        <v>0.21949313245254</v>
      </c>
    </row>
    <row r="963" customFormat="false" ht="15" hidden="false" customHeight="false" outlineLevel="0" collapsed="false">
      <c r="A963" s="5" t="s">
        <v>576</v>
      </c>
      <c r="B963" s="2" t="s">
        <v>709</v>
      </c>
      <c r="C963" s="5" t="s">
        <v>210</v>
      </c>
      <c r="D963" s="5" t="s">
        <v>211</v>
      </c>
      <c r="E963" s="5" t="s">
        <v>72</v>
      </c>
      <c r="F963" s="21" t="n">
        <v>2.34999990463257</v>
      </c>
      <c r="G963" s="21" t="n">
        <v>0</v>
      </c>
      <c r="H963" s="22" t="n">
        <f aca="false">F963+G963</f>
        <v>2.34999990463257</v>
      </c>
      <c r="I963" s="13" t="n">
        <f aca="false">INDEX(RM_Rates!$F$5:$F$137,MATCH(C963,RM_Rates!$A$5:$A$137,0))</f>
        <v>0.750177025794983</v>
      </c>
      <c r="J963" s="22" t="n">
        <f aca="false">H963*I963</f>
        <v>1.76291593907576</v>
      </c>
    </row>
    <row r="964" customFormat="false" ht="15" hidden="false" customHeight="false" outlineLevel="0" collapsed="false">
      <c r="A964" s="5" t="s">
        <v>576</v>
      </c>
      <c r="B964" s="2" t="s">
        <v>709</v>
      </c>
      <c r="C964" s="5" t="s">
        <v>240</v>
      </c>
      <c r="D964" s="5" t="s">
        <v>241</v>
      </c>
      <c r="E964" s="5" t="s">
        <v>72</v>
      </c>
      <c r="F964" s="21" t="n">
        <v>199.199996948242</v>
      </c>
      <c r="G964" s="21" t="n">
        <v>3.98400020599365</v>
      </c>
      <c r="H964" s="22" t="n">
        <f aca="false">F964+G964</f>
        <v>203.183997154236</v>
      </c>
      <c r="I964" s="13" t="n">
        <f aca="false">INDEX(RM_Rates!$F$5:$F$137,MATCH(C964,RM_Rates!$A$5:$A$137,0))</f>
        <v>0.363999992609024</v>
      </c>
      <c r="J964" s="22" t="n">
        <f aca="false">H964*I964</f>
        <v>73.9589734624137</v>
      </c>
    </row>
    <row r="965" customFormat="false" ht="15" hidden="false" customHeight="false" outlineLevel="0" collapsed="false">
      <c r="A965" s="5" t="s">
        <v>576</v>
      </c>
      <c r="B965" s="2" t="s">
        <v>709</v>
      </c>
      <c r="C965" s="5" t="s">
        <v>267</v>
      </c>
      <c r="D965" s="5" t="s">
        <v>268</v>
      </c>
      <c r="E965" s="5" t="s">
        <v>72</v>
      </c>
      <c r="F965" s="21" t="n">
        <v>195</v>
      </c>
      <c r="G965" s="21" t="n">
        <v>1.95000004768372</v>
      </c>
      <c r="H965" s="22" t="n">
        <f aca="false">F965+G965</f>
        <v>196.950000047684</v>
      </c>
      <c r="I965" s="13" t="n">
        <f aca="false">INDEX(RM_Rates!$F$5:$F$137,MATCH(C965,RM_Rates!$A$5:$A$137,0))</f>
        <v>0.487615048885345</v>
      </c>
      <c r="J965" s="22" t="n">
        <f aca="false">H965*I965</f>
        <v>96.03578390122</v>
      </c>
    </row>
    <row r="966" customFormat="false" ht="15" hidden="false" customHeight="false" outlineLevel="0" collapsed="false">
      <c r="A966" s="5" t="s">
        <v>576</v>
      </c>
      <c r="B966" s="2" t="s">
        <v>709</v>
      </c>
      <c r="C966" s="5" t="s">
        <v>281</v>
      </c>
      <c r="D966" s="5" t="s">
        <v>282</v>
      </c>
      <c r="E966" s="5" t="s">
        <v>166</v>
      </c>
      <c r="F966" s="21" t="n">
        <v>1</v>
      </c>
      <c r="G966" s="21" t="n">
        <v>0</v>
      </c>
      <c r="H966" s="22" t="n">
        <f aca="false">F966+G966</f>
        <v>1</v>
      </c>
      <c r="I966" s="13" t="n">
        <f aca="false">INDEX(RM_Rates!$F$5:$F$137,MATCH(C966,RM_Rates!$A$5:$A$137,0))</f>
        <v>31.1947288513184</v>
      </c>
      <c r="J966" s="22" t="n">
        <f aca="false">H966*I966</f>
        <v>31.1947288513184</v>
      </c>
    </row>
    <row r="967" customFormat="false" ht="15" hidden="false" customHeight="false" outlineLevel="0" collapsed="false">
      <c r="A967" s="5" t="s">
        <v>576</v>
      </c>
      <c r="B967" s="2" t="s">
        <v>709</v>
      </c>
      <c r="C967" s="5" t="s">
        <v>167</v>
      </c>
      <c r="D967" s="5" t="s">
        <v>168</v>
      </c>
      <c r="E967" s="5" t="s">
        <v>166</v>
      </c>
      <c r="F967" s="21" t="n">
        <v>2</v>
      </c>
      <c r="G967" s="21" t="n">
        <v>0</v>
      </c>
      <c r="H967" s="22" t="n">
        <f aca="false">F967+G967</f>
        <v>2</v>
      </c>
      <c r="I967" s="13" t="n">
        <f aca="false">INDEX(RM_Rates!$F$5:$F$137,MATCH(C967,RM_Rates!$A$5:$A$137,0))</f>
        <v>0.124766282737255</v>
      </c>
      <c r="J967" s="22" t="n">
        <f aca="false">H967*I967</f>
        <v>0.24953256547451</v>
      </c>
    </row>
    <row r="968" customFormat="false" ht="15" hidden="false" customHeight="false" outlineLevel="0" collapsed="false">
      <c r="A968" s="5" t="s">
        <v>576</v>
      </c>
      <c r="B968" s="2" t="s">
        <v>709</v>
      </c>
      <c r="C968" s="5" t="s">
        <v>308</v>
      </c>
      <c r="D968" s="5" t="s">
        <v>309</v>
      </c>
      <c r="E968" s="5" t="s">
        <v>297</v>
      </c>
      <c r="F968" s="21" t="n">
        <v>3.5</v>
      </c>
      <c r="G968" s="21" t="n">
        <v>0</v>
      </c>
      <c r="H968" s="22" t="n">
        <f aca="false">F968+G968</f>
        <v>3.5</v>
      </c>
      <c r="I968" s="13" t="n">
        <f aca="false">INDEX(RM_Rates!$F$5:$F$137,MATCH(C968,RM_Rates!$A$5:$A$137,0))</f>
        <v>1.40752077102661</v>
      </c>
      <c r="J968" s="22" t="n">
        <f aca="false">H968*I968</f>
        <v>4.92632269859314</v>
      </c>
    </row>
    <row r="969" customFormat="false" ht="15" hidden="false" customHeight="false" outlineLevel="0" collapsed="false">
      <c r="A969" s="5" t="s">
        <v>576</v>
      </c>
      <c r="B969" s="2" t="s">
        <v>709</v>
      </c>
      <c r="C969" s="5" t="s">
        <v>189</v>
      </c>
      <c r="D969" s="5" t="s">
        <v>190</v>
      </c>
      <c r="E969" s="5" t="s">
        <v>60</v>
      </c>
      <c r="F969" s="21" t="n">
        <v>0.349999994039536</v>
      </c>
      <c r="G969" s="21" t="n">
        <v>0</v>
      </c>
      <c r="H969" s="22" t="n">
        <f aca="false">F969+G969</f>
        <v>0.349999994039536</v>
      </c>
      <c r="I969" s="13" t="n">
        <f aca="false">INDEX(RM_Rates!$F$5:$F$137,MATCH(C969,RM_Rates!$A$5:$A$137,0))</f>
        <v>0.568400025367737</v>
      </c>
      <c r="J969" s="22" t="n">
        <f aca="false">H969*I969</f>
        <v>0.19894000549078</v>
      </c>
    </row>
    <row r="970" customFormat="false" ht="15" hidden="false" customHeight="false" outlineLevel="0" collapsed="false">
      <c r="A970" s="5" t="s">
        <v>540</v>
      </c>
      <c r="B970" s="2" t="s">
        <v>710</v>
      </c>
      <c r="C970" s="5" t="s">
        <v>104</v>
      </c>
      <c r="D970" s="5" t="s">
        <v>105</v>
      </c>
      <c r="E970" s="5" t="s">
        <v>72</v>
      </c>
      <c r="F970" s="21" t="n">
        <v>1776</v>
      </c>
      <c r="G970" s="21" t="n">
        <v>8.88000011444092</v>
      </c>
      <c r="H970" s="22" t="n">
        <f aca="false">F970+G970</f>
        <v>1784.88000011444</v>
      </c>
      <c r="I970" s="13" t="n">
        <f aca="false">INDEX(RM_Rates!$F$5:$F$137,MATCH(C970,RM_Rates!$A$5:$A$137,0))</f>
        <v>1.970916</v>
      </c>
      <c r="J970" s="22" t="n">
        <f aca="false">H970*I970</f>
        <v>3517.84855030555</v>
      </c>
    </row>
    <row r="971" customFormat="false" ht="15" hidden="false" customHeight="false" outlineLevel="0" collapsed="false">
      <c r="A971" s="5" t="s">
        <v>540</v>
      </c>
      <c r="B971" s="2" t="s">
        <v>710</v>
      </c>
      <c r="C971" s="5" t="s">
        <v>328</v>
      </c>
      <c r="D971" s="5" t="s">
        <v>329</v>
      </c>
      <c r="E971" s="5" t="s">
        <v>72</v>
      </c>
      <c r="F971" s="21" t="n">
        <v>206.330993652344</v>
      </c>
      <c r="G971" s="21" t="n">
        <v>10.3170003890991</v>
      </c>
      <c r="H971" s="22" t="n">
        <f aca="false">F971+G971</f>
        <v>216.647994041443</v>
      </c>
      <c r="I971" s="13" t="n">
        <f aca="false">INDEX(RM_Rates!$F$5:$F$137,MATCH(C971,RM_Rates!$A$5:$A$137,0))</f>
        <v>0.821246385574341</v>
      </c>
      <c r="J971" s="22" t="n">
        <f aca="false">H971*I971</f>
        <v>177.921382048467</v>
      </c>
    </row>
    <row r="972" customFormat="false" ht="15" hidden="false" customHeight="false" outlineLevel="0" collapsed="false">
      <c r="A972" s="5" t="s">
        <v>540</v>
      </c>
      <c r="B972" s="2" t="s">
        <v>710</v>
      </c>
      <c r="C972" s="5" t="s">
        <v>312</v>
      </c>
      <c r="D972" s="5" t="s">
        <v>313</v>
      </c>
      <c r="E972" s="5" t="s">
        <v>72</v>
      </c>
      <c r="F972" s="21" t="n">
        <v>642</v>
      </c>
      <c r="G972" s="21" t="n">
        <v>32.0999984741211</v>
      </c>
      <c r="H972" s="22" t="n">
        <f aca="false">F972+G972</f>
        <v>674.099998474121</v>
      </c>
      <c r="I972" s="13" t="n">
        <f aca="false">INDEX(RM_Rates!$F$5:$F$137,MATCH(C972,RM_Rates!$A$5:$A$137,0))</f>
        <v>0.600000023841858</v>
      </c>
      <c r="J972" s="22" t="n">
        <f aca="false">H972*I972</f>
        <v>404.460015156269</v>
      </c>
    </row>
    <row r="973" customFormat="false" ht="15" hidden="false" customHeight="false" outlineLevel="0" collapsed="false">
      <c r="A973" s="5" t="s">
        <v>540</v>
      </c>
      <c r="B973" s="2" t="s">
        <v>710</v>
      </c>
      <c r="C973" s="5" t="s">
        <v>160</v>
      </c>
      <c r="D973" s="5" t="s">
        <v>161</v>
      </c>
      <c r="E973" s="5" t="s">
        <v>72</v>
      </c>
      <c r="F973" s="21" t="n">
        <v>97.7999954223633</v>
      </c>
      <c r="G973" s="21" t="n">
        <v>0.978000044822693</v>
      </c>
      <c r="H973" s="22" t="n">
        <f aca="false">F973+G973</f>
        <v>98.777995467186</v>
      </c>
      <c r="I973" s="13" t="n">
        <f aca="false">INDEX(RM_Rates!$F$5:$F$137,MATCH(C973,RM_Rates!$A$5:$A$137,0))</f>
        <v>3.00841188430786</v>
      </c>
      <c r="J973" s="22" t="n">
        <f aca="false">H973*I973</f>
        <v>297.16489547159</v>
      </c>
    </row>
    <row r="974" customFormat="false" ht="15" hidden="false" customHeight="false" outlineLevel="0" collapsed="false">
      <c r="A974" s="5" t="s">
        <v>540</v>
      </c>
      <c r="B974" s="2" t="s">
        <v>710</v>
      </c>
      <c r="C974" s="5" t="s">
        <v>220</v>
      </c>
      <c r="D974" s="5" t="s">
        <v>221</v>
      </c>
      <c r="E974" s="5" t="s">
        <v>72</v>
      </c>
      <c r="F974" s="21" t="n">
        <v>337.440002441406</v>
      </c>
      <c r="G974" s="21" t="n">
        <v>0</v>
      </c>
      <c r="H974" s="22" t="n">
        <f aca="false">F974+G974</f>
        <v>337.440002441406</v>
      </c>
      <c r="I974" s="13" t="n">
        <f aca="false">INDEX(RM_Rates!$F$5:$F$137,MATCH(C974,RM_Rates!$A$5:$A$137,0))</f>
        <v>0.379036813974381</v>
      </c>
      <c r="J974" s="22" t="n">
        <f aca="false">H974*I974</f>
        <v>127.902183432898</v>
      </c>
    </row>
    <row r="975" customFormat="false" ht="15" hidden="false" customHeight="false" outlineLevel="0" collapsed="false">
      <c r="A975" s="5" t="s">
        <v>540</v>
      </c>
      <c r="B975" s="2" t="s">
        <v>710</v>
      </c>
      <c r="C975" s="5" t="s">
        <v>230</v>
      </c>
      <c r="D975" s="5" t="s">
        <v>231</v>
      </c>
      <c r="E975" s="5" t="s">
        <v>72</v>
      </c>
      <c r="F975" s="21" t="n">
        <v>20.7999992370605</v>
      </c>
      <c r="G975" s="21" t="n">
        <v>0</v>
      </c>
      <c r="H975" s="22" t="n">
        <f aca="false">F975+G975</f>
        <v>20.7999992370605</v>
      </c>
      <c r="I975" s="13" t="n">
        <f aca="false">INDEX(RM_Rates!$F$5:$F$137,MATCH(C975,RM_Rates!$A$5:$A$137,0))</f>
        <v>0.742858171463013</v>
      </c>
      <c r="J975" s="22" t="n">
        <f aca="false">H975*I975</f>
        <v>15.4514493996748</v>
      </c>
    </row>
    <row r="976" customFormat="false" ht="15" hidden="false" customHeight="false" outlineLevel="0" collapsed="false">
      <c r="A976" s="5" t="s">
        <v>540</v>
      </c>
      <c r="B976" s="2" t="s">
        <v>710</v>
      </c>
      <c r="C976" s="5" t="s">
        <v>246</v>
      </c>
      <c r="D976" s="5" t="s">
        <v>247</v>
      </c>
      <c r="E976" s="5" t="s">
        <v>72</v>
      </c>
      <c r="F976" s="21" t="n">
        <v>968.839965820313</v>
      </c>
      <c r="G976" s="21" t="n">
        <v>2.42199993133545</v>
      </c>
      <c r="H976" s="22" t="n">
        <f aca="false">F976+G976</f>
        <v>971.261965751648</v>
      </c>
      <c r="I976" s="13" t="n">
        <f aca="false">INDEX(RM_Rates!$F$5:$F$137,MATCH(C976,RM_Rates!$A$5:$A$137,0))</f>
        <v>0.420493960380554</v>
      </c>
      <c r="J976" s="22" t="n">
        <f aca="false">H976*I976</f>
        <v>408.409790545913</v>
      </c>
    </row>
    <row r="977" customFormat="false" ht="15" hidden="false" customHeight="false" outlineLevel="0" collapsed="false">
      <c r="A977" s="5" t="s">
        <v>540</v>
      </c>
      <c r="B977" s="2" t="s">
        <v>710</v>
      </c>
      <c r="C977" s="5" t="s">
        <v>232</v>
      </c>
      <c r="D977" s="5" t="s">
        <v>233</v>
      </c>
      <c r="E977" s="5" t="s">
        <v>72</v>
      </c>
      <c r="F977" s="21" t="n">
        <v>15.5014400482178</v>
      </c>
      <c r="G977" s="21" t="n">
        <v>0.0390000008046627</v>
      </c>
      <c r="H977" s="22" t="n">
        <f aca="false">F977+G977</f>
        <v>15.5404400490225</v>
      </c>
      <c r="I977" s="13" t="n">
        <f aca="false">INDEX(RM_Rates!$F$5:$F$137,MATCH(C977,RM_Rates!$A$5:$A$137,0))</f>
        <v>1.45200002193451</v>
      </c>
      <c r="J977" s="22" t="n">
        <f aca="false">H977*I977</f>
        <v>22.5647192920526</v>
      </c>
    </row>
    <row r="978" customFormat="false" ht="15" hidden="false" customHeight="false" outlineLevel="0" collapsed="false">
      <c r="A978" s="5" t="s">
        <v>540</v>
      </c>
      <c r="B978" s="2" t="s">
        <v>710</v>
      </c>
      <c r="C978" s="5" t="s">
        <v>275</v>
      </c>
      <c r="D978" s="5" t="s">
        <v>276</v>
      </c>
      <c r="E978" s="5" t="s">
        <v>72</v>
      </c>
      <c r="F978" s="21" t="n">
        <v>2272.89990234375</v>
      </c>
      <c r="G978" s="21" t="n">
        <v>22.7290000915527</v>
      </c>
      <c r="H978" s="22" t="n">
        <f aca="false">F978+G978</f>
        <v>2295.6289024353</v>
      </c>
      <c r="I978" s="13" t="n">
        <f aca="false">INDEX(RM_Rates!$F$5:$F$137,MATCH(C978,RM_Rates!$A$5:$A$137,0))</f>
        <v>0.367191910743713</v>
      </c>
      <c r="J978" s="22" t="n">
        <f aca="false">H978*I978</f>
        <v>842.936363043712</v>
      </c>
    </row>
    <row r="979" customFormat="false" ht="15" hidden="false" customHeight="false" outlineLevel="0" collapsed="false">
      <c r="A979" s="5" t="s">
        <v>540</v>
      </c>
      <c r="B979" s="2" t="s">
        <v>710</v>
      </c>
      <c r="C979" s="5" t="s">
        <v>259</v>
      </c>
      <c r="D979" s="5" t="s">
        <v>260</v>
      </c>
      <c r="E979" s="5" t="s">
        <v>166</v>
      </c>
      <c r="F979" s="21" t="n">
        <v>2</v>
      </c>
      <c r="G979" s="21" t="n">
        <v>0</v>
      </c>
      <c r="H979" s="22" t="n">
        <f aca="false">F979+G979</f>
        <v>2</v>
      </c>
      <c r="I979" s="13" t="n">
        <f aca="false">INDEX(RM_Rates!$F$5:$F$137,MATCH(C979,RM_Rates!$A$5:$A$137,0))</f>
        <v>162</v>
      </c>
      <c r="J979" s="22" t="n">
        <f aca="false">H979*I979</f>
        <v>324</v>
      </c>
    </row>
    <row r="980" customFormat="false" ht="15" hidden="false" customHeight="false" outlineLevel="0" collapsed="false">
      <c r="A980" s="5" t="s">
        <v>540</v>
      </c>
      <c r="B980" s="2" t="s">
        <v>710</v>
      </c>
      <c r="C980" s="5" t="s">
        <v>175</v>
      </c>
      <c r="D980" s="5" t="s">
        <v>176</v>
      </c>
      <c r="E980" s="5" t="s">
        <v>166</v>
      </c>
      <c r="F980" s="21" t="n">
        <v>4</v>
      </c>
      <c r="G980" s="21" t="n">
        <v>0</v>
      </c>
      <c r="H980" s="22" t="n">
        <f aca="false">F980+G980</f>
        <v>4</v>
      </c>
      <c r="I980" s="13" t="n">
        <f aca="false">INDEX(RM_Rates!$F$5:$F$137,MATCH(C980,RM_Rates!$A$5:$A$137,0))</f>
        <v>0.39300000667572</v>
      </c>
      <c r="J980" s="22" t="n">
        <f aca="false">H980*I980</f>
        <v>1.57200002670288</v>
      </c>
    </row>
    <row r="981" customFormat="false" ht="15" hidden="false" customHeight="false" outlineLevel="0" collapsed="false">
      <c r="A981" s="5" t="s">
        <v>540</v>
      </c>
      <c r="B981" s="2" t="s">
        <v>710</v>
      </c>
      <c r="C981" s="5" t="s">
        <v>189</v>
      </c>
      <c r="D981" s="5" t="s">
        <v>190</v>
      </c>
      <c r="E981" s="5" t="s">
        <v>60</v>
      </c>
      <c r="F981" s="21" t="n">
        <v>2</v>
      </c>
      <c r="G981" s="21" t="n">
        <v>0</v>
      </c>
      <c r="H981" s="22" t="n">
        <f aca="false">F981+G981</f>
        <v>2</v>
      </c>
      <c r="I981" s="13" t="n">
        <f aca="false">INDEX(RM_Rates!$F$5:$F$137,MATCH(C981,RM_Rates!$A$5:$A$137,0))</f>
        <v>0.568400025367737</v>
      </c>
      <c r="J981" s="22" t="n">
        <f aca="false">H981*I981</f>
        <v>1.13680005073547</v>
      </c>
    </row>
    <row r="982" customFormat="false" ht="15" hidden="false" customHeight="false" outlineLevel="0" collapsed="false">
      <c r="A982" s="5" t="s">
        <v>540</v>
      </c>
      <c r="B982" s="2" t="s">
        <v>710</v>
      </c>
      <c r="C982" s="5" t="s">
        <v>300</v>
      </c>
      <c r="D982" s="5" t="s">
        <v>301</v>
      </c>
      <c r="E982" s="5" t="s">
        <v>297</v>
      </c>
      <c r="F982" s="21" t="n">
        <v>13.8000001907349</v>
      </c>
      <c r="G982" s="21" t="n">
        <v>0</v>
      </c>
      <c r="H982" s="22" t="n">
        <f aca="false">F982+G982</f>
        <v>13.8000001907349</v>
      </c>
      <c r="I982" s="13" t="n">
        <f aca="false">INDEX(RM_Rates!$F$5:$F$137,MATCH(C982,RM_Rates!$A$5:$A$137,0))</f>
        <v>1.40752077102661</v>
      </c>
      <c r="J982" s="22" t="n">
        <f aca="false">H982*I982</f>
        <v>19.4237869086306</v>
      </c>
    </row>
    <row r="983" customFormat="false" ht="15" hidden="false" customHeight="false" outlineLevel="0" collapsed="false">
      <c r="A983" s="5" t="s">
        <v>578</v>
      </c>
      <c r="B983" s="2" t="s">
        <v>711</v>
      </c>
      <c r="C983" s="5" t="s">
        <v>130</v>
      </c>
      <c r="D983" s="5" t="s">
        <v>131</v>
      </c>
      <c r="E983" s="5" t="s">
        <v>72</v>
      </c>
      <c r="F983" s="21" t="n">
        <v>1776</v>
      </c>
      <c r="G983" s="21" t="n">
        <v>8.88000011444092</v>
      </c>
      <c r="H983" s="22" t="n">
        <f aca="false">F983+G983</f>
        <v>1784.88000011444</v>
      </c>
      <c r="I983" s="13" t="n">
        <f aca="false">INDEX(RM_Rates!$F$5:$F$137,MATCH(C983,RM_Rates!$A$5:$A$137,0))</f>
        <v>1.970916</v>
      </c>
      <c r="J983" s="22" t="n">
        <f aca="false">H983*I983</f>
        <v>3517.84855030555</v>
      </c>
    </row>
    <row r="984" customFormat="false" ht="15" hidden="false" customHeight="false" outlineLevel="0" collapsed="false">
      <c r="A984" s="5" t="s">
        <v>578</v>
      </c>
      <c r="B984" s="2" t="s">
        <v>711</v>
      </c>
      <c r="C984" s="5" t="s">
        <v>326</v>
      </c>
      <c r="D984" s="5" t="s">
        <v>327</v>
      </c>
      <c r="E984" s="5" t="s">
        <v>72</v>
      </c>
      <c r="F984" s="21" t="n">
        <v>115.5</v>
      </c>
      <c r="G984" s="21" t="n">
        <v>5.77499961853027</v>
      </c>
      <c r="H984" s="22" t="n">
        <f aca="false">F984+G984</f>
        <v>121.27499961853</v>
      </c>
      <c r="I984" s="13" t="n">
        <f aca="false">INDEX(RM_Rates!$F$5:$F$137,MATCH(C984,RM_Rates!$A$5:$A$137,0))</f>
        <v>0.596000015735626</v>
      </c>
      <c r="J984" s="22" t="n">
        <f aca="false">H984*I984</f>
        <v>72.2799016809821</v>
      </c>
    </row>
    <row r="985" customFormat="false" ht="15" hidden="false" customHeight="false" outlineLevel="0" collapsed="false">
      <c r="A985" s="5" t="s">
        <v>578</v>
      </c>
      <c r="B985" s="2" t="s">
        <v>711</v>
      </c>
      <c r="C985" s="5" t="s">
        <v>324</v>
      </c>
      <c r="D985" s="5" t="s">
        <v>325</v>
      </c>
      <c r="E985" s="5" t="s">
        <v>72</v>
      </c>
      <c r="F985" s="21" t="n">
        <v>6.35249996185303</v>
      </c>
      <c r="G985" s="21" t="n">
        <v>0.317999988794327</v>
      </c>
      <c r="H985" s="22" t="n">
        <f aca="false">F985+G985</f>
        <v>6.67049995064736</v>
      </c>
      <c r="I985" s="13" t="n">
        <f aca="false">INDEX(RM_Rates!$F$5:$F$137,MATCH(C985,RM_Rates!$A$5:$A$137,0))</f>
        <v>1.35229277610779</v>
      </c>
      <c r="J985" s="22" t="n">
        <f aca="false">H985*I985</f>
        <v>9.02046889628779</v>
      </c>
    </row>
    <row r="986" customFormat="false" ht="15" hidden="false" customHeight="false" outlineLevel="0" collapsed="false">
      <c r="A986" s="5" t="s">
        <v>578</v>
      </c>
      <c r="B986" s="2" t="s">
        <v>711</v>
      </c>
      <c r="C986" s="5" t="s">
        <v>318</v>
      </c>
      <c r="D986" s="5" t="s">
        <v>319</v>
      </c>
      <c r="E986" s="5" t="s">
        <v>72</v>
      </c>
      <c r="F986" s="21" t="n">
        <v>0.577499985694885</v>
      </c>
      <c r="G986" s="21" t="n">
        <v>0.028999999165535</v>
      </c>
      <c r="H986" s="22" t="n">
        <f aca="false">F986+G986</f>
        <v>0.60649998486042</v>
      </c>
      <c r="I986" s="13" t="n">
        <f aca="false">INDEX(RM_Rates!$F$5:$F$137,MATCH(C986,RM_Rates!$A$5:$A$137,0))</f>
        <v>1.6441433429718</v>
      </c>
      <c r="J986" s="22" t="n">
        <f aca="false">H986*I986</f>
        <v>0.997172912620757</v>
      </c>
    </row>
    <row r="987" customFormat="false" ht="15" hidden="false" customHeight="false" outlineLevel="0" collapsed="false">
      <c r="A987" s="5" t="s">
        <v>578</v>
      </c>
      <c r="B987" s="2" t="s">
        <v>711</v>
      </c>
      <c r="C987" s="5" t="s">
        <v>322</v>
      </c>
      <c r="D987" s="5" t="s">
        <v>323</v>
      </c>
      <c r="E987" s="5" t="s">
        <v>72</v>
      </c>
      <c r="F987" s="21" t="n">
        <v>0.577499985694885</v>
      </c>
      <c r="G987" s="21" t="n">
        <v>0.028999999165535</v>
      </c>
      <c r="H987" s="22" t="n">
        <f aca="false">F987+G987</f>
        <v>0.60649998486042</v>
      </c>
      <c r="I987" s="13" t="n">
        <f aca="false">INDEX(RM_Rates!$F$5:$F$137,MATCH(C987,RM_Rates!$A$5:$A$137,0))</f>
        <v>1.6441433429718</v>
      </c>
      <c r="J987" s="22" t="n">
        <f aca="false">H987*I987</f>
        <v>0.997172912620757</v>
      </c>
    </row>
    <row r="988" customFormat="false" ht="15" hidden="false" customHeight="false" outlineLevel="0" collapsed="false">
      <c r="A988" s="5" t="s">
        <v>578</v>
      </c>
      <c r="B988" s="2" t="s">
        <v>711</v>
      </c>
      <c r="C988" s="5" t="s">
        <v>316</v>
      </c>
      <c r="D988" s="5" t="s">
        <v>317</v>
      </c>
      <c r="E988" s="5" t="s">
        <v>72</v>
      </c>
      <c r="F988" s="21" t="n">
        <v>0.577499985694885</v>
      </c>
      <c r="G988" s="21" t="n">
        <v>0.028999999165535</v>
      </c>
      <c r="H988" s="22" t="n">
        <f aca="false">F988+G988</f>
        <v>0.60649998486042</v>
      </c>
      <c r="I988" s="13" t="n">
        <f aca="false">INDEX(RM_Rates!$F$5:$F$137,MATCH(C988,RM_Rates!$A$5:$A$137,0))</f>
        <v>1.6441433429718</v>
      </c>
      <c r="J988" s="22" t="n">
        <f aca="false">H988*I988</f>
        <v>0.997172912620757</v>
      </c>
    </row>
    <row r="989" customFormat="false" ht="15" hidden="false" customHeight="false" outlineLevel="0" collapsed="false">
      <c r="A989" s="5" t="s">
        <v>578</v>
      </c>
      <c r="B989" s="2" t="s">
        <v>711</v>
      </c>
      <c r="C989" s="5" t="s">
        <v>222</v>
      </c>
      <c r="D989" s="5" t="s">
        <v>223</v>
      </c>
      <c r="E989" s="5" t="s">
        <v>72</v>
      </c>
      <c r="F989" s="21" t="n">
        <v>17.7600002288818</v>
      </c>
      <c r="G989" s="21" t="n">
        <v>0</v>
      </c>
      <c r="H989" s="22" t="n">
        <f aca="false">F989+G989</f>
        <v>17.7600002288818</v>
      </c>
      <c r="I989" s="13" t="n">
        <f aca="false">INDEX(RM_Rates!$F$5:$F$137,MATCH(C989,RM_Rates!$A$5:$A$137,0))</f>
        <v>0.379036813974381</v>
      </c>
      <c r="J989" s="22" t="n">
        <f aca="false">H989*I989</f>
        <v>6.73169390293964</v>
      </c>
    </row>
    <row r="990" customFormat="false" ht="15" hidden="false" customHeight="false" outlineLevel="0" collapsed="false">
      <c r="A990" s="5" t="s">
        <v>578</v>
      </c>
      <c r="B990" s="2" t="s">
        <v>711</v>
      </c>
      <c r="C990" s="5" t="s">
        <v>226</v>
      </c>
      <c r="D990" s="5" t="s">
        <v>227</v>
      </c>
      <c r="E990" s="5" t="s">
        <v>72</v>
      </c>
      <c r="F990" s="21" t="n">
        <v>5.5</v>
      </c>
      <c r="G990" s="21" t="n">
        <v>0</v>
      </c>
      <c r="H990" s="22" t="n">
        <f aca="false">F990+G990</f>
        <v>5.5</v>
      </c>
      <c r="I990" s="13" t="n">
        <f aca="false">INDEX(RM_Rates!$F$5:$F$137,MATCH(C990,RM_Rates!$A$5:$A$137,0))</f>
        <v>0.742858171463013</v>
      </c>
      <c r="J990" s="22" t="n">
        <f aca="false">H990*I990</f>
        <v>4.08571994304657</v>
      </c>
    </row>
    <row r="991" customFormat="false" ht="15" hidden="false" customHeight="false" outlineLevel="0" collapsed="false">
      <c r="A991" s="5" t="s">
        <v>578</v>
      </c>
      <c r="B991" s="2" t="s">
        <v>711</v>
      </c>
      <c r="C991" s="5" t="s">
        <v>240</v>
      </c>
      <c r="D991" s="5" t="s">
        <v>241</v>
      </c>
      <c r="E991" s="5" t="s">
        <v>72</v>
      </c>
      <c r="F991" s="21" t="n">
        <v>377.799987792969</v>
      </c>
      <c r="G991" s="21" t="n">
        <v>7.55600023269653</v>
      </c>
      <c r="H991" s="22" t="n">
        <f aca="false">F991+G991</f>
        <v>385.355988025666</v>
      </c>
      <c r="I991" s="13" t="n">
        <f aca="false">INDEX(RM_Rates!$F$5:$F$137,MATCH(C991,RM_Rates!$A$5:$A$137,0))</f>
        <v>0.363999992609024</v>
      </c>
      <c r="J991" s="22" t="n">
        <f aca="false">H991*I991</f>
        <v>140.269576793185</v>
      </c>
    </row>
    <row r="992" customFormat="false" ht="15" hidden="false" customHeight="false" outlineLevel="0" collapsed="false">
      <c r="A992" s="5" t="s">
        <v>578</v>
      </c>
      <c r="B992" s="2" t="s">
        <v>711</v>
      </c>
      <c r="C992" s="5" t="s">
        <v>273</v>
      </c>
      <c r="D992" s="5" t="s">
        <v>274</v>
      </c>
      <c r="E992" s="5" t="s">
        <v>72</v>
      </c>
      <c r="F992" s="21" t="n">
        <v>917.599975585938</v>
      </c>
      <c r="G992" s="21" t="n">
        <v>9.17599964141846</v>
      </c>
      <c r="H992" s="22" t="n">
        <f aca="false">F992+G992</f>
        <v>926.775975227356</v>
      </c>
      <c r="I992" s="13" t="n">
        <f aca="false">INDEX(RM_Rates!$F$5:$F$137,MATCH(C992,RM_Rates!$A$5:$A$137,0))</f>
        <v>0.386933386325836</v>
      </c>
      <c r="J992" s="22" t="n">
        <f aca="false">H992*I992</f>
        <v>358.60056646015</v>
      </c>
    </row>
    <row r="993" customFormat="false" ht="15" hidden="false" customHeight="false" outlineLevel="0" collapsed="false">
      <c r="A993" s="5" t="s">
        <v>578</v>
      </c>
      <c r="B993" s="2" t="s">
        <v>711</v>
      </c>
      <c r="C993" s="5" t="s">
        <v>283</v>
      </c>
      <c r="D993" s="5" t="s">
        <v>284</v>
      </c>
      <c r="E993" s="5" t="s">
        <v>166</v>
      </c>
      <c r="F993" s="21" t="n">
        <v>2</v>
      </c>
      <c r="G993" s="21" t="n">
        <v>0</v>
      </c>
      <c r="H993" s="22" t="n">
        <f aca="false">F993+G993</f>
        <v>2</v>
      </c>
      <c r="I993" s="13" t="n">
        <f aca="false">INDEX(RM_Rates!$F$5:$F$137,MATCH(C993,RM_Rates!$A$5:$A$137,0))</f>
        <v>31.1947288513184</v>
      </c>
      <c r="J993" s="22" t="n">
        <f aca="false">H993*I993</f>
        <v>62.3894577026368</v>
      </c>
    </row>
    <row r="994" customFormat="false" ht="15" hidden="false" customHeight="false" outlineLevel="0" collapsed="false">
      <c r="A994" s="5" t="s">
        <v>578</v>
      </c>
      <c r="B994" s="2" t="s">
        <v>711</v>
      </c>
      <c r="C994" s="5" t="s">
        <v>171</v>
      </c>
      <c r="D994" s="5" t="s">
        <v>172</v>
      </c>
      <c r="E994" s="5" t="s">
        <v>166</v>
      </c>
      <c r="F994" s="21" t="n">
        <v>4</v>
      </c>
      <c r="G994" s="21" t="n">
        <v>0</v>
      </c>
      <c r="H994" s="22" t="n">
        <f aca="false">F994+G994</f>
        <v>4</v>
      </c>
      <c r="I994" s="13" t="n">
        <f aca="false">INDEX(RM_Rates!$F$5:$F$137,MATCH(C994,RM_Rates!$A$5:$A$137,0))</f>
        <v>0.124766282737255</v>
      </c>
      <c r="J994" s="22" t="n">
        <f aca="false">H994*I994</f>
        <v>0.49906513094902</v>
      </c>
    </row>
    <row r="995" customFormat="false" ht="15" hidden="false" customHeight="false" outlineLevel="0" collapsed="false">
      <c r="A995" s="5" t="s">
        <v>578</v>
      </c>
      <c r="B995" s="2" t="s">
        <v>711</v>
      </c>
      <c r="C995" s="5" t="s">
        <v>308</v>
      </c>
      <c r="D995" s="5" t="s">
        <v>309</v>
      </c>
      <c r="E995" s="5" t="s">
        <v>297</v>
      </c>
      <c r="F995" s="21" t="n">
        <v>7.59999990463257</v>
      </c>
      <c r="G995" s="21" t="n">
        <v>0</v>
      </c>
      <c r="H995" s="22" t="n">
        <f aca="false">F995+G995</f>
        <v>7.59999990463257</v>
      </c>
      <c r="I995" s="13" t="n">
        <f aca="false">INDEX(RM_Rates!$F$5:$F$137,MATCH(C995,RM_Rates!$A$5:$A$137,0))</f>
        <v>1.40752077102661</v>
      </c>
      <c r="J995" s="22" t="n">
        <f aca="false">H995*I995</f>
        <v>10.6971577255706</v>
      </c>
    </row>
    <row r="996" customFormat="false" ht="15" hidden="false" customHeight="false" outlineLevel="0" collapsed="false">
      <c r="A996" s="5" t="s">
        <v>578</v>
      </c>
      <c r="B996" s="2" t="s">
        <v>711</v>
      </c>
      <c r="C996" s="5" t="s">
        <v>189</v>
      </c>
      <c r="D996" s="5" t="s">
        <v>190</v>
      </c>
      <c r="E996" s="5" t="s">
        <v>60</v>
      </c>
      <c r="F996" s="21" t="n">
        <v>0.759999990463257</v>
      </c>
      <c r="G996" s="21" t="n">
        <v>0</v>
      </c>
      <c r="H996" s="22" t="n">
        <f aca="false">F996+G996</f>
        <v>0.759999990463257</v>
      </c>
      <c r="I996" s="13" t="n">
        <f aca="false">INDEX(RM_Rates!$F$5:$F$137,MATCH(C996,RM_Rates!$A$5:$A$137,0))</f>
        <v>0.568400025367737</v>
      </c>
      <c r="J996" s="22" t="n">
        <f aca="false">H996*I996</f>
        <v>0.431984013858795</v>
      </c>
    </row>
    <row r="997" customFormat="false" ht="15" hidden="false" customHeight="false" outlineLevel="0" collapsed="false">
      <c r="A997" s="5" t="s">
        <v>580</v>
      </c>
      <c r="B997" s="2" t="s">
        <v>712</v>
      </c>
      <c r="C997" s="5" t="s">
        <v>104</v>
      </c>
      <c r="D997" s="5" t="s">
        <v>105</v>
      </c>
      <c r="E997" s="5" t="s">
        <v>72</v>
      </c>
      <c r="F997" s="21" t="n">
        <v>1776</v>
      </c>
      <c r="G997" s="21" t="n">
        <v>8.88000011444092</v>
      </c>
      <c r="H997" s="22" t="n">
        <f aca="false">F997+G997</f>
        <v>1784.88000011444</v>
      </c>
      <c r="I997" s="13" t="n">
        <f aca="false">INDEX(RM_Rates!$F$5:$F$137,MATCH(C997,RM_Rates!$A$5:$A$137,0))</f>
        <v>1.970916</v>
      </c>
      <c r="J997" s="22" t="n">
        <f aca="false">H997*I997</f>
        <v>3517.84855030555</v>
      </c>
    </row>
    <row r="998" customFormat="false" ht="15" hidden="false" customHeight="false" outlineLevel="0" collapsed="false">
      <c r="A998" s="5" t="s">
        <v>580</v>
      </c>
      <c r="B998" s="2" t="s">
        <v>712</v>
      </c>
      <c r="C998" s="5" t="s">
        <v>328</v>
      </c>
      <c r="D998" s="5" t="s">
        <v>329</v>
      </c>
      <c r="E998" s="5" t="s">
        <v>72</v>
      </c>
      <c r="F998" s="21" t="n">
        <v>148.06201171875</v>
      </c>
      <c r="G998" s="21" t="n">
        <v>7.40100002288818</v>
      </c>
      <c r="H998" s="22" t="n">
        <f aca="false">F998+G998</f>
        <v>155.463011741638</v>
      </c>
      <c r="I998" s="13" t="n">
        <f aca="false">INDEX(RM_Rates!$F$5:$F$137,MATCH(C998,RM_Rates!$A$5:$A$137,0))</f>
        <v>0.821246385574341</v>
      </c>
      <c r="J998" s="22" t="n">
        <f aca="false">H998*I998</f>
        <v>127.673436483322</v>
      </c>
    </row>
    <row r="999" customFormat="false" ht="15" hidden="false" customHeight="false" outlineLevel="0" collapsed="false">
      <c r="A999" s="5" t="s">
        <v>580</v>
      </c>
      <c r="B999" s="2" t="s">
        <v>712</v>
      </c>
      <c r="C999" s="5" t="s">
        <v>312</v>
      </c>
      <c r="D999" s="5" t="s">
        <v>313</v>
      </c>
      <c r="E999" s="5" t="s">
        <v>72</v>
      </c>
      <c r="F999" s="21" t="n">
        <v>306</v>
      </c>
      <c r="G999" s="21" t="n">
        <v>15.2999992370605</v>
      </c>
      <c r="H999" s="22" t="n">
        <f aca="false">F999+G999</f>
        <v>321.299999237061</v>
      </c>
      <c r="I999" s="13" t="n">
        <f aca="false">INDEX(RM_Rates!$F$5:$F$137,MATCH(C999,RM_Rates!$A$5:$A$137,0))</f>
        <v>0.600000023841858</v>
      </c>
      <c r="J999" s="22" t="n">
        <f aca="false">H999*I999</f>
        <v>192.780007202625</v>
      </c>
    </row>
    <row r="1000" customFormat="false" ht="15" hidden="false" customHeight="false" outlineLevel="0" collapsed="false">
      <c r="A1000" s="5" t="s">
        <v>580</v>
      </c>
      <c r="B1000" s="2" t="s">
        <v>712</v>
      </c>
      <c r="C1000" s="5" t="s">
        <v>158</v>
      </c>
      <c r="D1000" s="5" t="s">
        <v>159</v>
      </c>
      <c r="E1000" s="5" t="s">
        <v>72</v>
      </c>
      <c r="F1000" s="21" t="n">
        <v>77.6999969482422</v>
      </c>
      <c r="G1000" s="21" t="n">
        <v>0.77700001001358</v>
      </c>
      <c r="H1000" s="22" t="n">
        <f aca="false">F1000+G1000</f>
        <v>78.4769969582558</v>
      </c>
      <c r="I1000" s="13" t="n">
        <f aca="false">INDEX(RM_Rates!$F$5:$F$137,MATCH(C1000,RM_Rates!$A$5:$A$137,0))</f>
        <v>3.00841188430786</v>
      </c>
      <c r="J1000" s="22" t="n">
        <f aca="false">H1000*I1000</f>
        <v>236.091130294008</v>
      </c>
    </row>
    <row r="1001" customFormat="false" ht="15" hidden="false" customHeight="false" outlineLevel="0" collapsed="false">
      <c r="A1001" s="5" t="s">
        <v>580</v>
      </c>
      <c r="B1001" s="2" t="s">
        <v>712</v>
      </c>
      <c r="C1001" s="5" t="s">
        <v>220</v>
      </c>
      <c r="D1001" s="5" t="s">
        <v>221</v>
      </c>
      <c r="E1001" s="5" t="s">
        <v>72</v>
      </c>
      <c r="F1001" s="21" t="n">
        <v>204.240005493164</v>
      </c>
      <c r="G1001" s="21" t="n">
        <v>0</v>
      </c>
      <c r="H1001" s="22" t="n">
        <f aca="false">F1001+G1001</f>
        <v>204.240005493164</v>
      </c>
      <c r="I1001" s="13" t="n">
        <f aca="false">INDEX(RM_Rates!$F$5:$F$137,MATCH(C1001,RM_Rates!$A$5:$A$137,0))</f>
        <v>0.379036813974381</v>
      </c>
      <c r="J1001" s="22" t="n">
        <f aca="false">H1001*I1001</f>
        <v>77.414480968239</v>
      </c>
    </row>
    <row r="1002" customFormat="false" ht="15" hidden="false" customHeight="false" outlineLevel="0" collapsed="false">
      <c r="A1002" s="5" t="s">
        <v>580</v>
      </c>
      <c r="B1002" s="2" t="s">
        <v>712</v>
      </c>
      <c r="C1002" s="5" t="s">
        <v>228</v>
      </c>
      <c r="D1002" s="5" t="s">
        <v>229</v>
      </c>
      <c r="E1002" s="5" t="s">
        <v>72</v>
      </c>
      <c r="F1002" s="21" t="n">
        <v>16.5</v>
      </c>
      <c r="G1002" s="21" t="n">
        <v>0</v>
      </c>
      <c r="H1002" s="22" t="n">
        <f aca="false">F1002+G1002</f>
        <v>16.5</v>
      </c>
      <c r="I1002" s="13" t="n">
        <f aca="false">INDEX(RM_Rates!$F$5:$F$137,MATCH(C1002,RM_Rates!$A$5:$A$137,0))</f>
        <v>0.742858171463013</v>
      </c>
      <c r="J1002" s="22" t="n">
        <f aca="false">H1002*I1002</f>
        <v>12.2571598291397</v>
      </c>
    </row>
    <row r="1003" customFormat="false" ht="15" hidden="false" customHeight="false" outlineLevel="0" collapsed="false">
      <c r="A1003" s="5" t="s">
        <v>580</v>
      </c>
      <c r="B1003" s="2" t="s">
        <v>712</v>
      </c>
      <c r="C1003" s="5" t="s">
        <v>246</v>
      </c>
      <c r="D1003" s="5" t="s">
        <v>247</v>
      </c>
      <c r="E1003" s="5" t="s">
        <v>72</v>
      </c>
      <c r="F1003" s="21" t="n">
        <v>705.039978027344</v>
      </c>
      <c r="G1003" s="21" t="n">
        <v>1.76300001144409</v>
      </c>
      <c r="H1003" s="22" t="n">
        <f aca="false">F1003+G1003</f>
        <v>706.802978038788</v>
      </c>
      <c r="I1003" s="13" t="n">
        <f aca="false">INDEX(RM_Rates!$F$5:$F$137,MATCH(C1003,RM_Rates!$A$5:$A$137,0))</f>
        <v>0.420493960380554</v>
      </c>
      <c r="J1003" s="22" t="n">
        <f aca="false">H1003*I1003</f>
        <v>297.2063834443</v>
      </c>
    </row>
    <row r="1004" customFormat="false" ht="15" hidden="false" customHeight="false" outlineLevel="0" collapsed="false">
      <c r="A1004" s="5" t="s">
        <v>580</v>
      </c>
      <c r="B1004" s="2" t="s">
        <v>712</v>
      </c>
      <c r="C1004" s="5" t="s">
        <v>232</v>
      </c>
      <c r="D1004" s="5" t="s">
        <v>233</v>
      </c>
      <c r="E1004" s="5" t="s">
        <v>72</v>
      </c>
      <c r="F1004" s="21" t="n">
        <v>11.2806396484375</v>
      </c>
      <c r="G1004" s="21" t="n">
        <v>0.0279999990016222</v>
      </c>
      <c r="H1004" s="22" t="n">
        <f aca="false">F1004+G1004</f>
        <v>11.3086396474391</v>
      </c>
      <c r="I1004" s="13" t="n">
        <f aca="false">INDEX(RM_Rates!$F$5:$F$137,MATCH(C1004,RM_Rates!$A$5:$A$137,0))</f>
        <v>1.45200002193451</v>
      </c>
      <c r="J1004" s="22" t="n">
        <f aca="false">H1004*I1004</f>
        <v>16.4201450161311</v>
      </c>
    </row>
    <row r="1005" customFormat="false" ht="15" hidden="false" customHeight="false" outlineLevel="0" collapsed="false">
      <c r="A1005" s="5" t="s">
        <v>580</v>
      </c>
      <c r="B1005" s="2" t="s">
        <v>712</v>
      </c>
      <c r="C1005" s="5" t="s">
        <v>275</v>
      </c>
      <c r="D1005" s="5" t="s">
        <v>276</v>
      </c>
      <c r="E1005" s="5" t="s">
        <v>72</v>
      </c>
      <c r="F1005" s="21" t="n">
        <v>1802.59997558594</v>
      </c>
      <c r="G1005" s="21" t="n">
        <v>18.0259990692139</v>
      </c>
      <c r="H1005" s="22" t="n">
        <f aca="false">F1005+G1005</f>
        <v>1820.62597465515</v>
      </c>
      <c r="I1005" s="13" t="n">
        <f aca="false">INDEX(RM_Rates!$F$5:$F$137,MATCH(C1005,RM_Rates!$A$5:$A$137,0))</f>
        <v>0.367191910743713</v>
      </c>
      <c r="J1005" s="22" t="n">
        <f aca="false">H1005*I1005</f>
        <v>668.519130383261</v>
      </c>
    </row>
    <row r="1006" customFormat="false" ht="15" hidden="false" customHeight="false" outlineLevel="0" collapsed="false">
      <c r="A1006" s="5" t="s">
        <v>580</v>
      </c>
      <c r="B1006" s="2" t="s">
        <v>712</v>
      </c>
      <c r="C1006" s="5" t="s">
        <v>255</v>
      </c>
      <c r="D1006" s="5" t="s">
        <v>256</v>
      </c>
      <c r="E1006" s="5" t="s">
        <v>166</v>
      </c>
      <c r="F1006" s="21" t="n">
        <v>2</v>
      </c>
      <c r="G1006" s="21" t="n">
        <v>0</v>
      </c>
      <c r="H1006" s="22" t="n">
        <f aca="false">F1006+G1006</f>
        <v>2</v>
      </c>
      <c r="I1006" s="13" t="n">
        <f aca="false">INDEX(RM_Rates!$F$5:$F$137,MATCH(C1006,RM_Rates!$A$5:$A$137,0))</f>
        <v>114.500701904297</v>
      </c>
      <c r="J1006" s="22" t="n">
        <f aca="false">H1006*I1006</f>
        <v>229.001403808594</v>
      </c>
    </row>
    <row r="1007" customFormat="false" ht="15" hidden="false" customHeight="false" outlineLevel="0" collapsed="false">
      <c r="A1007" s="5" t="s">
        <v>580</v>
      </c>
      <c r="B1007" s="2" t="s">
        <v>712</v>
      </c>
      <c r="C1007" s="5" t="s">
        <v>175</v>
      </c>
      <c r="D1007" s="5" t="s">
        <v>176</v>
      </c>
      <c r="E1007" s="5" t="s">
        <v>166</v>
      </c>
      <c r="F1007" s="21" t="n">
        <v>4</v>
      </c>
      <c r="G1007" s="21" t="n">
        <v>0</v>
      </c>
      <c r="H1007" s="22" t="n">
        <f aca="false">F1007+G1007</f>
        <v>4</v>
      </c>
      <c r="I1007" s="13" t="n">
        <f aca="false">INDEX(RM_Rates!$F$5:$F$137,MATCH(C1007,RM_Rates!$A$5:$A$137,0))</f>
        <v>0.39300000667572</v>
      </c>
      <c r="J1007" s="22" t="n">
        <f aca="false">H1007*I1007</f>
        <v>1.57200002670288</v>
      </c>
    </row>
    <row r="1008" customFormat="false" ht="15" hidden="false" customHeight="false" outlineLevel="0" collapsed="false">
      <c r="A1008" s="5" t="s">
        <v>580</v>
      </c>
      <c r="B1008" s="2" t="s">
        <v>712</v>
      </c>
      <c r="C1008" s="5" t="s">
        <v>189</v>
      </c>
      <c r="D1008" s="5" t="s">
        <v>190</v>
      </c>
      <c r="E1008" s="5" t="s">
        <v>60</v>
      </c>
      <c r="F1008" s="21" t="n">
        <v>1.53999996185303</v>
      </c>
      <c r="G1008" s="21" t="n">
        <v>0</v>
      </c>
      <c r="H1008" s="22" t="n">
        <f aca="false">F1008+G1008</f>
        <v>1.53999996185303</v>
      </c>
      <c r="I1008" s="13" t="n">
        <f aca="false">INDEX(RM_Rates!$F$5:$F$137,MATCH(C1008,RM_Rates!$A$5:$A$137,0))</f>
        <v>0.568400025367737</v>
      </c>
      <c r="J1008" s="22" t="n">
        <f aca="false">H1008*I1008</f>
        <v>0.875336017383576</v>
      </c>
    </row>
    <row r="1009" customFormat="false" ht="15" hidden="false" customHeight="false" outlineLevel="0" collapsed="false">
      <c r="A1009" s="5" t="s">
        <v>580</v>
      </c>
      <c r="B1009" s="2" t="s">
        <v>712</v>
      </c>
      <c r="C1009" s="5" t="s">
        <v>295</v>
      </c>
      <c r="D1009" s="5" t="s">
        <v>296</v>
      </c>
      <c r="E1009" s="5" t="s">
        <v>297</v>
      </c>
      <c r="F1009" s="21" t="n">
        <v>12.6000003814697</v>
      </c>
      <c r="G1009" s="21" t="n">
        <v>0</v>
      </c>
      <c r="H1009" s="22" t="n">
        <f aca="false">F1009+G1009</f>
        <v>12.6000003814697</v>
      </c>
      <c r="I1009" s="13" t="n">
        <f aca="false">INDEX(RM_Rates!$F$5:$F$137,MATCH(C1009,RM_Rates!$A$5:$A$137,0))</f>
        <v>1.40752077102661</v>
      </c>
      <c r="J1009" s="22" t="n">
        <f aca="false">H1009*I1009</f>
        <v>17.7347622518618</v>
      </c>
    </row>
    <row r="1010" customFormat="false" ht="15" hidden="false" customHeight="false" outlineLevel="0" collapsed="false">
      <c r="A1010" s="5" t="s">
        <v>582</v>
      </c>
      <c r="B1010" s="2" t="s">
        <v>713</v>
      </c>
      <c r="C1010" s="5" t="s">
        <v>106</v>
      </c>
      <c r="D1010" s="5" t="s">
        <v>107</v>
      </c>
      <c r="E1010" s="5" t="s">
        <v>72</v>
      </c>
      <c r="F1010" s="21" t="n">
        <v>2466</v>
      </c>
      <c r="G1010" s="21" t="n">
        <v>12.3299999237061</v>
      </c>
      <c r="H1010" s="22" t="n">
        <f aca="false">F1010+G1010</f>
        <v>2478.32999992371</v>
      </c>
      <c r="I1010" s="13" t="n">
        <f aca="false">INDEX(RM_Rates!$F$5:$F$137,MATCH(C1010,RM_Rates!$A$5:$A$137,0))</f>
        <v>1.969372</v>
      </c>
      <c r="J1010" s="22" t="n">
        <f aca="false">H1010*I1010</f>
        <v>4880.75370860975</v>
      </c>
    </row>
    <row r="1011" customFormat="false" ht="15" hidden="false" customHeight="false" outlineLevel="0" collapsed="false">
      <c r="A1011" s="5" t="s">
        <v>582</v>
      </c>
      <c r="B1011" s="2" t="s">
        <v>713</v>
      </c>
      <c r="C1011" s="5" t="s">
        <v>328</v>
      </c>
      <c r="D1011" s="5" t="s">
        <v>329</v>
      </c>
      <c r="E1011" s="5" t="s">
        <v>72</v>
      </c>
      <c r="F1011" s="21" t="n">
        <v>322.044006347656</v>
      </c>
      <c r="G1011" s="21" t="n">
        <v>16.1009998321533</v>
      </c>
      <c r="H1011" s="22" t="n">
        <f aca="false">F1011+G1011</f>
        <v>338.145006179809</v>
      </c>
      <c r="I1011" s="13" t="n">
        <f aca="false">INDEX(RM_Rates!$F$5:$F$137,MATCH(C1011,RM_Rates!$A$5:$A$137,0))</f>
        <v>0.821246385574341</v>
      </c>
      <c r="J1011" s="22" t="n">
        <f aca="false">H1011*I1011</f>
        <v>277.700364125182</v>
      </c>
    </row>
    <row r="1012" customFormat="false" ht="15" hidden="false" customHeight="false" outlineLevel="0" collapsed="false">
      <c r="A1012" s="5" t="s">
        <v>582</v>
      </c>
      <c r="B1012" s="2" t="s">
        <v>713</v>
      </c>
      <c r="C1012" s="5" t="s">
        <v>312</v>
      </c>
      <c r="D1012" s="5" t="s">
        <v>313</v>
      </c>
      <c r="E1012" s="5" t="s">
        <v>72</v>
      </c>
      <c r="F1012" s="21" t="n">
        <v>1531.5</v>
      </c>
      <c r="G1012" s="21" t="n">
        <v>76.5749969482422</v>
      </c>
      <c r="H1012" s="22" t="n">
        <f aca="false">F1012+G1012</f>
        <v>1608.07499694824</v>
      </c>
      <c r="I1012" s="13" t="n">
        <f aca="false">INDEX(RM_Rates!$F$5:$F$137,MATCH(C1012,RM_Rates!$A$5:$A$137,0))</f>
        <v>0.600000023841858</v>
      </c>
      <c r="J1012" s="22" t="n">
        <f aca="false">H1012*I1012</f>
        <v>964.845036508441</v>
      </c>
    </row>
    <row r="1013" customFormat="false" ht="15" hidden="false" customHeight="false" outlineLevel="0" collapsed="false">
      <c r="A1013" s="5" t="s">
        <v>582</v>
      </c>
      <c r="B1013" s="2" t="s">
        <v>713</v>
      </c>
      <c r="C1013" s="5" t="s">
        <v>160</v>
      </c>
      <c r="D1013" s="5" t="s">
        <v>161</v>
      </c>
      <c r="E1013" s="5" t="s">
        <v>72</v>
      </c>
      <c r="F1013" s="21" t="n">
        <v>139.5</v>
      </c>
      <c r="G1013" s="21" t="n">
        <v>1.39499998092651</v>
      </c>
      <c r="H1013" s="22" t="n">
        <f aca="false">F1013+G1013</f>
        <v>140.894999980927</v>
      </c>
      <c r="I1013" s="13" t="n">
        <f aca="false">INDEX(RM_Rates!$F$5:$F$137,MATCH(C1013,RM_Rates!$A$5:$A$137,0))</f>
        <v>3.00841188430786</v>
      </c>
      <c r="J1013" s="22" t="n">
        <f aca="false">H1013*I1013</f>
        <v>423.870192382175</v>
      </c>
    </row>
    <row r="1014" customFormat="false" ht="15" hidden="false" customHeight="false" outlineLevel="0" collapsed="false">
      <c r="A1014" s="5" t="s">
        <v>582</v>
      </c>
      <c r="B1014" s="2" t="s">
        <v>713</v>
      </c>
      <c r="C1014" s="5" t="s">
        <v>220</v>
      </c>
      <c r="D1014" s="5" t="s">
        <v>221</v>
      </c>
      <c r="E1014" s="5" t="s">
        <v>72</v>
      </c>
      <c r="F1014" s="21" t="n">
        <v>679.320007324219</v>
      </c>
      <c r="G1014" s="21" t="n">
        <v>0</v>
      </c>
      <c r="H1014" s="22" t="n">
        <f aca="false">F1014+G1014</f>
        <v>679.320007324219</v>
      </c>
      <c r="I1014" s="13" t="n">
        <f aca="false">INDEX(RM_Rates!$F$5:$F$137,MATCH(C1014,RM_Rates!$A$5:$A$137,0))</f>
        <v>0.379036813974381</v>
      </c>
      <c r="J1014" s="22" t="n">
        <f aca="false">H1014*I1014</f>
        <v>257.487291245225</v>
      </c>
    </row>
    <row r="1015" customFormat="false" ht="15" hidden="false" customHeight="false" outlineLevel="0" collapsed="false">
      <c r="A1015" s="5" t="s">
        <v>582</v>
      </c>
      <c r="B1015" s="2" t="s">
        <v>713</v>
      </c>
      <c r="C1015" s="5" t="s">
        <v>230</v>
      </c>
      <c r="D1015" s="5" t="s">
        <v>231</v>
      </c>
      <c r="E1015" s="5" t="s">
        <v>72</v>
      </c>
      <c r="F1015" s="21" t="n">
        <v>29.5</v>
      </c>
      <c r="G1015" s="21" t="n">
        <v>0</v>
      </c>
      <c r="H1015" s="22" t="n">
        <f aca="false">F1015+G1015</f>
        <v>29.5</v>
      </c>
      <c r="I1015" s="13" t="n">
        <f aca="false">INDEX(RM_Rates!$F$5:$F$137,MATCH(C1015,RM_Rates!$A$5:$A$137,0))</f>
        <v>0.742858171463013</v>
      </c>
      <c r="J1015" s="22" t="n">
        <f aca="false">H1015*I1015</f>
        <v>21.9143160581589</v>
      </c>
    </row>
    <row r="1016" customFormat="false" ht="15" hidden="false" customHeight="false" outlineLevel="0" collapsed="false">
      <c r="A1016" s="5" t="s">
        <v>582</v>
      </c>
      <c r="B1016" s="2" t="s">
        <v>713</v>
      </c>
      <c r="C1016" s="5" t="s">
        <v>246</v>
      </c>
      <c r="D1016" s="5" t="s">
        <v>247</v>
      </c>
      <c r="E1016" s="5" t="s">
        <v>72</v>
      </c>
      <c r="F1016" s="21" t="n">
        <v>1674.41003417969</v>
      </c>
      <c r="G1016" s="21" t="n">
        <v>4.18599987030029</v>
      </c>
      <c r="H1016" s="22" t="n">
        <f aca="false">F1016+G1016</f>
        <v>1678.59603404999</v>
      </c>
      <c r="I1016" s="13" t="n">
        <f aca="false">INDEX(RM_Rates!$F$5:$F$137,MATCH(C1016,RM_Rates!$A$5:$A$137,0))</f>
        <v>0.420493960380554</v>
      </c>
      <c r="J1016" s="22" t="n">
        <f aca="false">H1016*I1016</f>
        <v>705.839494236772</v>
      </c>
    </row>
    <row r="1017" customFormat="false" ht="15" hidden="false" customHeight="false" outlineLevel="0" collapsed="false">
      <c r="A1017" s="5" t="s">
        <v>582</v>
      </c>
      <c r="B1017" s="2" t="s">
        <v>713</v>
      </c>
      <c r="C1017" s="5" t="s">
        <v>232</v>
      </c>
      <c r="D1017" s="5" t="s">
        <v>233</v>
      </c>
      <c r="E1017" s="5" t="s">
        <v>72</v>
      </c>
      <c r="F1017" s="21" t="n">
        <v>26.7905616760254</v>
      </c>
      <c r="G1017" s="21" t="n">
        <v>0.0670000016689301</v>
      </c>
      <c r="H1017" s="22" t="n">
        <f aca="false">F1017+G1017</f>
        <v>26.8575616776943</v>
      </c>
      <c r="I1017" s="13" t="n">
        <f aca="false">INDEX(RM_Rates!$F$5:$F$137,MATCH(C1017,RM_Rates!$A$5:$A$137,0))</f>
        <v>1.45200002193451</v>
      </c>
      <c r="J1017" s="22" t="n">
        <f aca="false">H1017*I1017</f>
        <v>38.9971801451196</v>
      </c>
    </row>
    <row r="1018" customFormat="false" ht="15" hidden="false" customHeight="false" outlineLevel="0" collapsed="false">
      <c r="A1018" s="5" t="s">
        <v>582</v>
      </c>
      <c r="B1018" s="2" t="s">
        <v>713</v>
      </c>
      <c r="C1018" s="5" t="s">
        <v>277</v>
      </c>
      <c r="D1018" s="5" t="s">
        <v>278</v>
      </c>
      <c r="E1018" s="5" t="s">
        <v>72</v>
      </c>
      <c r="F1018" s="21" t="n">
        <v>4044</v>
      </c>
      <c r="G1018" s="21" t="n">
        <v>40.439998626709</v>
      </c>
      <c r="H1018" s="22" t="n">
        <f aca="false">F1018+G1018</f>
        <v>4084.43999862671</v>
      </c>
      <c r="I1018" s="13" t="n">
        <f aca="false">INDEX(RM_Rates!$F$5:$F$137,MATCH(C1018,RM_Rates!$A$5:$A$137,0))</f>
        <v>0.363243609666824</v>
      </c>
      <c r="J1018" s="22" t="n">
        <f aca="false">H1018*I1018</f>
        <v>1483.64672856872</v>
      </c>
    </row>
    <row r="1019" customFormat="false" ht="15" hidden="false" customHeight="false" outlineLevel="0" collapsed="false">
      <c r="A1019" s="5" t="s">
        <v>582</v>
      </c>
      <c r="B1019" s="2" t="s">
        <v>713</v>
      </c>
      <c r="C1019" s="5" t="s">
        <v>257</v>
      </c>
      <c r="D1019" s="5" t="s">
        <v>258</v>
      </c>
      <c r="E1019" s="5" t="s">
        <v>166</v>
      </c>
      <c r="F1019" s="21" t="n">
        <v>4</v>
      </c>
      <c r="G1019" s="21" t="n">
        <v>0</v>
      </c>
      <c r="H1019" s="22" t="n">
        <f aca="false">F1019+G1019</f>
        <v>4</v>
      </c>
      <c r="I1019" s="13" t="n">
        <f aca="false">INDEX(RM_Rates!$F$5:$F$137,MATCH(C1019,RM_Rates!$A$5:$A$137,0))</f>
        <v>131.083557128906</v>
      </c>
      <c r="J1019" s="22" t="n">
        <f aca="false">H1019*I1019</f>
        <v>524.334228515624</v>
      </c>
    </row>
    <row r="1020" customFormat="false" ht="15" hidden="false" customHeight="false" outlineLevel="0" collapsed="false">
      <c r="A1020" s="5" t="s">
        <v>582</v>
      </c>
      <c r="B1020" s="2" t="s">
        <v>713</v>
      </c>
      <c r="C1020" s="5" t="s">
        <v>177</v>
      </c>
      <c r="D1020" s="5" t="s">
        <v>178</v>
      </c>
      <c r="E1020" s="5" t="s">
        <v>166</v>
      </c>
      <c r="F1020" s="21" t="n">
        <v>8</v>
      </c>
      <c r="G1020" s="21" t="n">
        <v>0</v>
      </c>
      <c r="H1020" s="22" t="n">
        <f aca="false">F1020+G1020</f>
        <v>8</v>
      </c>
      <c r="I1020" s="13" t="n">
        <f aca="false">INDEX(RM_Rates!$F$5:$F$137,MATCH(C1020,RM_Rates!$A$5:$A$137,0))</f>
        <v>0.39300000667572</v>
      </c>
      <c r="J1020" s="22" t="n">
        <f aca="false">H1020*I1020</f>
        <v>3.14400005340576</v>
      </c>
    </row>
    <row r="1021" customFormat="false" ht="15" hidden="false" customHeight="false" outlineLevel="0" collapsed="false">
      <c r="A1021" s="5" t="s">
        <v>582</v>
      </c>
      <c r="B1021" s="2" t="s">
        <v>713</v>
      </c>
      <c r="C1021" s="5" t="s">
        <v>189</v>
      </c>
      <c r="D1021" s="5" t="s">
        <v>190</v>
      </c>
      <c r="E1021" s="5" t="s">
        <v>60</v>
      </c>
      <c r="F1021" s="21" t="n">
        <v>3.44000005722046</v>
      </c>
      <c r="G1021" s="21" t="n">
        <v>0</v>
      </c>
      <c r="H1021" s="22" t="n">
        <f aca="false">F1021+G1021</f>
        <v>3.44000005722046</v>
      </c>
      <c r="I1021" s="13" t="n">
        <f aca="false">INDEX(RM_Rates!$F$5:$F$137,MATCH(C1021,RM_Rates!$A$5:$A$137,0))</f>
        <v>0.568400025367737</v>
      </c>
      <c r="J1021" s="22" t="n">
        <f aca="false">H1021*I1021</f>
        <v>1.95529611978913</v>
      </c>
    </row>
    <row r="1022" customFormat="false" ht="15" hidden="false" customHeight="false" outlineLevel="0" collapsed="false">
      <c r="A1022" s="5" t="s">
        <v>582</v>
      </c>
      <c r="B1022" s="2" t="s">
        <v>713</v>
      </c>
      <c r="C1022" s="5" t="s">
        <v>298</v>
      </c>
      <c r="D1022" s="5" t="s">
        <v>299</v>
      </c>
      <c r="E1022" s="5" t="s">
        <v>297</v>
      </c>
      <c r="F1022" s="21" t="n">
        <v>25.6000003814697</v>
      </c>
      <c r="G1022" s="21" t="n">
        <v>0</v>
      </c>
      <c r="H1022" s="22" t="n">
        <f aca="false">F1022+G1022</f>
        <v>25.6000003814697</v>
      </c>
      <c r="I1022" s="13" t="n">
        <f aca="false">INDEX(RM_Rates!$F$5:$F$137,MATCH(C1022,RM_Rates!$A$5:$A$137,0))</f>
        <v>1.40752077102661</v>
      </c>
      <c r="J1022" s="22" t="n">
        <f aca="false">H1022*I1022</f>
        <v>36.0325322752077</v>
      </c>
    </row>
    <row r="1023" customFormat="false" ht="15" hidden="false" customHeight="false" outlineLevel="0" collapsed="false">
      <c r="A1023" s="5" t="s">
        <v>584</v>
      </c>
      <c r="B1023" s="2" t="s">
        <v>714</v>
      </c>
      <c r="C1023" s="5" t="s">
        <v>106</v>
      </c>
      <c r="D1023" s="5" t="s">
        <v>107</v>
      </c>
      <c r="E1023" s="5" t="s">
        <v>72</v>
      </c>
      <c r="F1023" s="21" t="n">
        <v>2466</v>
      </c>
      <c r="G1023" s="21" t="n">
        <v>12.3299999237061</v>
      </c>
      <c r="H1023" s="22" t="n">
        <f aca="false">F1023+G1023</f>
        <v>2478.32999992371</v>
      </c>
      <c r="I1023" s="13" t="n">
        <f aca="false">INDEX(RM_Rates!$F$5:$F$137,MATCH(C1023,RM_Rates!$A$5:$A$137,0))</f>
        <v>1.969372</v>
      </c>
      <c r="J1023" s="22" t="n">
        <f aca="false">H1023*I1023</f>
        <v>4880.75370860975</v>
      </c>
    </row>
    <row r="1024" customFormat="false" ht="15" hidden="false" customHeight="false" outlineLevel="0" collapsed="false">
      <c r="A1024" s="5" t="s">
        <v>584</v>
      </c>
      <c r="B1024" s="2" t="s">
        <v>714</v>
      </c>
      <c r="C1024" s="5" t="s">
        <v>328</v>
      </c>
      <c r="D1024" s="5" t="s">
        <v>329</v>
      </c>
      <c r="E1024" s="5" t="s">
        <v>72</v>
      </c>
      <c r="F1024" s="21" t="n">
        <v>166.007995605469</v>
      </c>
      <c r="G1024" s="21" t="n">
        <v>8.30099964141846</v>
      </c>
      <c r="H1024" s="22" t="n">
        <f aca="false">F1024+G1024</f>
        <v>174.308995246887</v>
      </c>
      <c r="I1024" s="13" t="n">
        <f aca="false">INDEX(RM_Rates!$F$5:$F$137,MATCH(C1024,RM_Rates!$A$5:$A$137,0))</f>
        <v>0.821246385574341</v>
      </c>
      <c r="J1024" s="22" t="n">
        <f aca="false">H1024*I1024</f>
        <v>143.150632319601</v>
      </c>
    </row>
    <row r="1025" customFormat="false" ht="15" hidden="false" customHeight="false" outlineLevel="0" collapsed="false">
      <c r="A1025" s="5" t="s">
        <v>584</v>
      </c>
      <c r="B1025" s="2" t="s">
        <v>714</v>
      </c>
      <c r="C1025" s="5" t="s">
        <v>312</v>
      </c>
      <c r="D1025" s="5" t="s">
        <v>313</v>
      </c>
      <c r="E1025" s="5" t="s">
        <v>72</v>
      </c>
      <c r="F1025" s="21" t="n">
        <v>342.900024414063</v>
      </c>
      <c r="G1025" s="21" t="n">
        <v>17.1450004577637</v>
      </c>
      <c r="H1025" s="22" t="n">
        <f aca="false">F1025+G1025</f>
        <v>360.045024871827</v>
      </c>
      <c r="I1025" s="13" t="n">
        <f aca="false">INDEX(RM_Rates!$F$5:$F$137,MATCH(C1025,RM_Rates!$A$5:$A$137,0))</f>
        <v>0.600000023841858</v>
      </c>
      <c r="J1025" s="22" t="n">
        <f aca="false">H1025*I1025</f>
        <v>216.027023507238</v>
      </c>
    </row>
    <row r="1026" customFormat="false" ht="15" hidden="false" customHeight="false" outlineLevel="0" collapsed="false">
      <c r="A1026" s="5" t="s">
        <v>584</v>
      </c>
      <c r="B1026" s="2" t="s">
        <v>714</v>
      </c>
      <c r="C1026" s="5" t="s">
        <v>158</v>
      </c>
      <c r="D1026" s="5" t="s">
        <v>159</v>
      </c>
      <c r="E1026" s="5" t="s">
        <v>72</v>
      </c>
      <c r="F1026" s="21" t="n">
        <v>84.8999938964844</v>
      </c>
      <c r="G1026" s="21" t="n">
        <v>0.848999977111816</v>
      </c>
      <c r="H1026" s="22" t="n">
        <f aca="false">F1026+G1026</f>
        <v>85.7489938735962</v>
      </c>
      <c r="I1026" s="13" t="n">
        <f aca="false">INDEX(RM_Rates!$F$5:$F$137,MATCH(C1026,RM_Rates!$A$5:$A$137,0))</f>
        <v>3.00841188430786</v>
      </c>
      <c r="J1026" s="22" t="n">
        <f aca="false">H1026*I1026</f>
        <v>257.968292236769</v>
      </c>
    </row>
    <row r="1027" customFormat="false" ht="15" hidden="false" customHeight="false" outlineLevel="0" collapsed="false">
      <c r="A1027" s="5" t="s">
        <v>584</v>
      </c>
      <c r="B1027" s="2" t="s">
        <v>714</v>
      </c>
      <c r="C1027" s="5" t="s">
        <v>204</v>
      </c>
      <c r="D1027" s="5" t="s">
        <v>205</v>
      </c>
      <c r="E1027" s="5" t="s">
        <v>72</v>
      </c>
      <c r="F1027" s="21" t="n">
        <v>20.0999984741211</v>
      </c>
      <c r="G1027" s="21" t="n">
        <v>0</v>
      </c>
      <c r="H1027" s="22" t="n">
        <f aca="false">F1027+G1027</f>
        <v>20.0999984741211</v>
      </c>
      <c r="I1027" s="13" t="n">
        <f aca="false">INDEX(RM_Rates!$F$5:$F$137,MATCH(C1027,RM_Rates!$A$5:$A$137,0))</f>
        <v>0.750177025794983</v>
      </c>
      <c r="J1027" s="22" t="n">
        <f aca="false">H1027*I1027</f>
        <v>15.0785570737999</v>
      </c>
    </row>
    <row r="1028" customFormat="false" ht="15" hidden="false" customHeight="false" outlineLevel="0" collapsed="false">
      <c r="A1028" s="5" t="s">
        <v>584</v>
      </c>
      <c r="B1028" s="2" t="s">
        <v>714</v>
      </c>
      <c r="C1028" s="5" t="s">
        <v>220</v>
      </c>
      <c r="D1028" s="5" t="s">
        <v>221</v>
      </c>
      <c r="E1028" s="5" t="s">
        <v>72</v>
      </c>
      <c r="F1028" s="21" t="n">
        <v>270.839996337891</v>
      </c>
      <c r="G1028" s="21" t="n">
        <v>0</v>
      </c>
      <c r="H1028" s="22" t="n">
        <f aca="false">F1028+G1028</f>
        <v>270.839996337891</v>
      </c>
      <c r="I1028" s="13" t="n">
        <f aca="false">INDEX(RM_Rates!$F$5:$F$137,MATCH(C1028,RM_Rates!$A$5:$A$137,0))</f>
        <v>0.379036813974381</v>
      </c>
      <c r="J1028" s="22" t="n">
        <f aca="false">H1028*I1028</f>
        <v>102.658329308747</v>
      </c>
    </row>
    <row r="1029" customFormat="false" ht="15" hidden="false" customHeight="false" outlineLevel="0" collapsed="false">
      <c r="A1029" s="5" t="s">
        <v>584</v>
      </c>
      <c r="B1029" s="2" t="s">
        <v>714</v>
      </c>
      <c r="C1029" s="5" t="s">
        <v>228</v>
      </c>
      <c r="D1029" s="5" t="s">
        <v>229</v>
      </c>
      <c r="E1029" s="5" t="s">
        <v>72</v>
      </c>
      <c r="F1029" s="21" t="n">
        <v>18.2000007629395</v>
      </c>
      <c r="G1029" s="21" t="n">
        <v>0</v>
      </c>
      <c r="H1029" s="22" t="n">
        <f aca="false">F1029+G1029</f>
        <v>18.2000007629395</v>
      </c>
      <c r="I1029" s="13" t="n">
        <f aca="false">INDEX(RM_Rates!$F$5:$F$137,MATCH(C1029,RM_Rates!$A$5:$A$137,0))</f>
        <v>0.742858171463013</v>
      </c>
      <c r="J1029" s="22" t="n">
        <f aca="false">H1029*I1029</f>
        <v>13.5200192873827</v>
      </c>
    </row>
    <row r="1030" customFormat="false" ht="15" hidden="false" customHeight="false" outlineLevel="0" collapsed="false">
      <c r="A1030" s="5" t="s">
        <v>584</v>
      </c>
      <c r="B1030" s="2" t="s">
        <v>714</v>
      </c>
      <c r="C1030" s="5" t="s">
        <v>246</v>
      </c>
      <c r="D1030" s="5" t="s">
        <v>247</v>
      </c>
      <c r="E1030" s="5" t="s">
        <v>72</v>
      </c>
      <c r="F1030" s="21" t="n">
        <v>793.390014648438</v>
      </c>
      <c r="G1030" s="21" t="n">
        <v>1.98300004005432</v>
      </c>
      <c r="H1030" s="22" t="n">
        <f aca="false">F1030+G1030</f>
        <v>795.373014688492</v>
      </c>
      <c r="I1030" s="13" t="n">
        <f aca="false">INDEX(RM_Rates!$F$5:$F$137,MATCH(C1030,RM_Rates!$A$5:$A$137,0))</f>
        <v>0.420493960380554</v>
      </c>
      <c r="J1030" s="22" t="n">
        <f aca="false">H1030*I1030</f>
        <v>334.449548926185</v>
      </c>
    </row>
    <row r="1031" customFormat="false" ht="15" hidden="false" customHeight="false" outlineLevel="0" collapsed="false">
      <c r="A1031" s="5" t="s">
        <v>584</v>
      </c>
      <c r="B1031" s="2" t="s">
        <v>714</v>
      </c>
      <c r="C1031" s="5" t="s">
        <v>232</v>
      </c>
      <c r="D1031" s="5" t="s">
        <v>233</v>
      </c>
      <c r="E1031" s="5" t="s">
        <v>72</v>
      </c>
      <c r="F1031" s="21" t="n">
        <v>12.694239616394</v>
      </c>
      <c r="G1031" s="21" t="n">
        <v>0.0319999977946281</v>
      </c>
      <c r="H1031" s="22" t="n">
        <f aca="false">F1031+G1031</f>
        <v>12.7262396141886</v>
      </c>
      <c r="I1031" s="13" t="n">
        <f aca="false">INDEX(RM_Rates!$F$5:$F$137,MATCH(C1031,RM_Rates!$A$5:$A$137,0))</f>
        <v>1.45200002193451</v>
      </c>
      <c r="J1031" s="22" t="n">
        <f aca="false">H1031*I1031</f>
        <v>18.4785001989457</v>
      </c>
    </row>
    <row r="1032" customFormat="false" ht="15" hidden="false" customHeight="false" outlineLevel="0" collapsed="false">
      <c r="A1032" s="5" t="s">
        <v>584</v>
      </c>
      <c r="B1032" s="2" t="s">
        <v>714</v>
      </c>
      <c r="C1032" s="5" t="s">
        <v>275</v>
      </c>
      <c r="D1032" s="5" t="s">
        <v>276</v>
      </c>
      <c r="E1032" s="5" t="s">
        <v>72</v>
      </c>
      <c r="F1032" s="21" t="n">
        <v>1998.59997558594</v>
      </c>
      <c r="G1032" s="21" t="n">
        <v>19.9860000610352</v>
      </c>
      <c r="H1032" s="22" t="n">
        <f aca="false">F1032+G1032</f>
        <v>2018.58597564698</v>
      </c>
      <c r="I1032" s="13" t="n">
        <f aca="false">INDEX(RM_Rates!$F$5:$F$137,MATCH(C1032,RM_Rates!$A$5:$A$137,0))</f>
        <v>0.367191910743713</v>
      </c>
      <c r="J1032" s="22" t="n">
        <f aca="false">H1032*I1032</f>
        <v>741.208441398275</v>
      </c>
    </row>
    <row r="1033" customFormat="false" ht="15" hidden="false" customHeight="false" outlineLevel="0" collapsed="false">
      <c r="A1033" s="5" t="s">
        <v>584</v>
      </c>
      <c r="B1033" s="2" t="s">
        <v>714</v>
      </c>
      <c r="C1033" s="5" t="s">
        <v>255</v>
      </c>
      <c r="D1033" s="5" t="s">
        <v>256</v>
      </c>
      <c r="E1033" s="5" t="s">
        <v>166</v>
      </c>
      <c r="F1033" s="21" t="n">
        <v>2</v>
      </c>
      <c r="G1033" s="21" t="n">
        <v>0</v>
      </c>
      <c r="H1033" s="22" t="n">
        <f aca="false">F1033+G1033</f>
        <v>2</v>
      </c>
      <c r="I1033" s="13" t="n">
        <f aca="false">INDEX(RM_Rates!$F$5:$F$137,MATCH(C1033,RM_Rates!$A$5:$A$137,0))</f>
        <v>114.500701904297</v>
      </c>
      <c r="J1033" s="22" t="n">
        <f aca="false">H1033*I1033</f>
        <v>229.001403808594</v>
      </c>
    </row>
    <row r="1034" customFormat="false" ht="15" hidden="false" customHeight="false" outlineLevel="0" collapsed="false">
      <c r="A1034" s="5" t="s">
        <v>584</v>
      </c>
      <c r="B1034" s="2" t="s">
        <v>714</v>
      </c>
      <c r="C1034" s="5" t="s">
        <v>175</v>
      </c>
      <c r="D1034" s="5" t="s">
        <v>176</v>
      </c>
      <c r="E1034" s="5" t="s">
        <v>166</v>
      </c>
      <c r="F1034" s="21" t="n">
        <v>4</v>
      </c>
      <c r="G1034" s="21" t="n">
        <v>0</v>
      </c>
      <c r="H1034" s="22" t="n">
        <f aca="false">F1034+G1034</f>
        <v>4</v>
      </c>
      <c r="I1034" s="13" t="n">
        <f aca="false">INDEX(RM_Rates!$F$5:$F$137,MATCH(C1034,RM_Rates!$A$5:$A$137,0))</f>
        <v>0.39300000667572</v>
      </c>
      <c r="J1034" s="22" t="n">
        <f aca="false">H1034*I1034</f>
        <v>1.57200002670288</v>
      </c>
    </row>
    <row r="1035" customFormat="false" ht="15" hidden="false" customHeight="false" outlineLevel="0" collapsed="false">
      <c r="A1035" s="5" t="s">
        <v>584</v>
      </c>
      <c r="B1035" s="2" t="s">
        <v>714</v>
      </c>
      <c r="C1035" s="5" t="s">
        <v>189</v>
      </c>
      <c r="D1035" s="5" t="s">
        <v>190</v>
      </c>
      <c r="E1035" s="5" t="s">
        <v>60</v>
      </c>
      <c r="F1035" s="21" t="n">
        <v>1.53999996185303</v>
      </c>
      <c r="G1035" s="21" t="n">
        <v>0</v>
      </c>
      <c r="H1035" s="22" t="n">
        <f aca="false">F1035+G1035</f>
        <v>1.53999996185303</v>
      </c>
      <c r="I1035" s="13" t="n">
        <f aca="false">INDEX(RM_Rates!$F$5:$F$137,MATCH(C1035,RM_Rates!$A$5:$A$137,0))</f>
        <v>0.568400025367737</v>
      </c>
      <c r="J1035" s="22" t="n">
        <f aca="false">H1035*I1035</f>
        <v>0.875336017383576</v>
      </c>
    </row>
    <row r="1036" customFormat="false" ht="15" hidden="false" customHeight="false" outlineLevel="0" collapsed="false">
      <c r="A1036" s="5" t="s">
        <v>584</v>
      </c>
      <c r="B1036" s="2" t="s">
        <v>714</v>
      </c>
      <c r="C1036" s="5" t="s">
        <v>295</v>
      </c>
      <c r="D1036" s="5" t="s">
        <v>296</v>
      </c>
      <c r="E1036" s="5" t="s">
        <v>297</v>
      </c>
      <c r="F1036" s="21" t="n">
        <v>12.6000003814697</v>
      </c>
      <c r="G1036" s="21" t="n">
        <v>0</v>
      </c>
      <c r="H1036" s="22" t="n">
        <f aca="false">F1036+G1036</f>
        <v>12.6000003814697</v>
      </c>
      <c r="I1036" s="13" t="n">
        <f aca="false">INDEX(RM_Rates!$F$5:$F$137,MATCH(C1036,RM_Rates!$A$5:$A$137,0))</f>
        <v>1.40752077102661</v>
      </c>
      <c r="J1036" s="22" t="n">
        <f aca="false">H1036*I1036</f>
        <v>17.7347622518618</v>
      </c>
    </row>
    <row r="1037" customFormat="false" ht="15" hidden="false" customHeight="false" outlineLevel="0" collapsed="false">
      <c r="A1037" s="5" t="s">
        <v>586</v>
      </c>
      <c r="B1037" s="2" t="s">
        <v>715</v>
      </c>
      <c r="C1037" s="5" t="s">
        <v>132</v>
      </c>
      <c r="D1037" s="5" t="s">
        <v>133</v>
      </c>
      <c r="E1037" s="5" t="s">
        <v>72</v>
      </c>
      <c r="F1037" s="21" t="n">
        <v>2466</v>
      </c>
      <c r="G1037" s="21" t="n">
        <v>12.3299999237061</v>
      </c>
      <c r="H1037" s="22" t="n">
        <f aca="false">F1037+G1037</f>
        <v>2478.32999992371</v>
      </c>
      <c r="I1037" s="13" t="n">
        <f aca="false">INDEX(RM_Rates!$F$5:$F$137,MATCH(C1037,RM_Rates!$A$5:$A$137,0))</f>
        <v>1.969372</v>
      </c>
      <c r="J1037" s="22" t="n">
        <f aca="false">H1037*I1037</f>
        <v>4880.75370860975</v>
      </c>
    </row>
    <row r="1038" customFormat="false" ht="15" hidden="false" customHeight="false" outlineLevel="0" collapsed="false">
      <c r="A1038" s="5" t="s">
        <v>586</v>
      </c>
      <c r="B1038" s="2" t="s">
        <v>715</v>
      </c>
      <c r="C1038" s="5" t="s">
        <v>326</v>
      </c>
      <c r="D1038" s="5" t="s">
        <v>327</v>
      </c>
      <c r="E1038" s="5" t="s">
        <v>72</v>
      </c>
      <c r="F1038" s="21" t="n">
        <v>132.600006103516</v>
      </c>
      <c r="G1038" s="21" t="n">
        <v>6.63000011444092</v>
      </c>
      <c r="H1038" s="22" t="n">
        <f aca="false">F1038+G1038</f>
        <v>139.230006217957</v>
      </c>
      <c r="I1038" s="13" t="n">
        <f aca="false">INDEX(RM_Rates!$F$5:$F$137,MATCH(C1038,RM_Rates!$A$5:$A$137,0))</f>
        <v>0.596000015735626</v>
      </c>
      <c r="J1038" s="22" t="n">
        <f aca="false">H1038*I1038</f>
        <v>82.9810858967736</v>
      </c>
    </row>
    <row r="1039" customFormat="false" ht="15" hidden="false" customHeight="false" outlineLevel="0" collapsed="false">
      <c r="A1039" s="5" t="s">
        <v>586</v>
      </c>
      <c r="B1039" s="2" t="s">
        <v>715</v>
      </c>
      <c r="C1039" s="5" t="s">
        <v>324</v>
      </c>
      <c r="D1039" s="5" t="s">
        <v>325</v>
      </c>
      <c r="E1039" s="5" t="s">
        <v>72</v>
      </c>
      <c r="F1039" s="21" t="n">
        <v>7.29300022125244</v>
      </c>
      <c r="G1039" s="21" t="n">
        <v>0.36599999666214</v>
      </c>
      <c r="H1039" s="22" t="n">
        <f aca="false">F1039+G1039</f>
        <v>7.65900021791458</v>
      </c>
      <c r="I1039" s="13" t="n">
        <f aca="false">INDEX(RM_Rates!$F$5:$F$137,MATCH(C1039,RM_Rates!$A$5:$A$137,0))</f>
        <v>1.35229277610779</v>
      </c>
      <c r="J1039" s="22" t="n">
        <f aca="false">H1039*I1039</f>
        <v>10.3572106668939</v>
      </c>
    </row>
    <row r="1040" customFormat="false" ht="15" hidden="false" customHeight="false" outlineLevel="0" collapsed="false">
      <c r="A1040" s="5" t="s">
        <v>586</v>
      </c>
      <c r="B1040" s="2" t="s">
        <v>715</v>
      </c>
      <c r="C1040" s="5" t="s">
        <v>318</v>
      </c>
      <c r="D1040" s="5" t="s">
        <v>319</v>
      </c>
      <c r="E1040" s="5" t="s">
        <v>72</v>
      </c>
      <c r="F1040" s="21" t="n">
        <v>0.662999987602234</v>
      </c>
      <c r="G1040" s="21" t="n">
        <v>0.0329999998211861</v>
      </c>
      <c r="H1040" s="22" t="n">
        <f aca="false">F1040+G1040</f>
        <v>0.69599998742342</v>
      </c>
      <c r="I1040" s="13" t="n">
        <f aca="false">INDEX(RM_Rates!$F$5:$F$137,MATCH(C1040,RM_Rates!$A$5:$A$137,0))</f>
        <v>1.6441433429718</v>
      </c>
      <c r="J1040" s="22" t="n">
        <f aca="false">H1040*I1040</f>
        <v>1.14432374603067</v>
      </c>
    </row>
    <row r="1041" customFormat="false" ht="15" hidden="false" customHeight="false" outlineLevel="0" collapsed="false">
      <c r="A1041" s="5" t="s">
        <v>586</v>
      </c>
      <c r="B1041" s="2" t="s">
        <v>715</v>
      </c>
      <c r="C1041" s="5" t="s">
        <v>322</v>
      </c>
      <c r="D1041" s="5" t="s">
        <v>323</v>
      </c>
      <c r="E1041" s="5" t="s">
        <v>72</v>
      </c>
      <c r="F1041" s="21" t="n">
        <v>0.662999987602234</v>
      </c>
      <c r="G1041" s="21" t="n">
        <v>0.0329999998211861</v>
      </c>
      <c r="H1041" s="22" t="n">
        <f aca="false">F1041+G1041</f>
        <v>0.69599998742342</v>
      </c>
      <c r="I1041" s="13" t="n">
        <f aca="false">INDEX(RM_Rates!$F$5:$F$137,MATCH(C1041,RM_Rates!$A$5:$A$137,0))</f>
        <v>1.6441433429718</v>
      </c>
      <c r="J1041" s="22" t="n">
        <f aca="false">H1041*I1041</f>
        <v>1.14432374603067</v>
      </c>
    </row>
    <row r="1042" customFormat="false" ht="15" hidden="false" customHeight="false" outlineLevel="0" collapsed="false">
      <c r="A1042" s="5" t="s">
        <v>586</v>
      </c>
      <c r="B1042" s="2" t="s">
        <v>715</v>
      </c>
      <c r="C1042" s="5" t="s">
        <v>316</v>
      </c>
      <c r="D1042" s="5" t="s">
        <v>317</v>
      </c>
      <c r="E1042" s="5" t="s">
        <v>72</v>
      </c>
      <c r="F1042" s="21" t="n">
        <v>0.662999987602234</v>
      </c>
      <c r="G1042" s="21" t="n">
        <v>0.0329999998211861</v>
      </c>
      <c r="H1042" s="22" t="n">
        <f aca="false">F1042+G1042</f>
        <v>0.69599998742342</v>
      </c>
      <c r="I1042" s="13" t="n">
        <f aca="false">INDEX(RM_Rates!$F$5:$F$137,MATCH(C1042,RM_Rates!$A$5:$A$137,0))</f>
        <v>1.6441433429718</v>
      </c>
      <c r="J1042" s="22" t="n">
        <f aca="false">H1042*I1042</f>
        <v>1.14432374603067</v>
      </c>
    </row>
    <row r="1043" customFormat="false" ht="15" hidden="false" customHeight="false" outlineLevel="0" collapsed="false">
      <c r="A1043" s="5" t="s">
        <v>586</v>
      </c>
      <c r="B1043" s="2" t="s">
        <v>715</v>
      </c>
      <c r="C1043" s="5" t="s">
        <v>222</v>
      </c>
      <c r="D1043" s="5" t="s">
        <v>223</v>
      </c>
      <c r="E1043" s="5" t="s">
        <v>72</v>
      </c>
      <c r="F1043" s="21" t="n">
        <v>17.7600002288818</v>
      </c>
      <c r="G1043" s="21" t="n">
        <v>0</v>
      </c>
      <c r="H1043" s="22" t="n">
        <f aca="false">F1043+G1043</f>
        <v>17.7600002288818</v>
      </c>
      <c r="I1043" s="13" t="n">
        <f aca="false">INDEX(RM_Rates!$F$5:$F$137,MATCH(C1043,RM_Rates!$A$5:$A$137,0))</f>
        <v>0.379036813974381</v>
      </c>
      <c r="J1043" s="22" t="n">
        <f aca="false">H1043*I1043</f>
        <v>6.73169390293964</v>
      </c>
    </row>
    <row r="1044" customFormat="false" ht="15" hidden="false" customHeight="false" outlineLevel="0" collapsed="false">
      <c r="A1044" s="5" t="s">
        <v>586</v>
      </c>
      <c r="B1044" s="2" t="s">
        <v>715</v>
      </c>
      <c r="C1044" s="5" t="s">
        <v>226</v>
      </c>
      <c r="D1044" s="5" t="s">
        <v>227</v>
      </c>
      <c r="E1044" s="5" t="s">
        <v>72</v>
      </c>
      <c r="F1044" s="21" t="n">
        <v>6.30000019073486</v>
      </c>
      <c r="G1044" s="21" t="n">
        <v>0</v>
      </c>
      <c r="H1044" s="22" t="n">
        <f aca="false">F1044+G1044</f>
        <v>6.30000019073486</v>
      </c>
      <c r="I1044" s="13" t="n">
        <f aca="false">INDEX(RM_Rates!$F$5:$F$137,MATCH(C1044,RM_Rates!$A$5:$A$137,0))</f>
        <v>0.742858171463013</v>
      </c>
      <c r="J1044" s="22" t="n">
        <f aca="false">H1044*I1044</f>
        <v>4.68000662190593</v>
      </c>
    </row>
    <row r="1045" customFormat="false" ht="15" hidden="false" customHeight="false" outlineLevel="0" collapsed="false">
      <c r="A1045" s="5" t="s">
        <v>586</v>
      </c>
      <c r="B1045" s="2" t="s">
        <v>715</v>
      </c>
      <c r="C1045" s="5" t="s">
        <v>240</v>
      </c>
      <c r="D1045" s="5" t="s">
        <v>241</v>
      </c>
      <c r="E1045" s="5" t="s">
        <v>72</v>
      </c>
      <c r="F1045" s="21" t="n">
        <v>459.400024414063</v>
      </c>
      <c r="G1045" s="21" t="n">
        <v>9.1879997253418</v>
      </c>
      <c r="H1045" s="22" t="n">
        <f aca="false">F1045+G1045</f>
        <v>468.588024139405</v>
      </c>
      <c r="I1045" s="13" t="n">
        <f aca="false">INDEX(RM_Rates!$F$5:$F$137,MATCH(C1045,RM_Rates!$A$5:$A$137,0))</f>
        <v>0.363999992609024</v>
      </c>
      <c r="J1045" s="22" t="n">
        <f aca="false">H1045*I1045</f>
        <v>170.566037323421</v>
      </c>
    </row>
    <row r="1046" customFormat="false" ht="15" hidden="false" customHeight="false" outlineLevel="0" collapsed="false">
      <c r="A1046" s="5" t="s">
        <v>586</v>
      </c>
      <c r="B1046" s="2" t="s">
        <v>715</v>
      </c>
      <c r="C1046" s="5" t="s">
        <v>273</v>
      </c>
      <c r="D1046" s="5" t="s">
        <v>274</v>
      </c>
      <c r="E1046" s="5" t="s">
        <v>72</v>
      </c>
      <c r="F1046" s="21" t="n">
        <v>1041.59997558594</v>
      </c>
      <c r="G1046" s="21" t="n">
        <v>10.4160003662109</v>
      </c>
      <c r="H1046" s="22" t="n">
        <f aca="false">F1046+G1046</f>
        <v>1052.01597595215</v>
      </c>
      <c r="I1046" s="13" t="n">
        <f aca="false">INDEX(RM_Rates!$F$5:$F$137,MATCH(C1046,RM_Rates!$A$5:$A$137,0))</f>
        <v>0.386933386325836</v>
      </c>
      <c r="J1046" s="22" t="n">
        <f aca="false">H1046*I1046</f>
        <v>407.060104044045</v>
      </c>
    </row>
    <row r="1047" customFormat="false" ht="15" hidden="false" customHeight="false" outlineLevel="0" collapsed="false">
      <c r="A1047" s="5" t="s">
        <v>586</v>
      </c>
      <c r="B1047" s="2" t="s">
        <v>715</v>
      </c>
      <c r="C1047" s="5" t="s">
        <v>285</v>
      </c>
      <c r="D1047" s="5" t="s">
        <v>286</v>
      </c>
      <c r="E1047" s="5" t="s">
        <v>166</v>
      </c>
      <c r="F1047" s="21" t="n">
        <v>2</v>
      </c>
      <c r="G1047" s="21" t="n">
        <v>0</v>
      </c>
      <c r="H1047" s="22" t="n">
        <f aca="false">F1047+G1047</f>
        <v>2</v>
      </c>
      <c r="I1047" s="13" t="n">
        <f aca="false">INDEX(RM_Rates!$F$5:$F$137,MATCH(C1047,RM_Rates!$A$5:$A$137,0))</f>
        <v>40.09814453125</v>
      </c>
      <c r="J1047" s="22" t="n">
        <f aca="false">H1047*I1047</f>
        <v>80.1962890625</v>
      </c>
    </row>
    <row r="1048" customFormat="false" ht="15" hidden="false" customHeight="false" outlineLevel="0" collapsed="false">
      <c r="A1048" s="5" t="s">
        <v>586</v>
      </c>
      <c r="B1048" s="2" t="s">
        <v>715</v>
      </c>
      <c r="C1048" s="5" t="s">
        <v>171</v>
      </c>
      <c r="D1048" s="5" t="s">
        <v>172</v>
      </c>
      <c r="E1048" s="5" t="s">
        <v>166</v>
      </c>
      <c r="F1048" s="21" t="n">
        <v>4</v>
      </c>
      <c r="G1048" s="21" t="n">
        <v>0</v>
      </c>
      <c r="H1048" s="22" t="n">
        <f aca="false">F1048+G1048</f>
        <v>4</v>
      </c>
      <c r="I1048" s="13" t="n">
        <f aca="false">INDEX(RM_Rates!$F$5:$F$137,MATCH(C1048,RM_Rates!$A$5:$A$137,0))</f>
        <v>0.124766282737255</v>
      </c>
      <c r="J1048" s="22" t="n">
        <f aca="false">H1048*I1048</f>
        <v>0.49906513094902</v>
      </c>
    </row>
    <row r="1049" customFormat="false" ht="15" hidden="false" customHeight="false" outlineLevel="0" collapsed="false">
      <c r="A1049" s="5" t="s">
        <v>586</v>
      </c>
      <c r="B1049" s="2" t="s">
        <v>715</v>
      </c>
      <c r="C1049" s="5" t="s">
        <v>308</v>
      </c>
      <c r="D1049" s="5" t="s">
        <v>309</v>
      </c>
      <c r="E1049" s="5" t="s">
        <v>297</v>
      </c>
      <c r="F1049" s="21" t="n">
        <v>8.80000019073486</v>
      </c>
      <c r="G1049" s="21" t="n">
        <v>0</v>
      </c>
      <c r="H1049" s="22" t="n">
        <f aca="false">F1049+G1049</f>
        <v>8.80000019073486</v>
      </c>
      <c r="I1049" s="13" t="n">
        <f aca="false">INDEX(RM_Rates!$F$5:$F$137,MATCH(C1049,RM_Rates!$A$5:$A$137,0))</f>
        <v>1.40752077102661</v>
      </c>
      <c r="J1049" s="22" t="n">
        <f aca="false">H1049*I1049</f>
        <v>12.3861830534974</v>
      </c>
    </row>
    <row r="1050" customFormat="false" ht="15" hidden="false" customHeight="false" outlineLevel="0" collapsed="false">
      <c r="A1050" s="5" t="s">
        <v>586</v>
      </c>
      <c r="B1050" s="2" t="s">
        <v>715</v>
      </c>
      <c r="C1050" s="5" t="s">
        <v>189</v>
      </c>
      <c r="D1050" s="5" t="s">
        <v>190</v>
      </c>
      <c r="E1050" s="5" t="s">
        <v>60</v>
      </c>
      <c r="F1050" s="21" t="n">
        <v>0.879999995231628</v>
      </c>
      <c r="G1050" s="21" t="n">
        <v>0</v>
      </c>
      <c r="H1050" s="22" t="n">
        <f aca="false">F1050+G1050</f>
        <v>0.879999995231628</v>
      </c>
      <c r="I1050" s="13" t="n">
        <f aca="false">INDEX(RM_Rates!$F$5:$F$137,MATCH(C1050,RM_Rates!$A$5:$A$137,0))</f>
        <v>0.568400025367737</v>
      </c>
      <c r="J1050" s="22" t="n">
        <f aca="false">H1050*I1050</f>
        <v>0.500192019613266</v>
      </c>
    </row>
    <row r="1051" customFormat="false" ht="15" hidden="false" customHeight="false" outlineLevel="0" collapsed="false">
      <c r="A1051" s="5" t="s">
        <v>588</v>
      </c>
      <c r="B1051" s="2" t="s">
        <v>716</v>
      </c>
      <c r="C1051" s="5" t="s">
        <v>86</v>
      </c>
      <c r="D1051" s="5" t="s">
        <v>87</v>
      </c>
      <c r="E1051" s="5" t="s">
        <v>72</v>
      </c>
      <c r="F1051" s="21" t="n">
        <v>85.1999969482422</v>
      </c>
      <c r="G1051" s="21" t="n">
        <v>0.428000003099442</v>
      </c>
      <c r="H1051" s="22" t="n">
        <f aca="false">F1051+G1051</f>
        <v>85.6279969513416</v>
      </c>
      <c r="I1051" s="13" t="n">
        <f aca="false">INDEX(RM_Rates!$F$5:$F$137,MATCH(C1051,RM_Rates!$A$5:$A$137,0))</f>
        <v>1.997936</v>
      </c>
      <c r="J1051" s="22" t="n">
        <f aca="false">H1051*I1051</f>
        <v>171.079257716976</v>
      </c>
    </row>
    <row r="1052" customFormat="false" ht="15" hidden="false" customHeight="false" outlineLevel="0" collapsed="false">
      <c r="A1052" s="5" t="s">
        <v>588</v>
      </c>
      <c r="B1052" s="2" t="s">
        <v>716</v>
      </c>
      <c r="C1052" s="5" t="s">
        <v>326</v>
      </c>
      <c r="D1052" s="5" t="s">
        <v>327</v>
      </c>
      <c r="E1052" s="5" t="s">
        <v>72</v>
      </c>
      <c r="F1052" s="21" t="n">
        <v>24.3999996185303</v>
      </c>
      <c r="G1052" s="21" t="n">
        <v>1.22000002861023</v>
      </c>
      <c r="H1052" s="22" t="n">
        <f aca="false">F1052+G1052</f>
        <v>25.6199996471405</v>
      </c>
      <c r="I1052" s="13" t="n">
        <f aca="false">INDEX(RM_Rates!$F$5:$F$137,MATCH(C1052,RM_Rates!$A$5:$A$137,0))</f>
        <v>0.596000015735626</v>
      </c>
      <c r="J1052" s="22" t="n">
        <f aca="false">H1052*I1052</f>
        <v>15.2695201928425</v>
      </c>
    </row>
    <row r="1053" customFormat="false" ht="15" hidden="false" customHeight="false" outlineLevel="0" collapsed="false">
      <c r="A1053" s="5" t="s">
        <v>588</v>
      </c>
      <c r="B1053" s="2" t="s">
        <v>716</v>
      </c>
      <c r="C1053" s="5" t="s">
        <v>324</v>
      </c>
      <c r="D1053" s="5" t="s">
        <v>325</v>
      </c>
      <c r="E1053" s="5" t="s">
        <v>72</v>
      </c>
      <c r="F1053" s="21" t="n">
        <v>1.34200000762939</v>
      </c>
      <c r="G1053" s="21" t="n">
        <v>0.068000003695488</v>
      </c>
      <c r="H1053" s="22" t="n">
        <f aca="false">F1053+G1053</f>
        <v>1.41000001132488</v>
      </c>
      <c r="I1053" s="13" t="n">
        <f aca="false">INDEX(RM_Rates!$F$5:$F$137,MATCH(C1053,RM_Rates!$A$5:$A$137,0))</f>
        <v>1.35229277610779</v>
      </c>
      <c r="J1053" s="22" t="n">
        <f aca="false">H1053*I1053</f>
        <v>1.90673282962654</v>
      </c>
    </row>
    <row r="1054" customFormat="false" ht="15" hidden="false" customHeight="false" outlineLevel="0" collapsed="false">
      <c r="A1054" s="5" t="s">
        <v>588</v>
      </c>
      <c r="B1054" s="2" t="s">
        <v>716</v>
      </c>
      <c r="C1054" s="5" t="s">
        <v>318</v>
      </c>
      <c r="D1054" s="5" t="s">
        <v>319</v>
      </c>
      <c r="E1054" s="5" t="s">
        <v>72</v>
      </c>
      <c r="F1054" s="21" t="n">
        <v>0.091499999165535</v>
      </c>
      <c r="G1054" s="21" t="n">
        <v>0.00499999988824129</v>
      </c>
      <c r="H1054" s="22" t="n">
        <f aca="false">F1054+G1054</f>
        <v>0.0964999990537763</v>
      </c>
      <c r="I1054" s="13" t="n">
        <f aca="false">INDEX(RM_Rates!$F$5:$F$137,MATCH(C1054,RM_Rates!$A$5:$A$137,0))</f>
        <v>1.6441433429718</v>
      </c>
      <c r="J1054" s="22" t="n">
        <f aca="false">H1054*I1054</f>
        <v>0.158659831041051</v>
      </c>
    </row>
    <row r="1055" customFormat="false" ht="15" hidden="false" customHeight="false" outlineLevel="0" collapsed="false">
      <c r="A1055" s="5" t="s">
        <v>588</v>
      </c>
      <c r="B1055" s="2" t="s">
        <v>716</v>
      </c>
      <c r="C1055" s="5" t="s">
        <v>322</v>
      </c>
      <c r="D1055" s="5" t="s">
        <v>323</v>
      </c>
      <c r="E1055" s="5" t="s">
        <v>72</v>
      </c>
      <c r="F1055" s="21" t="n">
        <v>0.091499999165535</v>
      </c>
      <c r="G1055" s="21" t="n">
        <v>0.00499999988824129</v>
      </c>
      <c r="H1055" s="22" t="n">
        <f aca="false">F1055+G1055</f>
        <v>0.0964999990537763</v>
      </c>
      <c r="I1055" s="13" t="n">
        <f aca="false">INDEX(RM_Rates!$F$5:$F$137,MATCH(C1055,RM_Rates!$A$5:$A$137,0))</f>
        <v>1.6441433429718</v>
      </c>
      <c r="J1055" s="22" t="n">
        <f aca="false">H1055*I1055</f>
        <v>0.158659831041051</v>
      </c>
    </row>
    <row r="1056" customFormat="false" ht="15" hidden="false" customHeight="false" outlineLevel="0" collapsed="false">
      <c r="A1056" s="5" t="s">
        <v>588</v>
      </c>
      <c r="B1056" s="2" t="s">
        <v>716</v>
      </c>
      <c r="C1056" s="5" t="s">
        <v>316</v>
      </c>
      <c r="D1056" s="5" t="s">
        <v>317</v>
      </c>
      <c r="E1056" s="5" t="s">
        <v>72</v>
      </c>
      <c r="F1056" s="21" t="n">
        <v>0.091499999165535</v>
      </c>
      <c r="G1056" s="21" t="n">
        <v>0.00499999988824129</v>
      </c>
      <c r="H1056" s="22" t="n">
        <f aca="false">F1056+G1056</f>
        <v>0.0964999990537763</v>
      </c>
      <c r="I1056" s="13" t="n">
        <f aca="false">INDEX(RM_Rates!$F$5:$F$137,MATCH(C1056,RM_Rates!$A$5:$A$137,0))</f>
        <v>1.6441433429718</v>
      </c>
      <c r="J1056" s="22" t="n">
        <f aca="false">H1056*I1056</f>
        <v>0.158659831041051</v>
      </c>
    </row>
    <row r="1057" customFormat="false" ht="15" hidden="false" customHeight="false" outlineLevel="0" collapsed="false">
      <c r="A1057" s="5" t="s">
        <v>588</v>
      </c>
      <c r="B1057" s="2" t="s">
        <v>716</v>
      </c>
      <c r="C1057" s="5" t="s">
        <v>314</v>
      </c>
      <c r="D1057" s="5" t="s">
        <v>315</v>
      </c>
      <c r="E1057" s="5" t="s">
        <v>72</v>
      </c>
      <c r="F1057" s="21" t="n">
        <v>0.091499999165535</v>
      </c>
      <c r="G1057" s="21" t="n">
        <v>0.00499999988824129</v>
      </c>
      <c r="H1057" s="22" t="n">
        <f aca="false">F1057+G1057</f>
        <v>0.0964999990537763</v>
      </c>
      <c r="I1057" s="13" t="n">
        <f aca="false">INDEX(RM_Rates!$F$5:$F$137,MATCH(C1057,RM_Rates!$A$5:$A$137,0))</f>
        <v>1.6441433429718</v>
      </c>
      <c r="J1057" s="22" t="n">
        <f aca="false">H1057*I1057</f>
        <v>0.158659831041051</v>
      </c>
    </row>
    <row r="1058" customFormat="false" ht="15" hidden="false" customHeight="false" outlineLevel="0" collapsed="false">
      <c r="A1058" s="5" t="s">
        <v>588</v>
      </c>
      <c r="B1058" s="2" t="s">
        <v>716</v>
      </c>
      <c r="C1058" s="5" t="s">
        <v>240</v>
      </c>
      <c r="D1058" s="5" t="s">
        <v>241</v>
      </c>
      <c r="E1058" s="5" t="s">
        <v>72</v>
      </c>
      <c r="F1058" s="21" t="n">
        <v>163.5</v>
      </c>
      <c r="G1058" s="21" t="n">
        <v>3.26999998092651</v>
      </c>
      <c r="H1058" s="22" t="n">
        <f aca="false">F1058+G1058</f>
        <v>166.769999980927</v>
      </c>
      <c r="I1058" s="13" t="n">
        <f aca="false">INDEX(RM_Rates!$F$5:$F$137,MATCH(C1058,RM_Rates!$A$5:$A$137,0))</f>
        <v>0.363999992609024</v>
      </c>
      <c r="J1058" s="22" t="n">
        <f aca="false">H1058*I1058</f>
        <v>60.7042787604642</v>
      </c>
    </row>
    <row r="1059" customFormat="false" ht="15" hidden="false" customHeight="false" outlineLevel="0" collapsed="false">
      <c r="A1059" s="5" t="s">
        <v>588</v>
      </c>
      <c r="B1059" s="2" t="s">
        <v>716</v>
      </c>
      <c r="C1059" s="5" t="s">
        <v>267</v>
      </c>
      <c r="D1059" s="5" t="s">
        <v>268</v>
      </c>
      <c r="E1059" s="5" t="s">
        <v>72</v>
      </c>
      <c r="F1059" s="21" t="n">
        <v>165</v>
      </c>
      <c r="G1059" s="21" t="n">
        <v>1.64999997615814</v>
      </c>
      <c r="H1059" s="22" t="n">
        <f aca="false">F1059+G1059</f>
        <v>166.649999976158</v>
      </c>
      <c r="I1059" s="13" t="n">
        <f aca="false">INDEX(RM_Rates!$F$5:$F$137,MATCH(C1059,RM_Rates!$A$5:$A$137,0))</f>
        <v>0.487615048885345</v>
      </c>
      <c r="J1059" s="22" t="n">
        <f aca="false">H1059*I1059</f>
        <v>81.2610478851171</v>
      </c>
    </row>
    <row r="1060" customFormat="false" ht="15" hidden="false" customHeight="false" outlineLevel="0" collapsed="false">
      <c r="A1060" s="5" t="s">
        <v>588</v>
      </c>
      <c r="B1060" s="2" t="s">
        <v>716</v>
      </c>
      <c r="C1060" s="5" t="s">
        <v>279</v>
      </c>
      <c r="D1060" s="5" t="s">
        <v>280</v>
      </c>
      <c r="E1060" s="5" t="s">
        <v>166</v>
      </c>
      <c r="F1060" s="21" t="n">
        <v>1</v>
      </c>
      <c r="G1060" s="21" t="n">
        <v>0</v>
      </c>
      <c r="H1060" s="22" t="n">
        <f aca="false">F1060+G1060</f>
        <v>1</v>
      </c>
      <c r="I1060" s="13" t="n">
        <f aca="false">INDEX(RM_Rates!$F$5:$F$137,MATCH(C1060,RM_Rates!$A$5:$A$137,0))</f>
        <v>17.5683555603027</v>
      </c>
      <c r="J1060" s="22" t="n">
        <f aca="false">H1060*I1060</f>
        <v>17.5683555603027</v>
      </c>
    </row>
    <row r="1061" customFormat="false" ht="15" hidden="false" customHeight="false" outlineLevel="0" collapsed="false">
      <c r="A1061" s="5" t="s">
        <v>588</v>
      </c>
      <c r="B1061" s="2" t="s">
        <v>716</v>
      </c>
      <c r="C1061" s="5" t="s">
        <v>167</v>
      </c>
      <c r="D1061" s="5" t="s">
        <v>168</v>
      </c>
      <c r="E1061" s="5" t="s">
        <v>166</v>
      </c>
      <c r="F1061" s="21" t="n">
        <v>2</v>
      </c>
      <c r="G1061" s="21" t="n">
        <v>0</v>
      </c>
      <c r="H1061" s="22" t="n">
        <f aca="false">F1061+G1061</f>
        <v>2</v>
      </c>
      <c r="I1061" s="13" t="n">
        <f aca="false">INDEX(RM_Rates!$F$5:$F$137,MATCH(C1061,RM_Rates!$A$5:$A$137,0))</f>
        <v>0.124766282737255</v>
      </c>
      <c r="J1061" s="22" t="n">
        <f aca="false">H1061*I1061</f>
        <v>0.24953256547451</v>
      </c>
    </row>
    <row r="1062" customFormat="false" ht="15" hidden="false" customHeight="false" outlineLevel="0" collapsed="false">
      <c r="A1062" s="5" t="s">
        <v>588</v>
      </c>
      <c r="B1062" s="2" t="s">
        <v>716</v>
      </c>
      <c r="C1062" s="5" t="s">
        <v>306</v>
      </c>
      <c r="D1062" s="5" t="s">
        <v>307</v>
      </c>
      <c r="E1062" s="5" t="s">
        <v>297</v>
      </c>
      <c r="F1062" s="21" t="n">
        <v>3.09999990463257</v>
      </c>
      <c r="G1062" s="21" t="n">
        <v>0</v>
      </c>
      <c r="H1062" s="22" t="n">
        <f aca="false">F1062+G1062</f>
        <v>3.09999990463257</v>
      </c>
      <c r="I1062" s="13" t="n">
        <f aca="false">INDEX(RM_Rates!$F$5:$F$137,MATCH(C1062,RM_Rates!$A$5:$A$137,0))</f>
        <v>1.40752077102661</v>
      </c>
      <c r="J1062" s="22" t="n">
        <f aca="false">H1062*I1062</f>
        <v>4.36331425595085</v>
      </c>
    </row>
    <row r="1063" customFormat="false" ht="15" hidden="false" customHeight="false" outlineLevel="0" collapsed="false">
      <c r="A1063" s="5" t="s">
        <v>588</v>
      </c>
      <c r="B1063" s="2" t="s">
        <v>716</v>
      </c>
      <c r="C1063" s="5" t="s">
        <v>189</v>
      </c>
      <c r="D1063" s="5" t="s">
        <v>190</v>
      </c>
      <c r="E1063" s="5" t="s">
        <v>60</v>
      </c>
      <c r="F1063" s="21" t="n">
        <v>0.200000002980232</v>
      </c>
      <c r="G1063" s="21" t="n">
        <v>0</v>
      </c>
      <c r="H1063" s="22" t="n">
        <f aca="false">F1063+G1063</f>
        <v>0.200000002980232</v>
      </c>
      <c r="I1063" s="13" t="n">
        <f aca="false">INDEX(RM_Rates!$F$5:$F$137,MATCH(C1063,RM_Rates!$A$5:$A$137,0))</f>
        <v>0.568400025367737</v>
      </c>
      <c r="J1063" s="22" t="n">
        <f aca="false">H1063*I1063</f>
        <v>0.113680006767511</v>
      </c>
    </row>
    <row r="1064" customFormat="false" ht="15" hidden="false" customHeight="false" outlineLevel="0" collapsed="false">
      <c r="A1064" s="5" t="s">
        <v>590</v>
      </c>
      <c r="B1064" s="2" t="s">
        <v>717</v>
      </c>
      <c r="C1064" s="5" t="s">
        <v>88</v>
      </c>
      <c r="D1064" s="5" t="s">
        <v>89</v>
      </c>
      <c r="E1064" s="5" t="s">
        <v>72</v>
      </c>
      <c r="F1064" s="21" t="n">
        <v>134</v>
      </c>
      <c r="G1064" s="21" t="n">
        <v>0.671999990940094</v>
      </c>
      <c r="H1064" s="22" t="n">
        <f aca="false">F1064+G1064</f>
        <v>134.67199999094</v>
      </c>
      <c r="I1064" s="13" t="n">
        <f aca="false">INDEX(RM_Rates!$F$5:$F$137,MATCH(C1064,RM_Rates!$A$5:$A$137,0))</f>
        <v>2.003726</v>
      </c>
      <c r="J1064" s="22" t="n">
        <f aca="false">H1064*I1064</f>
        <v>269.845787853846</v>
      </c>
    </row>
    <row r="1065" customFormat="false" ht="15" hidden="false" customHeight="false" outlineLevel="0" collapsed="false">
      <c r="A1065" s="5" t="s">
        <v>590</v>
      </c>
      <c r="B1065" s="2" t="s">
        <v>717</v>
      </c>
      <c r="C1065" s="5" t="s">
        <v>326</v>
      </c>
      <c r="D1065" s="5" t="s">
        <v>327</v>
      </c>
      <c r="E1065" s="5" t="s">
        <v>72</v>
      </c>
      <c r="F1065" s="21" t="n">
        <v>28.7999992370605</v>
      </c>
      <c r="G1065" s="21" t="n">
        <v>1.44000005722046</v>
      </c>
      <c r="H1065" s="22" t="n">
        <f aca="false">F1065+G1065</f>
        <v>30.239999294281</v>
      </c>
      <c r="I1065" s="13" t="n">
        <f aca="false">INDEX(RM_Rates!$F$5:$F$137,MATCH(C1065,RM_Rates!$A$5:$A$137,0))</f>
        <v>0.596000015735626</v>
      </c>
      <c r="J1065" s="22" t="n">
        <f aca="false">H1065*I1065</f>
        <v>18.0230400552368</v>
      </c>
    </row>
    <row r="1066" customFormat="false" ht="15" hidden="false" customHeight="false" outlineLevel="0" collapsed="false">
      <c r="A1066" s="5" t="s">
        <v>590</v>
      </c>
      <c r="B1066" s="2" t="s">
        <v>717</v>
      </c>
      <c r="C1066" s="5" t="s">
        <v>324</v>
      </c>
      <c r="D1066" s="5" t="s">
        <v>325</v>
      </c>
      <c r="E1066" s="5" t="s">
        <v>72</v>
      </c>
      <c r="F1066" s="21" t="n">
        <v>1.58399999141693</v>
      </c>
      <c r="G1066" s="21" t="n">
        <v>0.0799999982118607</v>
      </c>
      <c r="H1066" s="22" t="n">
        <f aca="false">F1066+G1066</f>
        <v>1.66399998962879</v>
      </c>
      <c r="I1066" s="13" t="n">
        <f aca="false">INDEX(RM_Rates!$F$5:$F$137,MATCH(C1066,RM_Rates!$A$5:$A$137,0))</f>
        <v>1.35229277610779</v>
      </c>
      <c r="J1066" s="22" t="n">
        <f aca="false">H1066*I1066</f>
        <v>2.25021516541845</v>
      </c>
    </row>
    <row r="1067" customFormat="false" ht="15" hidden="false" customHeight="false" outlineLevel="0" collapsed="false">
      <c r="A1067" s="5" t="s">
        <v>590</v>
      </c>
      <c r="B1067" s="2" t="s">
        <v>717</v>
      </c>
      <c r="C1067" s="5" t="s">
        <v>318</v>
      </c>
      <c r="D1067" s="5" t="s">
        <v>319</v>
      </c>
      <c r="E1067" s="5" t="s">
        <v>72</v>
      </c>
      <c r="F1067" s="21" t="n">
        <v>0.108000002801418</v>
      </c>
      <c r="G1067" s="21" t="n">
        <v>0.00499999988824129</v>
      </c>
      <c r="H1067" s="22" t="n">
        <f aca="false">F1067+G1067</f>
        <v>0.113000002689659</v>
      </c>
      <c r="I1067" s="13" t="n">
        <f aca="false">INDEX(RM_Rates!$F$5:$F$137,MATCH(C1067,RM_Rates!$A$5:$A$137,0))</f>
        <v>1.6441433429718</v>
      </c>
      <c r="J1067" s="22" t="n">
        <f aca="false">H1067*I1067</f>
        <v>0.185788202177999</v>
      </c>
    </row>
    <row r="1068" customFormat="false" ht="15" hidden="false" customHeight="false" outlineLevel="0" collapsed="false">
      <c r="A1068" s="5" t="s">
        <v>590</v>
      </c>
      <c r="B1068" s="2" t="s">
        <v>717</v>
      </c>
      <c r="C1068" s="5" t="s">
        <v>322</v>
      </c>
      <c r="D1068" s="5" t="s">
        <v>323</v>
      </c>
      <c r="E1068" s="5" t="s">
        <v>72</v>
      </c>
      <c r="F1068" s="21" t="n">
        <v>0.108000002801418</v>
      </c>
      <c r="G1068" s="21" t="n">
        <v>0.00499999988824129</v>
      </c>
      <c r="H1068" s="22" t="n">
        <f aca="false">F1068+G1068</f>
        <v>0.113000002689659</v>
      </c>
      <c r="I1068" s="13" t="n">
        <f aca="false">INDEX(RM_Rates!$F$5:$F$137,MATCH(C1068,RM_Rates!$A$5:$A$137,0))</f>
        <v>1.6441433429718</v>
      </c>
      <c r="J1068" s="22" t="n">
        <f aca="false">H1068*I1068</f>
        <v>0.185788202177999</v>
      </c>
    </row>
    <row r="1069" customFormat="false" ht="15" hidden="false" customHeight="false" outlineLevel="0" collapsed="false">
      <c r="A1069" s="5" t="s">
        <v>590</v>
      </c>
      <c r="B1069" s="2" t="s">
        <v>717</v>
      </c>
      <c r="C1069" s="5" t="s">
        <v>316</v>
      </c>
      <c r="D1069" s="5" t="s">
        <v>317</v>
      </c>
      <c r="E1069" s="5" t="s">
        <v>72</v>
      </c>
      <c r="F1069" s="21" t="n">
        <v>0.108000002801418</v>
      </c>
      <c r="G1069" s="21" t="n">
        <v>0.00499999988824129</v>
      </c>
      <c r="H1069" s="22" t="n">
        <f aca="false">F1069+G1069</f>
        <v>0.113000002689659</v>
      </c>
      <c r="I1069" s="13" t="n">
        <f aca="false">INDEX(RM_Rates!$F$5:$F$137,MATCH(C1069,RM_Rates!$A$5:$A$137,0))</f>
        <v>1.6441433429718</v>
      </c>
      <c r="J1069" s="22" t="n">
        <f aca="false">H1069*I1069</f>
        <v>0.185788202177999</v>
      </c>
    </row>
    <row r="1070" customFormat="false" ht="15" hidden="false" customHeight="false" outlineLevel="0" collapsed="false">
      <c r="A1070" s="5" t="s">
        <v>590</v>
      </c>
      <c r="B1070" s="2" t="s">
        <v>717</v>
      </c>
      <c r="C1070" s="5" t="s">
        <v>314</v>
      </c>
      <c r="D1070" s="5" t="s">
        <v>315</v>
      </c>
      <c r="E1070" s="5" t="s">
        <v>72</v>
      </c>
      <c r="F1070" s="21" t="n">
        <v>0.108000002801418</v>
      </c>
      <c r="G1070" s="21" t="n">
        <v>0.00499999988824129</v>
      </c>
      <c r="H1070" s="22" t="n">
        <f aca="false">F1070+G1070</f>
        <v>0.113000002689659</v>
      </c>
      <c r="I1070" s="13" t="n">
        <f aca="false">INDEX(RM_Rates!$F$5:$F$137,MATCH(C1070,RM_Rates!$A$5:$A$137,0))</f>
        <v>1.6441433429718</v>
      </c>
      <c r="J1070" s="22" t="n">
        <f aca="false">H1070*I1070</f>
        <v>0.185788202177999</v>
      </c>
    </row>
    <row r="1071" customFormat="false" ht="15" hidden="false" customHeight="false" outlineLevel="0" collapsed="false">
      <c r="A1071" s="5" t="s">
        <v>590</v>
      </c>
      <c r="B1071" s="2" t="s">
        <v>717</v>
      </c>
      <c r="C1071" s="5" t="s">
        <v>240</v>
      </c>
      <c r="D1071" s="5" t="s">
        <v>241</v>
      </c>
      <c r="E1071" s="5" t="s">
        <v>72</v>
      </c>
      <c r="F1071" s="21" t="n">
        <v>185.300003051758</v>
      </c>
      <c r="G1071" s="21" t="n">
        <v>3.70600008964539</v>
      </c>
      <c r="H1071" s="22" t="n">
        <f aca="false">F1071+G1071</f>
        <v>189.006003141403</v>
      </c>
      <c r="I1071" s="13" t="n">
        <f aca="false">INDEX(RM_Rates!$F$5:$F$137,MATCH(C1071,RM_Rates!$A$5:$A$137,0))</f>
        <v>0.363999992609024</v>
      </c>
      <c r="J1071" s="22" t="n">
        <f aca="false">H1071*I1071</f>
        <v>68.798183746532</v>
      </c>
    </row>
    <row r="1072" customFormat="false" ht="15" hidden="false" customHeight="false" outlineLevel="0" collapsed="false">
      <c r="A1072" s="5" t="s">
        <v>590</v>
      </c>
      <c r="B1072" s="2" t="s">
        <v>717</v>
      </c>
      <c r="C1072" s="5" t="s">
        <v>267</v>
      </c>
      <c r="D1072" s="5" t="s">
        <v>268</v>
      </c>
      <c r="E1072" s="5" t="s">
        <v>72</v>
      </c>
      <c r="F1072" s="21" t="n">
        <v>185</v>
      </c>
      <c r="G1072" s="21" t="n">
        <v>1.85000002384186</v>
      </c>
      <c r="H1072" s="22" t="n">
        <f aca="false">F1072+G1072</f>
        <v>186.850000023842</v>
      </c>
      <c r="I1072" s="13" t="n">
        <f aca="false">INDEX(RM_Rates!$F$5:$F$137,MATCH(C1072,RM_Rates!$A$5:$A$137,0))</f>
        <v>0.487615048885345</v>
      </c>
      <c r="J1072" s="22" t="n">
        <f aca="false">H1072*I1072</f>
        <v>91.1108718958524</v>
      </c>
    </row>
    <row r="1073" customFormat="false" ht="15" hidden="false" customHeight="false" outlineLevel="0" collapsed="false">
      <c r="A1073" s="5" t="s">
        <v>590</v>
      </c>
      <c r="B1073" s="2" t="s">
        <v>717</v>
      </c>
      <c r="C1073" s="5" t="s">
        <v>281</v>
      </c>
      <c r="D1073" s="5" t="s">
        <v>282</v>
      </c>
      <c r="E1073" s="5" t="s">
        <v>166</v>
      </c>
      <c r="F1073" s="21" t="n">
        <v>1</v>
      </c>
      <c r="G1073" s="21" t="n">
        <v>0</v>
      </c>
      <c r="H1073" s="22" t="n">
        <f aca="false">F1073+G1073</f>
        <v>1</v>
      </c>
      <c r="I1073" s="13" t="n">
        <f aca="false">INDEX(RM_Rates!$F$5:$F$137,MATCH(C1073,RM_Rates!$A$5:$A$137,0))</f>
        <v>31.1947288513184</v>
      </c>
      <c r="J1073" s="22" t="n">
        <f aca="false">H1073*I1073</f>
        <v>31.1947288513184</v>
      </c>
    </row>
    <row r="1074" customFormat="false" ht="15" hidden="false" customHeight="false" outlineLevel="0" collapsed="false">
      <c r="A1074" s="5" t="s">
        <v>590</v>
      </c>
      <c r="B1074" s="2" t="s">
        <v>717</v>
      </c>
      <c r="C1074" s="5" t="s">
        <v>167</v>
      </c>
      <c r="D1074" s="5" t="s">
        <v>168</v>
      </c>
      <c r="E1074" s="5" t="s">
        <v>166</v>
      </c>
      <c r="F1074" s="21" t="n">
        <v>2</v>
      </c>
      <c r="G1074" s="21" t="n">
        <v>0</v>
      </c>
      <c r="H1074" s="22" t="n">
        <f aca="false">F1074+G1074</f>
        <v>2</v>
      </c>
      <c r="I1074" s="13" t="n">
        <f aca="false">INDEX(RM_Rates!$F$5:$F$137,MATCH(C1074,RM_Rates!$A$5:$A$137,0))</f>
        <v>0.124766282737255</v>
      </c>
      <c r="J1074" s="22" t="n">
        <f aca="false">H1074*I1074</f>
        <v>0.24953256547451</v>
      </c>
    </row>
    <row r="1075" customFormat="false" ht="15" hidden="false" customHeight="false" outlineLevel="0" collapsed="false">
      <c r="A1075" s="5" t="s">
        <v>590</v>
      </c>
      <c r="B1075" s="2" t="s">
        <v>717</v>
      </c>
      <c r="C1075" s="5" t="s">
        <v>308</v>
      </c>
      <c r="D1075" s="5" t="s">
        <v>309</v>
      </c>
      <c r="E1075" s="5" t="s">
        <v>297</v>
      </c>
      <c r="F1075" s="21" t="n">
        <v>3.5</v>
      </c>
      <c r="G1075" s="21" t="n">
        <v>0</v>
      </c>
      <c r="H1075" s="22" t="n">
        <f aca="false">F1075+G1075</f>
        <v>3.5</v>
      </c>
      <c r="I1075" s="13" t="n">
        <f aca="false">INDEX(RM_Rates!$F$5:$F$137,MATCH(C1075,RM_Rates!$A$5:$A$137,0))</f>
        <v>1.40752077102661</v>
      </c>
      <c r="J1075" s="22" t="n">
        <f aca="false">H1075*I1075</f>
        <v>4.92632269859314</v>
      </c>
    </row>
    <row r="1076" customFormat="false" ht="15" hidden="false" customHeight="false" outlineLevel="0" collapsed="false">
      <c r="A1076" s="5" t="s">
        <v>590</v>
      </c>
      <c r="B1076" s="2" t="s">
        <v>717</v>
      </c>
      <c r="C1076" s="5" t="s">
        <v>189</v>
      </c>
      <c r="D1076" s="5" t="s">
        <v>190</v>
      </c>
      <c r="E1076" s="5" t="s">
        <v>60</v>
      </c>
      <c r="F1076" s="21" t="n">
        <v>0.349999994039536</v>
      </c>
      <c r="G1076" s="21" t="n">
        <v>0</v>
      </c>
      <c r="H1076" s="22" t="n">
        <f aca="false">F1076+G1076</f>
        <v>0.349999994039536</v>
      </c>
      <c r="I1076" s="13" t="n">
        <f aca="false">INDEX(RM_Rates!$F$5:$F$137,MATCH(C1076,RM_Rates!$A$5:$A$137,0))</f>
        <v>0.568400025367737</v>
      </c>
      <c r="J1076" s="22" t="n">
        <f aca="false">H1076*I1076</f>
        <v>0.19894000549078</v>
      </c>
    </row>
    <row r="1077" customFormat="false" ht="15" hidden="false" customHeight="false" outlineLevel="0" collapsed="false">
      <c r="A1077" s="5" t="s">
        <v>592</v>
      </c>
      <c r="B1077" s="2" t="s">
        <v>718</v>
      </c>
      <c r="C1077" s="5" t="s">
        <v>84</v>
      </c>
      <c r="D1077" s="5" t="s">
        <v>85</v>
      </c>
      <c r="E1077" s="5" t="s">
        <v>72</v>
      </c>
      <c r="F1077" s="21" t="n">
        <v>648.9599609375</v>
      </c>
      <c r="G1077" s="21" t="n">
        <v>0.0649999976158142</v>
      </c>
      <c r="H1077" s="22" t="n">
        <f aca="false">F1077+G1077</f>
        <v>649.024960935116</v>
      </c>
      <c r="I1077" s="13" t="n">
        <f aca="false">INDEX(RM_Rates!$F$5:$F$137,MATCH(C1077,RM_Rates!$A$5:$A$137,0))</f>
        <v>1.990602</v>
      </c>
      <c r="J1077" s="22" t="n">
        <f aca="false">H1077*I1077</f>
        <v>1291.95038528736</v>
      </c>
    </row>
    <row r="1078" customFormat="false" ht="15" hidden="false" customHeight="false" outlineLevel="0" collapsed="false">
      <c r="A1078" s="5" t="s">
        <v>592</v>
      </c>
      <c r="B1078" s="2" t="s">
        <v>718</v>
      </c>
      <c r="C1078" s="5" t="s">
        <v>195</v>
      </c>
      <c r="D1078" s="5" t="s">
        <v>196</v>
      </c>
      <c r="E1078" s="5" t="s">
        <v>72</v>
      </c>
      <c r="F1078" s="21" t="n">
        <v>192.691192626953</v>
      </c>
      <c r="G1078" s="21" t="n">
        <v>0</v>
      </c>
      <c r="H1078" s="22" t="n">
        <f aca="false">F1078+G1078</f>
        <v>192.691192626953</v>
      </c>
      <c r="I1078" s="13" t="n">
        <f aca="false">INDEX(RM_Rates!$F$5:$F$137,MATCH(C1078,RM_Rates!$A$5:$A$137,0))</f>
        <v>5.34994649887085</v>
      </c>
      <c r="J1078" s="22" t="n">
        <f aca="false">H1078*I1078</f>
        <v>1030.88757135782</v>
      </c>
    </row>
    <row r="1079" customFormat="false" ht="15" hidden="false" customHeight="false" outlineLevel="0" collapsed="false">
      <c r="A1079" s="5" t="s">
        <v>592</v>
      </c>
      <c r="B1079" s="2" t="s">
        <v>718</v>
      </c>
      <c r="C1079" s="5" t="s">
        <v>326</v>
      </c>
      <c r="D1079" s="5" t="s">
        <v>327</v>
      </c>
      <c r="E1079" s="5" t="s">
        <v>72</v>
      </c>
      <c r="F1079" s="21" t="n">
        <v>349.440002441406</v>
      </c>
      <c r="G1079" s="21" t="n">
        <v>0.349999994039536</v>
      </c>
      <c r="H1079" s="22" t="n">
        <f aca="false">F1079+G1079</f>
        <v>349.790002435446</v>
      </c>
      <c r="I1079" s="13" t="n">
        <f aca="false">INDEX(RM_Rates!$F$5:$F$137,MATCH(C1079,RM_Rates!$A$5:$A$137,0))</f>
        <v>0.596000015735626</v>
      </c>
      <c r="J1079" s="22" t="n">
        <f aca="false">H1079*I1079</f>
        <v>208.47484695569</v>
      </c>
    </row>
    <row r="1080" customFormat="false" ht="15" hidden="false" customHeight="false" outlineLevel="0" collapsed="false">
      <c r="A1080" s="5" t="s">
        <v>592</v>
      </c>
      <c r="B1080" s="2" t="s">
        <v>718</v>
      </c>
      <c r="C1080" s="5" t="s">
        <v>324</v>
      </c>
      <c r="D1080" s="5" t="s">
        <v>325</v>
      </c>
      <c r="E1080" s="5" t="s">
        <v>72</v>
      </c>
      <c r="F1080" s="21" t="n">
        <v>19.2191982269287</v>
      </c>
      <c r="G1080" s="21" t="n">
        <v>0.0189999993890524</v>
      </c>
      <c r="H1080" s="22" t="n">
        <f aca="false">F1080+G1080</f>
        <v>19.2381982263178</v>
      </c>
      <c r="I1080" s="13" t="n">
        <f aca="false">INDEX(RM_Rates!$F$5:$F$137,MATCH(C1080,RM_Rates!$A$5:$A$137,0))</f>
        <v>1.35229277610779</v>
      </c>
      <c r="J1080" s="22" t="n">
        <f aca="false">H1080*I1080</f>
        <v>26.0156764867792</v>
      </c>
    </row>
    <row r="1081" customFormat="false" ht="15" hidden="false" customHeight="false" outlineLevel="0" collapsed="false">
      <c r="A1081" s="5" t="s">
        <v>592</v>
      </c>
      <c r="B1081" s="2" t="s">
        <v>718</v>
      </c>
      <c r="C1081" s="5" t="s">
        <v>320</v>
      </c>
      <c r="D1081" s="5" t="s">
        <v>321</v>
      </c>
      <c r="E1081" s="5" t="s">
        <v>72</v>
      </c>
      <c r="F1081" s="21" t="n">
        <v>5.24159955978394</v>
      </c>
      <c r="G1081" s="21" t="n">
        <v>0.00499999988824129</v>
      </c>
      <c r="H1081" s="22" t="n">
        <f aca="false">F1081+G1081</f>
        <v>5.24659955967218</v>
      </c>
      <c r="I1081" s="13" t="n">
        <f aca="false">INDEX(RM_Rates!$F$5:$F$137,MATCH(C1081,RM_Rates!$A$5:$A$137,0))</f>
        <v>1.6441433429718</v>
      </c>
      <c r="J1081" s="22" t="n">
        <f aca="false">H1081*I1081</f>
        <v>8.62616173927379</v>
      </c>
    </row>
    <row r="1082" customFormat="false" ht="15" hidden="false" customHeight="false" outlineLevel="0" collapsed="false">
      <c r="A1082" s="5" t="s">
        <v>592</v>
      </c>
      <c r="B1082" s="2" t="s">
        <v>718</v>
      </c>
      <c r="C1082" s="5" t="s">
        <v>210</v>
      </c>
      <c r="D1082" s="5" t="s">
        <v>211</v>
      </c>
      <c r="E1082" s="5" t="s">
        <v>72</v>
      </c>
      <c r="F1082" s="21" t="n">
        <v>3.71000003814697</v>
      </c>
      <c r="G1082" s="21" t="n">
        <v>0</v>
      </c>
      <c r="H1082" s="22" t="n">
        <f aca="false">F1082+G1082</f>
        <v>3.71000003814697</v>
      </c>
      <c r="I1082" s="13" t="n">
        <f aca="false">INDEX(RM_Rates!$F$5:$F$137,MATCH(C1082,RM_Rates!$A$5:$A$137,0))</f>
        <v>0.750177025794983</v>
      </c>
      <c r="J1082" s="22" t="n">
        <f aca="false">H1082*I1082</f>
        <v>2.78315679431637</v>
      </c>
    </row>
    <row r="1083" customFormat="false" ht="15" hidden="false" customHeight="false" outlineLevel="0" collapsed="false">
      <c r="A1083" s="5" t="s">
        <v>592</v>
      </c>
      <c r="B1083" s="2" t="s">
        <v>718</v>
      </c>
      <c r="C1083" s="5" t="s">
        <v>62</v>
      </c>
      <c r="D1083" s="5" t="s">
        <v>63</v>
      </c>
      <c r="E1083" s="5" t="s">
        <v>60</v>
      </c>
      <c r="F1083" s="21" t="n">
        <v>6.6100001335144</v>
      </c>
      <c r="G1083" s="21" t="n">
        <v>0.0659999996423721</v>
      </c>
      <c r="H1083" s="22" t="n">
        <f aca="false">F1083+G1083</f>
        <v>6.67600013315677</v>
      </c>
      <c r="I1083" s="13" t="n">
        <f aca="false">INDEX(RM_Rates!$F$5:$F$137,MATCH(C1083,RM_Rates!$A$5:$A$137,0))</f>
        <v>1.83595955371857</v>
      </c>
      <c r="J1083" s="22" t="n">
        <f aca="false">H1083*I1083</f>
        <v>12.2568662250956</v>
      </c>
    </row>
    <row r="1084" customFormat="false" ht="15" hidden="false" customHeight="false" outlineLevel="0" collapsed="false">
      <c r="A1084" s="5" t="s">
        <v>592</v>
      </c>
      <c r="B1084" s="2" t="s">
        <v>718</v>
      </c>
      <c r="C1084" s="5" t="s">
        <v>70</v>
      </c>
      <c r="D1084" s="5" t="s">
        <v>71</v>
      </c>
      <c r="E1084" s="5" t="s">
        <v>72</v>
      </c>
      <c r="F1084" s="21" t="n">
        <v>4.5</v>
      </c>
      <c r="G1084" s="21" t="n">
        <v>0</v>
      </c>
      <c r="H1084" s="22" t="n">
        <f aca="false">F1084+G1084</f>
        <v>4.5</v>
      </c>
      <c r="I1084" s="13" t="n">
        <f aca="false">INDEX(RM_Rates!$F$5:$F$137,MATCH(C1084,RM_Rates!$A$5:$A$137,0))</f>
        <v>2.86922955513001</v>
      </c>
      <c r="J1084" s="22" t="n">
        <f aca="false">H1084*I1084</f>
        <v>12.911532998085</v>
      </c>
    </row>
    <row r="1085" customFormat="false" ht="15" hidden="false" customHeight="false" outlineLevel="0" collapsed="false">
      <c r="A1085" s="5" t="s">
        <v>592</v>
      </c>
      <c r="B1085" s="2" t="s">
        <v>718</v>
      </c>
      <c r="C1085" s="5" t="s">
        <v>202</v>
      </c>
      <c r="D1085" s="5" t="s">
        <v>203</v>
      </c>
      <c r="E1085" s="5" t="s">
        <v>72</v>
      </c>
      <c r="F1085" s="21" t="n">
        <v>3.14000010490418</v>
      </c>
      <c r="G1085" s="21" t="n">
        <v>0</v>
      </c>
      <c r="H1085" s="22" t="n">
        <f aca="false">F1085+G1085</f>
        <v>3.14000010490418</v>
      </c>
      <c r="I1085" s="13" t="n">
        <f aca="false">INDEX(RM_Rates!$F$5:$F$137,MATCH(C1085,RM_Rates!$A$5:$A$137,0))</f>
        <v>0.750177025794983</v>
      </c>
      <c r="J1085" s="22" t="n">
        <f aca="false">H1085*I1085</f>
        <v>2.35555593969295</v>
      </c>
    </row>
    <row r="1086" customFormat="false" ht="15" hidden="false" customHeight="false" outlineLevel="0" collapsed="false">
      <c r="A1086" s="5" t="s">
        <v>592</v>
      </c>
      <c r="B1086" s="2" t="s">
        <v>718</v>
      </c>
      <c r="C1086" s="5" t="s">
        <v>193</v>
      </c>
      <c r="D1086" s="5" t="s">
        <v>194</v>
      </c>
      <c r="E1086" s="5" t="s">
        <v>72</v>
      </c>
      <c r="F1086" s="21" t="n">
        <v>464.5</v>
      </c>
      <c r="G1086" s="21" t="n">
        <v>9.28999996185303</v>
      </c>
      <c r="H1086" s="22" t="n">
        <f aca="false">F1086+G1086</f>
        <v>473.789999961853</v>
      </c>
      <c r="I1086" s="13" t="n">
        <f aca="false">INDEX(RM_Rates!$F$5:$F$137,MATCH(C1086,RM_Rates!$A$5:$A$137,0))</f>
        <v>0.769918501377106</v>
      </c>
      <c r="J1086" s="22" t="n">
        <f aca="false">H1086*I1086</f>
        <v>364.779686738089</v>
      </c>
    </row>
    <row r="1087" customFormat="false" ht="15" hidden="false" customHeight="false" outlineLevel="0" collapsed="false">
      <c r="A1087" s="5" t="s">
        <v>592</v>
      </c>
      <c r="B1087" s="2" t="s">
        <v>718</v>
      </c>
      <c r="C1087" s="5" t="s">
        <v>191</v>
      </c>
      <c r="D1087" s="5" t="s">
        <v>192</v>
      </c>
      <c r="E1087" s="5" t="s">
        <v>72</v>
      </c>
      <c r="F1087" s="21" t="n">
        <v>7.43200016021729</v>
      </c>
      <c r="G1087" s="21" t="n">
        <v>0.148999989032745</v>
      </c>
      <c r="H1087" s="22" t="n">
        <f aca="false">F1087+G1087</f>
        <v>7.58100014925004</v>
      </c>
      <c r="I1087" s="13" t="n">
        <f aca="false">INDEX(RM_Rates!$F$5:$F$137,MATCH(C1087,RM_Rates!$A$5:$A$137,0))</f>
        <v>2.39035940170288</v>
      </c>
      <c r="J1087" s="22" t="n">
        <f aca="false">H1087*I1087</f>
        <v>18.1213149810708</v>
      </c>
    </row>
    <row r="1088" customFormat="false" ht="15" hidden="false" customHeight="false" outlineLevel="0" collapsed="false">
      <c r="A1088" s="5" t="s">
        <v>592</v>
      </c>
      <c r="B1088" s="2" t="s">
        <v>718</v>
      </c>
      <c r="C1088" s="5" t="s">
        <v>271</v>
      </c>
      <c r="D1088" s="5" t="s">
        <v>272</v>
      </c>
      <c r="E1088" s="5" t="s">
        <v>72</v>
      </c>
      <c r="F1088" s="21" t="n">
        <v>969.900024414063</v>
      </c>
      <c r="G1088" s="21" t="n">
        <v>9.69900035858154</v>
      </c>
      <c r="H1088" s="22" t="n">
        <f aca="false">F1088+G1088</f>
        <v>979.599024772645</v>
      </c>
      <c r="I1088" s="13" t="n">
        <f aca="false">INDEX(RM_Rates!$F$5:$F$137,MATCH(C1088,RM_Rates!$A$5:$A$137,0))</f>
        <v>0.388907551765442</v>
      </c>
      <c r="J1088" s="22" t="n">
        <f aca="false">H1088*I1088</f>
        <v>380.973458436144</v>
      </c>
    </row>
    <row r="1089" customFormat="false" ht="15" hidden="false" customHeight="false" outlineLevel="0" collapsed="false">
      <c r="A1089" s="5" t="s">
        <v>592</v>
      </c>
      <c r="B1089" s="2" t="s">
        <v>718</v>
      </c>
      <c r="C1089" s="5" t="s">
        <v>287</v>
      </c>
      <c r="D1089" s="5" t="s">
        <v>288</v>
      </c>
      <c r="E1089" s="5" t="s">
        <v>166</v>
      </c>
      <c r="F1089" s="21" t="n">
        <v>2</v>
      </c>
      <c r="G1089" s="21" t="n">
        <v>0</v>
      </c>
      <c r="H1089" s="22" t="n">
        <f aca="false">F1089+G1089</f>
        <v>2</v>
      </c>
      <c r="I1089" s="13" t="n">
        <f aca="false">INDEX(RM_Rates!$F$5:$F$137,MATCH(C1089,RM_Rates!$A$5:$A$137,0))</f>
        <v>57.848518371582</v>
      </c>
      <c r="J1089" s="22" t="n">
        <f aca="false">H1089*I1089</f>
        <v>115.697036743164</v>
      </c>
    </row>
    <row r="1090" customFormat="false" ht="15" hidden="false" customHeight="false" outlineLevel="0" collapsed="false">
      <c r="A1090" s="5" t="s">
        <v>592</v>
      </c>
      <c r="B1090" s="2" t="s">
        <v>718</v>
      </c>
      <c r="C1090" s="5" t="s">
        <v>173</v>
      </c>
      <c r="D1090" s="5" t="s">
        <v>174</v>
      </c>
      <c r="E1090" s="5" t="s">
        <v>166</v>
      </c>
      <c r="F1090" s="21" t="n">
        <v>4</v>
      </c>
      <c r="G1090" s="21" t="n">
        <v>0</v>
      </c>
      <c r="H1090" s="22" t="n">
        <f aca="false">F1090+G1090</f>
        <v>4</v>
      </c>
      <c r="I1090" s="13" t="n">
        <f aca="false">INDEX(RM_Rates!$F$5:$F$137,MATCH(C1090,RM_Rates!$A$5:$A$137,0))</f>
        <v>0.255849838256836</v>
      </c>
      <c r="J1090" s="22" t="n">
        <f aca="false">H1090*I1090</f>
        <v>1.02339935302734</v>
      </c>
    </row>
    <row r="1091" customFormat="false" ht="15" hidden="false" customHeight="false" outlineLevel="0" collapsed="false">
      <c r="A1091" s="5" t="s">
        <v>592</v>
      </c>
      <c r="B1091" s="2" t="s">
        <v>718</v>
      </c>
      <c r="C1091" s="5" t="s">
        <v>308</v>
      </c>
      <c r="D1091" s="5" t="s">
        <v>309</v>
      </c>
      <c r="E1091" s="5" t="s">
        <v>297</v>
      </c>
      <c r="F1091" s="21" t="n">
        <v>10</v>
      </c>
      <c r="G1091" s="21" t="n">
        <v>0</v>
      </c>
      <c r="H1091" s="22" t="n">
        <f aca="false">F1091+G1091</f>
        <v>10</v>
      </c>
      <c r="I1091" s="13" t="n">
        <f aca="false">INDEX(RM_Rates!$F$5:$F$137,MATCH(C1091,RM_Rates!$A$5:$A$137,0))</f>
        <v>1.40752077102661</v>
      </c>
      <c r="J1091" s="22" t="n">
        <f aca="false">H1091*I1091</f>
        <v>14.0752077102661</v>
      </c>
    </row>
    <row r="1092" customFormat="false" ht="15" hidden="false" customHeight="false" outlineLevel="0" collapsed="false">
      <c r="A1092" s="5" t="s">
        <v>592</v>
      </c>
      <c r="B1092" s="2" t="s">
        <v>718</v>
      </c>
      <c r="C1092" s="5" t="s">
        <v>189</v>
      </c>
      <c r="D1092" s="5" t="s">
        <v>190</v>
      </c>
      <c r="E1092" s="5" t="s">
        <v>60</v>
      </c>
      <c r="F1092" s="21" t="n">
        <v>1</v>
      </c>
      <c r="G1092" s="21" t="n">
        <v>0</v>
      </c>
      <c r="H1092" s="22" t="n">
        <f aca="false">F1092+G1092</f>
        <v>1</v>
      </c>
      <c r="I1092" s="13" t="n">
        <f aca="false">INDEX(RM_Rates!$F$5:$F$137,MATCH(C1092,RM_Rates!$A$5:$A$137,0))</f>
        <v>0.568400025367737</v>
      </c>
      <c r="J1092" s="22" t="n">
        <f aca="false">H1092*I1092</f>
        <v>0.568400025367737</v>
      </c>
    </row>
    <row r="1093" customFormat="false" ht="15" hidden="false" customHeight="false" outlineLevel="0" collapsed="false">
      <c r="A1093" s="5" t="s">
        <v>594</v>
      </c>
      <c r="B1093" s="2" t="s">
        <v>719</v>
      </c>
      <c r="C1093" s="5" t="s">
        <v>86</v>
      </c>
      <c r="D1093" s="5" t="s">
        <v>87</v>
      </c>
      <c r="E1093" s="5" t="s">
        <v>72</v>
      </c>
      <c r="F1093" s="21" t="n">
        <v>1063.2958984375</v>
      </c>
      <c r="G1093" s="21" t="n">
        <v>0.10700000077486</v>
      </c>
      <c r="H1093" s="22" t="n">
        <f aca="false">F1093+G1093</f>
        <v>1063.40289843827</v>
      </c>
      <c r="I1093" s="13" t="n">
        <f aca="false">INDEX(RM_Rates!$F$5:$F$137,MATCH(C1093,RM_Rates!$A$5:$A$137,0))</f>
        <v>1.997936</v>
      </c>
      <c r="J1093" s="22" t="n">
        <f aca="false">H1093*I1093</f>
        <v>2124.61093329417</v>
      </c>
    </row>
    <row r="1094" customFormat="false" ht="15" hidden="false" customHeight="false" outlineLevel="0" collapsed="false">
      <c r="A1094" s="5" t="s">
        <v>594</v>
      </c>
      <c r="B1094" s="2" t="s">
        <v>719</v>
      </c>
      <c r="C1094" s="5" t="s">
        <v>195</v>
      </c>
      <c r="D1094" s="5" t="s">
        <v>196</v>
      </c>
      <c r="E1094" s="5" t="s">
        <v>72</v>
      </c>
      <c r="F1094" s="21" t="n">
        <v>224.639984130859</v>
      </c>
      <c r="G1094" s="21" t="n">
        <v>0</v>
      </c>
      <c r="H1094" s="22" t="n">
        <f aca="false">F1094+G1094</f>
        <v>224.639984130859</v>
      </c>
      <c r="I1094" s="13" t="n">
        <f aca="false">INDEX(RM_Rates!$F$5:$F$137,MATCH(C1094,RM_Rates!$A$5:$A$137,0))</f>
        <v>5.34994649887085</v>
      </c>
      <c r="J1094" s="22" t="n">
        <f aca="false">H1094*I1094</f>
        <v>1201.81189660729</v>
      </c>
    </row>
    <row r="1095" customFormat="false" ht="15" hidden="false" customHeight="false" outlineLevel="0" collapsed="false">
      <c r="A1095" s="5" t="s">
        <v>594</v>
      </c>
      <c r="B1095" s="2" t="s">
        <v>719</v>
      </c>
      <c r="C1095" s="5" t="s">
        <v>326</v>
      </c>
      <c r="D1095" s="5" t="s">
        <v>327</v>
      </c>
      <c r="E1095" s="5" t="s">
        <v>72</v>
      </c>
      <c r="F1095" s="21" t="n">
        <v>394.367980957031</v>
      </c>
      <c r="G1095" s="21" t="n">
        <v>0.395000010728836</v>
      </c>
      <c r="H1095" s="22" t="n">
        <f aca="false">F1095+G1095</f>
        <v>394.76298096776</v>
      </c>
      <c r="I1095" s="13" t="n">
        <f aca="false">INDEX(RM_Rates!$F$5:$F$137,MATCH(C1095,RM_Rates!$A$5:$A$137,0))</f>
        <v>0.596000015735626</v>
      </c>
      <c r="J1095" s="22" t="n">
        <f aca="false">H1095*I1095</f>
        <v>235.278742868628</v>
      </c>
    </row>
    <row r="1096" customFormat="false" ht="15" hidden="false" customHeight="false" outlineLevel="0" collapsed="false">
      <c r="A1096" s="5" t="s">
        <v>594</v>
      </c>
      <c r="B1096" s="2" t="s">
        <v>719</v>
      </c>
      <c r="C1096" s="5" t="s">
        <v>324</v>
      </c>
      <c r="D1096" s="5" t="s">
        <v>325</v>
      </c>
      <c r="E1096" s="5" t="s">
        <v>72</v>
      </c>
      <c r="F1096" s="21" t="n">
        <v>21.6902389526367</v>
      </c>
      <c r="G1096" s="21" t="n">
        <v>0.0219999998807907</v>
      </c>
      <c r="H1096" s="22" t="n">
        <f aca="false">F1096+G1096</f>
        <v>21.7122389525175</v>
      </c>
      <c r="I1096" s="13" t="n">
        <f aca="false">INDEX(RM_Rates!$F$5:$F$137,MATCH(C1096,RM_Rates!$A$5:$A$137,0))</f>
        <v>1.35229277610779</v>
      </c>
      <c r="J1096" s="22" t="n">
        <f aca="false">H1096*I1096</f>
        <v>29.3613038886156</v>
      </c>
    </row>
    <row r="1097" customFormat="false" ht="15" hidden="false" customHeight="false" outlineLevel="0" collapsed="false">
      <c r="A1097" s="5" t="s">
        <v>594</v>
      </c>
      <c r="B1097" s="2" t="s">
        <v>719</v>
      </c>
      <c r="C1097" s="5" t="s">
        <v>320</v>
      </c>
      <c r="D1097" s="5" t="s">
        <v>321</v>
      </c>
      <c r="E1097" s="5" t="s">
        <v>72</v>
      </c>
      <c r="F1097" s="21" t="n">
        <v>5.91551971435547</v>
      </c>
      <c r="G1097" s="21" t="n">
        <v>0.00600000005215406</v>
      </c>
      <c r="H1097" s="22" t="n">
        <f aca="false">F1097+G1097</f>
        <v>5.92151971440762</v>
      </c>
      <c r="I1097" s="13" t="n">
        <f aca="false">INDEX(RM_Rates!$F$5:$F$137,MATCH(C1097,RM_Rates!$A$5:$A$137,0))</f>
        <v>1.6441433429718</v>
      </c>
      <c r="J1097" s="22" t="n">
        <f aca="false">H1097*I1097</f>
        <v>9.73582721871957</v>
      </c>
    </row>
    <row r="1098" customFormat="false" ht="15" hidden="false" customHeight="false" outlineLevel="0" collapsed="false">
      <c r="A1098" s="5" t="s">
        <v>594</v>
      </c>
      <c r="B1098" s="2" t="s">
        <v>719</v>
      </c>
      <c r="C1098" s="5" t="s">
        <v>210</v>
      </c>
      <c r="D1098" s="5" t="s">
        <v>211</v>
      </c>
      <c r="E1098" s="5" t="s">
        <v>72</v>
      </c>
      <c r="F1098" s="21" t="n">
        <v>4.09000015258789</v>
      </c>
      <c r="G1098" s="21" t="n">
        <v>0</v>
      </c>
      <c r="H1098" s="22" t="n">
        <f aca="false">F1098+G1098</f>
        <v>4.09000015258789</v>
      </c>
      <c r="I1098" s="13" t="n">
        <f aca="false">INDEX(RM_Rates!$F$5:$F$137,MATCH(C1098,RM_Rates!$A$5:$A$137,0))</f>
        <v>0.750177025794983</v>
      </c>
      <c r="J1098" s="22" t="n">
        <f aca="false">H1098*I1098</f>
        <v>3.06822414996941</v>
      </c>
    </row>
    <row r="1099" customFormat="false" ht="15" hidden="false" customHeight="false" outlineLevel="0" collapsed="false">
      <c r="A1099" s="5" t="s">
        <v>594</v>
      </c>
      <c r="B1099" s="2" t="s">
        <v>719</v>
      </c>
      <c r="C1099" s="5" t="s">
        <v>62</v>
      </c>
      <c r="D1099" s="5" t="s">
        <v>63</v>
      </c>
      <c r="E1099" s="5" t="s">
        <v>60</v>
      </c>
      <c r="F1099" s="21" t="n">
        <v>7.28000020980835</v>
      </c>
      <c r="G1099" s="21" t="n">
        <v>0.0729999989271164</v>
      </c>
      <c r="H1099" s="22" t="n">
        <f aca="false">F1099+G1099</f>
        <v>7.35300020873547</v>
      </c>
      <c r="I1099" s="13" t="n">
        <f aca="false">INDEX(RM_Rates!$F$5:$F$137,MATCH(C1099,RM_Rates!$A$5:$A$137,0))</f>
        <v>1.83595955371857</v>
      </c>
      <c r="J1099" s="22" t="n">
        <f aca="false">H1099*I1099</f>
        <v>13.4998109817225</v>
      </c>
    </row>
    <row r="1100" customFormat="false" ht="15" hidden="false" customHeight="false" outlineLevel="0" collapsed="false">
      <c r="A1100" s="5" t="s">
        <v>594</v>
      </c>
      <c r="B1100" s="2" t="s">
        <v>719</v>
      </c>
      <c r="C1100" s="5" t="s">
        <v>70</v>
      </c>
      <c r="D1100" s="5" t="s">
        <v>71</v>
      </c>
      <c r="E1100" s="5" t="s">
        <v>72</v>
      </c>
      <c r="F1100" s="21" t="n">
        <v>4.5</v>
      </c>
      <c r="G1100" s="21" t="n">
        <v>0</v>
      </c>
      <c r="H1100" s="22" t="n">
        <f aca="false">F1100+G1100</f>
        <v>4.5</v>
      </c>
      <c r="I1100" s="13" t="n">
        <f aca="false">INDEX(RM_Rates!$F$5:$F$137,MATCH(C1100,RM_Rates!$A$5:$A$137,0))</f>
        <v>2.86922955513001</v>
      </c>
      <c r="J1100" s="22" t="n">
        <f aca="false">H1100*I1100</f>
        <v>12.911532998085</v>
      </c>
    </row>
    <row r="1101" customFormat="false" ht="15" hidden="false" customHeight="false" outlineLevel="0" collapsed="false">
      <c r="A1101" s="5" t="s">
        <v>594</v>
      </c>
      <c r="B1101" s="2" t="s">
        <v>719</v>
      </c>
      <c r="C1101" s="5" t="s">
        <v>202</v>
      </c>
      <c r="D1101" s="5" t="s">
        <v>203</v>
      </c>
      <c r="E1101" s="5" t="s">
        <v>72</v>
      </c>
      <c r="F1101" s="21" t="n">
        <v>3.47000002861023</v>
      </c>
      <c r="G1101" s="21" t="n">
        <v>0</v>
      </c>
      <c r="H1101" s="22" t="n">
        <f aca="false">F1101+G1101</f>
        <v>3.47000002861023</v>
      </c>
      <c r="I1101" s="13" t="n">
        <f aca="false">INDEX(RM_Rates!$F$5:$F$137,MATCH(C1101,RM_Rates!$A$5:$A$137,0))</f>
        <v>0.750177025794983</v>
      </c>
      <c r="J1101" s="22" t="n">
        <f aca="false">H1101*I1101</f>
        <v>2.60311430097133</v>
      </c>
    </row>
    <row r="1102" customFormat="false" ht="15" hidden="false" customHeight="false" outlineLevel="0" collapsed="false">
      <c r="A1102" s="5" t="s">
        <v>594</v>
      </c>
      <c r="B1102" s="2" t="s">
        <v>719</v>
      </c>
      <c r="C1102" s="5" t="s">
        <v>193</v>
      </c>
      <c r="D1102" s="5" t="s">
        <v>194</v>
      </c>
      <c r="E1102" s="5" t="s">
        <v>72</v>
      </c>
      <c r="F1102" s="21" t="n">
        <v>572.699951171875</v>
      </c>
      <c r="G1102" s="21" t="n">
        <v>11.4540004730225</v>
      </c>
      <c r="H1102" s="22" t="n">
        <f aca="false">F1102+G1102</f>
        <v>584.153951644898</v>
      </c>
      <c r="I1102" s="13" t="n">
        <f aca="false">INDEX(RM_Rates!$F$5:$F$137,MATCH(C1102,RM_Rates!$A$5:$A$137,0))</f>
        <v>0.769918501377106</v>
      </c>
      <c r="J1102" s="22" t="n">
        <f aca="false">H1102*I1102</f>
        <v>449.750935023954</v>
      </c>
    </row>
    <row r="1103" customFormat="false" ht="15" hidden="false" customHeight="false" outlineLevel="0" collapsed="false">
      <c r="A1103" s="5" t="s">
        <v>594</v>
      </c>
      <c r="B1103" s="2" t="s">
        <v>719</v>
      </c>
      <c r="C1103" s="5" t="s">
        <v>191</v>
      </c>
      <c r="D1103" s="5" t="s">
        <v>192</v>
      </c>
      <c r="E1103" s="5" t="s">
        <v>72</v>
      </c>
      <c r="F1103" s="21" t="n">
        <v>9.16320037841797</v>
      </c>
      <c r="G1103" s="21" t="n">
        <v>0.184000000357628</v>
      </c>
      <c r="H1103" s="22" t="n">
        <f aca="false">F1103+G1103</f>
        <v>9.3472003787756</v>
      </c>
      <c r="I1103" s="13" t="n">
        <f aca="false">INDEX(RM_Rates!$F$5:$F$137,MATCH(C1103,RM_Rates!$A$5:$A$137,0))</f>
        <v>2.39035940170288</v>
      </c>
      <c r="J1103" s="22" t="n">
        <f aca="false">H1103*I1103</f>
        <v>22.343168305007</v>
      </c>
    </row>
    <row r="1104" customFormat="false" ht="15" hidden="false" customHeight="false" outlineLevel="0" collapsed="false">
      <c r="A1104" s="5" t="s">
        <v>594</v>
      </c>
      <c r="B1104" s="2" t="s">
        <v>719</v>
      </c>
      <c r="C1104" s="5" t="s">
        <v>273</v>
      </c>
      <c r="D1104" s="5" t="s">
        <v>274</v>
      </c>
      <c r="E1104" s="5" t="s">
        <v>72</v>
      </c>
      <c r="F1104" s="21" t="n">
        <v>1339.19995117188</v>
      </c>
      <c r="G1104" s="21" t="n">
        <v>13.3920001983643</v>
      </c>
      <c r="H1104" s="22" t="n">
        <f aca="false">F1104+G1104</f>
        <v>1352.59195137024</v>
      </c>
      <c r="I1104" s="13" t="n">
        <f aca="false">INDEX(RM_Rates!$F$5:$F$137,MATCH(C1104,RM_Rates!$A$5:$A$137,0))</f>
        <v>0.386933386325836</v>
      </c>
      <c r="J1104" s="22" t="n">
        <f aca="false">H1104*I1104</f>
        <v>523.362984060759</v>
      </c>
    </row>
    <row r="1105" customFormat="false" ht="15" hidden="false" customHeight="false" outlineLevel="0" collapsed="false">
      <c r="A1105" s="5" t="s">
        <v>594</v>
      </c>
      <c r="B1105" s="2" t="s">
        <v>719</v>
      </c>
      <c r="C1105" s="5" t="s">
        <v>253</v>
      </c>
      <c r="D1105" s="5" t="s">
        <v>254</v>
      </c>
      <c r="E1105" s="5" t="s">
        <v>166</v>
      </c>
      <c r="F1105" s="21" t="n">
        <v>2</v>
      </c>
      <c r="G1105" s="21" t="n">
        <v>0</v>
      </c>
      <c r="H1105" s="22" t="n">
        <f aca="false">F1105+G1105</f>
        <v>2</v>
      </c>
      <c r="I1105" s="13" t="n">
        <f aca="false">INDEX(RM_Rates!$F$5:$F$137,MATCH(C1105,RM_Rates!$A$5:$A$137,0))</f>
        <v>90.4160690307617</v>
      </c>
      <c r="J1105" s="22" t="n">
        <f aca="false">H1105*I1105</f>
        <v>180.832138061523</v>
      </c>
    </row>
    <row r="1106" customFormat="false" ht="15" hidden="false" customHeight="false" outlineLevel="0" collapsed="false">
      <c r="A1106" s="5" t="s">
        <v>594</v>
      </c>
      <c r="B1106" s="2" t="s">
        <v>719</v>
      </c>
      <c r="C1106" s="5" t="s">
        <v>173</v>
      </c>
      <c r="D1106" s="5" t="s">
        <v>174</v>
      </c>
      <c r="E1106" s="5" t="s">
        <v>166</v>
      </c>
      <c r="F1106" s="21" t="n">
        <v>4</v>
      </c>
      <c r="G1106" s="21" t="n">
        <v>0</v>
      </c>
      <c r="H1106" s="22" t="n">
        <f aca="false">F1106+G1106</f>
        <v>4</v>
      </c>
      <c r="I1106" s="13" t="n">
        <f aca="false">INDEX(RM_Rates!$F$5:$F$137,MATCH(C1106,RM_Rates!$A$5:$A$137,0))</f>
        <v>0.255849838256836</v>
      </c>
      <c r="J1106" s="22" t="n">
        <f aca="false">H1106*I1106</f>
        <v>1.02339935302734</v>
      </c>
    </row>
    <row r="1107" customFormat="false" ht="15" hidden="false" customHeight="false" outlineLevel="0" collapsed="false">
      <c r="A1107" s="5" t="s">
        <v>594</v>
      </c>
      <c r="B1107" s="2" t="s">
        <v>719</v>
      </c>
      <c r="C1107" s="5" t="s">
        <v>310</v>
      </c>
      <c r="D1107" s="5" t="s">
        <v>311</v>
      </c>
      <c r="E1107" s="5" t="s">
        <v>297</v>
      </c>
      <c r="F1107" s="21" t="n">
        <v>11.3999996185303</v>
      </c>
      <c r="G1107" s="21" t="n">
        <v>0</v>
      </c>
      <c r="H1107" s="22" t="n">
        <f aca="false">F1107+G1107</f>
        <v>11.3999996185303</v>
      </c>
      <c r="I1107" s="13" t="n">
        <f aca="false">INDEX(RM_Rates!$F$5:$F$137,MATCH(C1107,RM_Rates!$A$5:$A$137,0))</f>
        <v>1.40752077102661</v>
      </c>
      <c r="J1107" s="22" t="n">
        <f aca="false">H1107*I1107</f>
        <v>16.0457362527768</v>
      </c>
    </row>
    <row r="1108" customFormat="false" ht="15" hidden="false" customHeight="false" outlineLevel="0" collapsed="false">
      <c r="A1108" s="5" t="s">
        <v>594</v>
      </c>
      <c r="B1108" s="2" t="s">
        <v>719</v>
      </c>
      <c r="C1108" s="5" t="s">
        <v>189</v>
      </c>
      <c r="D1108" s="5" t="s">
        <v>190</v>
      </c>
      <c r="E1108" s="5" t="s">
        <v>60</v>
      </c>
      <c r="F1108" s="21" t="n">
        <v>1.17999994754791</v>
      </c>
      <c r="G1108" s="21" t="n">
        <v>0</v>
      </c>
      <c r="H1108" s="22" t="n">
        <f aca="false">F1108+G1108</f>
        <v>1.17999994754791</v>
      </c>
      <c r="I1108" s="13" t="n">
        <f aca="false">INDEX(RM_Rates!$F$5:$F$137,MATCH(C1108,RM_Rates!$A$5:$A$137,0))</f>
        <v>0.568400025367737</v>
      </c>
      <c r="J1108" s="22" t="n">
        <f aca="false">H1108*I1108</f>
        <v>0.67071200012016</v>
      </c>
    </row>
    <row r="1109" customFormat="false" ht="15" hidden="false" customHeight="false" outlineLevel="0" collapsed="false">
      <c r="A1109" s="5" t="s">
        <v>596</v>
      </c>
      <c r="B1109" s="2" t="s">
        <v>720</v>
      </c>
      <c r="C1109" s="5" t="s">
        <v>86</v>
      </c>
      <c r="D1109" s="5" t="s">
        <v>87</v>
      </c>
      <c r="E1109" s="5" t="s">
        <v>72</v>
      </c>
      <c r="F1109" s="21" t="n">
        <v>1063.2958984375</v>
      </c>
      <c r="G1109" s="21" t="n">
        <v>0.10700000077486</v>
      </c>
      <c r="H1109" s="22" t="n">
        <f aca="false">F1109+G1109</f>
        <v>1063.40289843827</v>
      </c>
      <c r="I1109" s="13" t="n">
        <f aca="false">INDEX(RM_Rates!$F$5:$F$137,MATCH(C1109,RM_Rates!$A$5:$A$137,0))</f>
        <v>1.997936</v>
      </c>
      <c r="J1109" s="22" t="n">
        <f aca="false">H1109*I1109</f>
        <v>2124.61093329417</v>
      </c>
    </row>
    <row r="1110" customFormat="false" ht="15" hidden="false" customHeight="false" outlineLevel="0" collapsed="false">
      <c r="A1110" s="5" t="s">
        <v>596</v>
      </c>
      <c r="B1110" s="2" t="s">
        <v>720</v>
      </c>
      <c r="C1110" s="5" t="s">
        <v>326</v>
      </c>
      <c r="D1110" s="5" t="s">
        <v>327</v>
      </c>
      <c r="E1110" s="5" t="s">
        <v>72</v>
      </c>
      <c r="F1110" s="21" t="n">
        <v>304.511993408203</v>
      </c>
      <c r="G1110" s="21" t="n">
        <v>0.305000007152557</v>
      </c>
      <c r="H1110" s="22" t="n">
        <f aca="false">F1110+G1110</f>
        <v>304.816993415356</v>
      </c>
      <c r="I1110" s="13" t="n">
        <f aca="false">INDEX(RM_Rates!$F$5:$F$137,MATCH(C1110,RM_Rates!$A$5:$A$137,0))</f>
        <v>0.596000015735626</v>
      </c>
      <c r="J1110" s="22" t="n">
        <f aca="false">H1110*I1110</f>
        <v>181.670932872038</v>
      </c>
    </row>
    <row r="1111" customFormat="false" ht="15" hidden="false" customHeight="false" outlineLevel="0" collapsed="false">
      <c r="A1111" s="5" t="s">
        <v>596</v>
      </c>
      <c r="B1111" s="2" t="s">
        <v>720</v>
      </c>
      <c r="C1111" s="5" t="s">
        <v>324</v>
      </c>
      <c r="D1111" s="5" t="s">
        <v>325</v>
      </c>
      <c r="E1111" s="5" t="s">
        <v>72</v>
      </c>
      <c r="F1111" s="21" t="n">
        <v>16.7481594085693</v>
      </c>
      <c r="G1111" s="21" t="n">
        <v>0.017000000923872</v>
      </c>
      <c r="H1111" s="22" t="n">
        <f aca="false">F1111+G1111</f>
        <v>16.7651594094932</v>
      </c>
      <c r="I1111" s="13" t="n">
        <f aca="false">INDEX(RM_Rates!$F$5:$F$137,MATCH(C1111,RM_Rates!$A$5:$A$137,0))</f>
        <v>1.35229277610779</v>
      </c>
      <c r="J1111" s="22" t="n">
        <f aca="false">H1111*I1111</f>
        <v>22.6714039597532</v>
      </c>
    </row>
    <row r="1112" customFormat="false" ht="15" hidden="false" customHeight="false" outlineLevel="0" collapsed="false">
      <c r="A1112" s="5" t="s">
        <v>596</v>
      </c>
      <c r="B1112" s="2" t="s">
        <v>720</v>
      </c>
      <c r="C1112" s="5" t="s">
        <v>320</v>
      </c>
      <c r="D1112" s="5" t="s">
        <v>321</v>
      </c>
      <c r="E1112" s="5" t="s">
        <v>72</v>
      </c>
      <c r="F1112" s="21" t="n">
        <v>4.56767988204956</v>
      </c>
      <c r="G1112" s="21" t="n">
        <v>0.00499999988824129</v>
      </c>
      <c r="H1112" s="22" t="n">
        <f aca="false">F1112+G1112</f>
        <v>4.5726798819378</v>
      </c>
      <c r="I1112" s="13" t="n">
        <f aca="false">INDEX(RM_Rates!$F$5:$F$137,MATCH(C1112,RM_Rates!$A$5:$A$137,0))</f>
        <v>1.6441433429718</v>
      </c>
      <c r="J1112" s="22" t="n">
        <f aca="false">H1112*I1112</f>
        <v>7.51814118742911</v>
      </c>
    </row>
    <row r="1113" customFormat="false" ht="15" hidden="false" customHeight="false" outlineLevel="0" collapsed="false">
      <c r="A1113" s="5" t="s">
        <v>596</v>
      </c>
      <c r="B1113" s="2" t="s">
        <v>720</v>
      </c>
      <c r="C1113" s="5" t="s">
        <v>210</v>
      </c>
      <c r="D1113" s="5" t="s">
        <v>211</v>
      </c>
      <c r="E1113" s="5" t="s">
        <v>72</v>
      </c>
      <c r="F1113" s="21" t="n">
        <v>3.3199999332428</v>
      </c>
      <c r="G1113" s="21" t="n">
        <v>0</v>
      </c>
      <c r="H1113" s="22" t="n">
        <f aca="false">F1113+G1113</f>
        <v>3.3199999332428</v>
      </c>
      <c r="I1113" s="13" t="n">
        <f aca="false">INDEX(RM_Rates!$F$5:$F$137,MATCH(C1113,RM_Rates!$A$5:$A$137,0))</f>
        <v>0.750177025794983</v>
      </c>
      <c r="J1113" s="22" t="n">
        <f aca="false">H1113*I1113</f>
        <v>2.49058767555963</v>
      </c>
    </row>
    <row r="1114" customFormat="false" ht="15" hidden="false" customHeight="false" outlineLevel="0" collapsed="false">
      <c r="A1114" s="5" t="s">
        <v>596</v>
      </c>
      <c r="B1114" s="2" t="s">
        <v>720</v>
      </c>
      <c r="C1114" s="5" t="s">
        <v>62</v>
      </c>
      <c r="D1114" s="5" t="s">
        <v>63</v>
      </c>
      <c r="E1114" s="5" t="s">
        <v>60</v>
      </c>
      <c r="F1114" s="21" t="n">
        <v>5.90999984741211</v>
      </c>
      <c r="G1114" s="21" t="n">
        <v>0.0590000003576279</v>
      </c>
      <c r="H1114" s="22" t="n">
        <f aca="false">F1114+G1114</f>
        <v>5.96899984776974</v>
      </c>
      <c r="I1114" s="13" t="n">
        <f aca="false">INDEX(RM_Rates!$F$5:$F$137,MATCH(C1114,RM_Rates!$A$5:$A$137,0))</f>
        <v>1.83595955371857</v>
      </c>
      <c r="J1114" s="22" t="n">
        <f aca="false">H1114*I1114</f>
        <v>10.9588422966575</v>
      </c>
    </row>
    <row r="1115" customFormat="false" ht="15" hidden="false" customHeight="false" outlineLevel="0" collapsed="false">
      <c r="A1115" s="5" t="s">
        <v>596</v>
      </c>
      <c r="B1115" s="2" t="s">
        <v>720</v>
      </c>
      <c r="C1115" s="5" t="s">
        <v>70</v>
      </c>
      <c r="D1115" s="5" t="s">
        <v>71</v>
      </c>
      <c r="E1115" s="5" t="s">
        <v>72</v>
      </c>
      <c r="F1115" s="21" t="n">
        <v>4.5</v>
      </c>
      <c r="G1115" s="21" t="n">
        <v>0</v>
      </c>
      <c r="H1115" s="22" t="n">
        <f aca="false">F1115+G1115</f>
        <v>4.5</v>
      </c>
      <c r="I1115" s="13" t="n">
        <f aca="false">INDEX(RM_Rates!$F$5:$F$137,MATCH(C1115,RM_Rates!$A$5:$A$137,0))</f>
        <v>2.86922955513001</v>
      </c>
      <c r="J1115" s="22" t="n">
        <f aca="false">H1115*I1115</f>
        <v>12.911532998085</v>
      </c>
    </row>
    <row r="1116" customFormat="false" ht="15" hidden="false" customHeight="false" outlineLevel="0" collapsed="false">
      <c r="A1116" s="5" t="s">
        <v>596</v>
      </c>
      <c r="B1116" s="2" t="s">
        <v>720</v>
      </c>
      <c r="C1116" s="5" t="s">
        <v>202</v>
      </c>
      <c r="D1116" s="5" t="s">
        <v>203</v>
      </c>
      <c r="E1116" s="5" t="s">
        <v>72</v>
      </c>
      <c r="F1116" s="21" t="n">
        <v>2.80999994277954</v>
      </c>
      <c r="G1116" s="21" t="n">
        <v>0</v>
      </c>
      <c r="H1116" s="22" t="n">
        <f aca="false">F1116+G1116</f>
        <v>2.80999994277954</v>
      </c>
      <c r="I1116" s="13" t="n">
        <f aca="false">INDEX(RM_Rates!$F$5:$F$137,MATCH(C1116,RM_Rates!$A$5:$A$137,0))</f>
        <v>0.750177025794983</v>
      </c>
      <c r="J1116" s="22" t="n">
        <f aca="false">H1116*I1116</f>
        <v>2.10799739955843</v>
      </c>
    </row>
    <row r="1117" customFormat="false" ht="15" hidden="false" customHeight="false" outlineLevel="0" collapsed="false">
      <c r="A1117" s="5" t="s">
        <v>596</v>
      </c>
      <c r="B1117" s="2" t="s">
        <v>720</v>
      </c>
      <c r="C1117" s="5" t="s">
        <v>193</v>
      </c>
      <c r="D1117" s="5" t="s">
        <v>194</v>
      </c>
      <c r="E1117" s="5" t="s">
        <v>72</v>
      </c>
      <c r="F1117" s="21" t="n">
        <v>479</v>
      </c>
      <c r="G1117" s="21" t="n">
        <v>9.57999992370606</v>
      </c>
      <c r="H1117" s="22" t="n">
        <f aca="false">F1117+G1117</f>
        <v>488.579999923706</v>
      </c>
      <c r="I1117" s="13" t="n">
        <f aca="false">INDEX(RM_Rates!$F$5:$F$137,MATCH(C1117,RM_Rates!$A$5:$A$137,0))</f>
        <v>0.769918501377106</v>
      </c>
      <c r="J1117" s="22" t="n">
        <f aca="false">H1117*I1117</f>
        <v>376.166781344086</v>
      </c>
    </row>
    <row r="1118" customFormat="false" ht="15" hidden="false" customHeight="false" outlineLevel="0" collapsed="false">
      <c r="A1118" s="5" t="s">
        <v>596</v>
      </c>
      <c r="B1118" s="2" t="s">
        <v>720</v>
      </c>
      <c r="C1118" s="5" t="s">
        <v>191</v>
      </c>
      <c r="D1118" s="5" t="s">
        <v>192</v>
      </c>
      <c r="E1118" s="5" t="s">
        <v>72</v>
      </c>
      <c r="F1118" s="21" t="n">
        <v>7.66400003433228</v>
      </c>
      <c r="G1118" s="21" t="n">
        <v>0.152999997138977</v>
      </c>
      <c r="H1118" s="22" t="n">
        <f aca="false">F1118+G1118</f>
        <v>7.81700003147126</v>
      </c>
      <c r="I1118" s="13" t="n">
        <f aca="false">INDEX(RM_Rates!$F$5:$F$137,MATCH(C1118,RM_Rates!$A$5:$A$137,0))</f>
        <v>2.39035940170288</v>
      </c>
      <c r="J1118" s="22" t="n">
        <f aca="false">H1118*I1118</f>
        <v>18.685439518339</v>
      </c>
    </row>
    <row r="1119" customFormat="false" ht="15" hidden="false" customHeight="false" outlineLevel="0" collapsed="false">
      <c r="A1119" s="5" t="s">
        <v>596</v>
      </c>
      <c r="B1119" s="2" t="s">
        <v>720</v>
      </c>
      <c r="C1119" s="5" t="s">
        <v>273</v>
      </c>
      <c r="D1119" s="5" t="s">
        <v>274</v>
      </c>
      <c r="E1119" s="5" t="s">
        <v>72</v>
      </c>
      <c r="F1119" s="21" t="n">
        <v>1116</v>
      </c>
      <c r="G1119" s="21" t="n">
        <v>11.1599998474121</v>
      </c>
      <c r="H1119" s="22" t="n">
        <f aca="false">F1119+G1119</f>
        <v>1127.15999984741</v>
      </c>
      <c r="I1119" s="13" t="n">
        <f aca="false">INDEX(RM_Rates!$F$5:$F$137,MATCH(C1119,RM_Rates!$A$5:$A$137,0))</f>
        <v>0.386933386325836</v>
      </c>
      <c r="J1119" s="22" t="n">
        <f aca="false">H1119*I1119</f>
        <v>436.135835671988</v>
      </c>
    </row>
    <row r="1120" customFormat="false" ht="15" hidden="false" customHeight="false" outlineLevel="0" collapsed="false">
      <c r="A1120" s="5" t="s">
        <v>596</v>
      </c>
      <c r="B1120" s="2" t="s">
        <v>720</v>
      </c>
      <c r="C1120" s="5" t="s">
        <v>285</v>
      </c>
      <c r="D1120" s="5" t="s">
        <v>286</v>
      </c>
      <c r="E1120" s="5" t="s">
        <v>166</v>
      </c>
      <c r="F1120" s="21" t="n">
        <v>2</v>
      </c>
      <c r="G1120" s="21" t="n">
        <v>0</v>
      </c>
      <c r="H1120" s="22" t="n">
        <f aca="false">F1120+G1120</f>
        <v>2</v>
      </c>
      <c r="I1120" s="13" t="n">
        <f aca="false">INDEX(RM_Rates!$F$5:$F$137,MATCH(C1120,RM_Rates!$A$5:$A$137,0))</f>
        <v>40.09814453125</v>
      </c>
      <c r="J1120" s="22" t="n">
        <f aca="false">H1120*I1120</f>
        <v>80.1962890625</v>
      </c>
    </row>
    <row r="1121" customFormat="false" ht="15" hidden="false" customHeight="false" outlineLevel="0" collapsed="false">
      <c r="A1121" s="5" t="s">
        <v>596</v>
      </c>
      <c r="B1121" s="2" t="s">
        <v>720</v>
      </c>
      <c r="C1121" s="5" t="s">
        <v>173</v>
      </c>
      <c r="D1121" s="5" t="s">
        <v>174</v>
      </c>
      <c r="E1121" s="5" t="s">
        <v>166</v>
      </c>
      <c r="F1121" s="21" t="n">
        <v>4</v>
      </c>
      <c r="G1121" s="21" t="n">
        <v>0</v>
      </c>
      <c r="H1121" s="22" t="n">
        <f aca="false">F1121+G1121</f>
        <v>4</v>
      </c>
      <c r="I1121" s="13" t="n">
        <f aca="false">INDEX(RM_Rates!$F$5:$F$137,MATCH(C1121,RM_Rates!$A$5:$A$137,0))</f>
        <v>0.255849838256836</v>
      </c>
      <c r="J1121" s="22" t="n">
        <f aca="false">H1121*I1121</f>
        <v>1.02339935302734</v>
      </c>
    </row>
    <row r="1122" customFormat="false" ht="15" hidden="false" customHeight="false" outlineLevel="0" collapsed="false">
      <c r="A1122" s="5" t="s">
        <v>596</v>
      </c>
      <c r="B1122" s="2" t="s">
        <v>720</v>
      </c>
      <c r="C1122" s="5" t="s">
        <v>308</v>
      </c>
      <c r="D1122" s="5" t="s">
        <v>309</v>
      </c>
      <c r="E1122" s="5" t="s">
        <v>297</v>
      </c>
      <c r="F1122" s="21" t="n">
        <v>8.80000019073486</v>
      </c>
      <c r="G1122" s="21" t="n">
        <v>0</v>
      </c>
      <c r="H1122" s="22" t="n">
        <f aca="false">F1122+G1122</f>
        <v>8.80000019073486</v>
      </c>
      <c r="I1122" s="13" t="n">
        <f aca="false">INDEX(RM_Rates!$F$5:$F$137,MATCH(C1122,RM_Rates!$A$5:$A$137,0))</f>
        <v>1.40752077102661</v>
      </c>
      <c r="J1122" s="22" t="n">
        <f aca="false">H1122*I1122</f>
        <v>12.3861830534974</v>
      </c>
    </row>
    <row r="1123" customFormat="false" ht="15" hidden="false" customHeight="false" outlineLevel="0" collapsed="false">
      <c r="A1123" s="5" t="s">
        <v>596</v>
      </c>
      <c r="B1123" s="2" t="s">
        <v>720</v>
      </c>
      <c r="C1123" s="5" t="s">
        <v>189</v>
      </c>
      <c r="D1123" s="5" t="s">
        <v>190</v>
      </c>
      <c r="E1123" s="5" t="s">
        <v>60</v>
      </c>
      <c r="F1123" s="21" t="n">
        <v>0.879999995231628</v>
      </c>
      <c r="G1123" s="21" t="n">
        <v>0</v>
      </c>
      <c r="H1123" s="22" t="n">
        <f aca="false">F1123+G1123</f>
        <v>0.879999995231628</v>
      </c>
      <c r="I1123" s="13" t="n">
        <f aca="false">INDEX(RM_Rates!$F$5:$F$137,MATCH(C1123,RM_Rates!$A$5:$A$137,0))</f>
        <v>0.568400025367737</v>
      </c>
      <c r="J1123" s="22" t="n">
        <f aca="false">H1123*I1123</f>
        <v>0.500192019613266</v>
      </c>
    </row>
    <row r="1124" customFormat="false" ht="15" hidden="false" customHeight="false" outlineLevel="0" collapsed="false">
      <c r="A1124" s="5" t="s">
        <v>598</v>
      </c>
      <c r="B1124" s="2" t="s">
        <v>721</v>
      </c>
      <c r="C1124" s="5" t="s">
        <v>92</v>
      </c>
      <c r="D1124" s="5" t="s">
        <v>93</v>
      </c>
      <c r="E1124" s="5" t="s">
        <v>72</v>
      </c>
      <c r="F1124" s="21" t="n">
        <v>343.600006103516</v>
      </c>
      <c r="G1124" s="21" t="n">
        <v>1.72000002861023</v>
      </c>
      <c r="H1124" s="22" t="n">
        <f aca="false">F1124+G1124</f>
        <v>345.320006132126</v>
      </c>
      <c r="I1124" s="13" t="n">
        <f aca="false">INDEX(RM_Rates!$F$5:$F$137,MATCH(C1124,RM_Rates!$A$5:$A$137,0))</f>
        <v>1.980952</v>
      </c>
      <c r="J1124" s="22" t="n">
        <f aca="false">H1124*I1124</f>
        <v>684.062356787448</v>
      </c>
    </row>
    <row r="1125" customFormat="false" ht="15" hidden="false" customHeight="false" outlineLevel="0" collapsed="false">
      <c r="A1125" s="5" t="s">
        <v>598</v>
      </c>
      <c r="B1125" s="2" t="s">
        <v>721</v>
      </c>
      <c r="C1125" s="5" t="s">
        <v>326</v>
      </c>
      <c r="D1125" s="5" t="s">
        <v>327</v>
      </c>
      <c r="E1125" s="5" t="s">
        <v>72</v>
      </c>
      <c r="F1125" s="21" t="n">
        <v>42.4000015258789</v>
      </c>
      <c r="G1125" s="21" t="n">
        <v>2.11999988555908</v>
      </c>
      <c r="H1125" s="22" t="n">
        <f aca="false">F1125+G1125</f>
        <v>44.520001411438</v>
      </c>
      <c r="I1125" s="13" t="n">
        <f aca="false">INDEX(RM_Rates!$F$5:$F$137,MATCH(C1125,RM_Rates!$A$5:$A$137,0))</f>
        <v>0.596000015735626</v>
      </c>
      <c r="J1125" s="22" t="n">
        <f aca="false">H1125*I1125</f>
        <v>26.5339215417671</v>
      </c>
    </row>
    <row r="1126" customFormat="false" ht="15" hidden="false" customHeight="false" outlineLevel="0" collapsed="false">
      <c r="A1126" s="5" t="s">
        <v>598</v>
      </c>
      <c r="B1126" s="2" t="s">
        <v>721</v>
      </c>
      <c r="C1126" s="5" t="s">
        <v>324</v>
      </c>
      <c r="D1126" s="5" t="s">
        <v>325</v>
      </c>
      <c r="E1126" s="5" t="s">
        <v>72</v>
      </c>
      <c r="F1126" s="21" t="n">
        <v>2.33200001716614</v>
      </c>
      <c r="G1126" s="21" t="n">
        <v>0.11599999666214</v>
      </c>
      <c r="H1126" s="22" t="n">
        <f aca="false">F1126+G1126</f>
        <v>2.44800001382828</v>
      </c>
      <c r="I1126" s="13" t="n">
        <f aca="false">INDEX(RM_Rates!$F$5:$F$137,MATCH(C1126,RM_Rates!$A$5:$A$137,0))</f>
        <v>1.35229277610779</v>
      </c>
      <c r="J1126" s="22" t="n">
        <f aca="false">H1126*I1126</f>
        <v>3.31041273461175</v>
      </c>
    </row>
    <row r="1127" customFormat="false" ht="15" hidden="false" customHeight="false" outlineLevel="0" collapsed="false">
      <c r="A1127" s="5" t="s">
        <v>598</v>
      </c>
      <c r="B1127" s="2" t="s">
        <v>721</v>
      </c>
      <c r="C1127" s="5" t="s">
        <v>318</v>
      </c>
      <c r="D1127" s="5" t="s">
        <v>319</v>
      </c>
      <c r="E1127" s="5" t="s">
        <v>72</v>
      </c>
      <c r="F1127" s="21" t="n">
        <v>0.158999994397163</v>
      </c>
      <c r="G1127" s="21" t="n">
        <v>0.00800000037997961</v>
      </c>
      <c r="H1127" s="22" t="n">
        <f aca="false">F1127+G1127</f>
        <v>0.166999994777143</v>
      </c>
      <c r="I1127" s="13" t="n">
        <f aca="false">INDEX(RM_Rates!$F$5:$F$137,MATCH(C1127,RM_Rates!$A$5:$A$137,0))</f>
        <v>1.6441433429718</v>
      </c>
      <c r="J1127" s="22" t="n">
        <f aca="false">H1127*I1127</f>
        <v>0.274571929689164</v>
      </c>
    </row>
    <row r="1128" customFormat="false" ht="15" hidden="false" customHeight="false" outlineLevel="0" collapsed="false">
      <c r="A1128" s="5" t="s">
        <v>598</v>
      </c>
      <c r="B1128" s="2" t="s">
        <v>721</v>
      </c>
      <c r="C1128" s="5" t="s">
        <v>322</v>
      </c>
      <c r="D1128" s="5" t="s">
        <v>323</v>
      </c>
      <c r="E1128" s="5" t="s">
        <v>72</v>
      </c>
      <c r="F1128" s="21" t="n">
        <v>0.158999994397163</v>
      </c>
      <c r="G1128" s="21" t="n">
        <v>0.00800000037997961</v>
      </c>
      <c r="H1128" s="22" t="n">
        <f aca="false">F1128+G1128</f>
        <v>0.166999994777143</v>
      </c>
      <c r="I1128" s="13" t="n">
        <f aca="false">INDEX(RM_Rates!$F$5:$F$137,MATCH(C1128,RM_Rates!$A$5:$A$137,0))</f>
        <v>1.6441433429718</v>
      </c>
      <c r="J1128" s="22" t="n">
        <f aca="false">H1128*I1128</f>
        <v>0.274571929689164</v>
      </c>
    </row>
    <row r="1129" customFormat="false" ht="15" hidden="false" customHeight="false" outlineLevel="0" collapsed="false">
      <c r="A1129" s="5" t="s">
        <v>598</v>
      </c>
      <c r="B1129" s="2" t="s">
        <v>721</v>
      </c>
      <c r="C1129" s="5" t="s">
        <v>316</v>
      </c>
      <c r="D1129" s="5" t="s">
        <v>317</v>
      </c>
      <c r="E1129" s="5" t="s">
        <v>72</v>
      </c>
      <c r="F1129" s="21" t="n">
        <v>0.158999994397163</v>
      </c>
      <c r="G1129" s="21" t="n">
        <v>0.00800000037997961</v>
      </c>
      <c r="H1129" s="22" t="n">
        <f aca="false">F1129+G1129</f>
        <v>0.166999994777143</v>
      </c>
      <c r="I1129" s="13" t="n">
        <f aca="false">INDEX(RM_Rates!$F$5:$F$137,MATCH(C1129,RM_Rates!$A$5:$A$137,0))</f>
        <v>1.6441433429718</v>
      </c>
      <c r="J1129" s="22" t="n">
        <f aca="false">H1129*I1129</f>
        <v>0.274571929689164</v>
      </c>
    </row>
    <row r="1130" customFormat="false" ht="15" hidden="false" customHeight="false" outlineLevel="0" collapsed="false">
      <c r="A1130" s="5" t="s">
        <v>598</v>
      </c>
      <c r="B1130" s="2" t="s">
        <v>721</v>
      </c>
      <c r="C1130" s="5" t="s">
        <v>314</v>
      </c>
      <c r="D1130" s="5" t="s">
        <v>315</v>
      </c>
      <c r="E1130" s="5" t="s">
        <v>72</v>
      </c>
      <c r="F1130" s="21" t="n">
        <v>0.158999994397163</v>
      </c>
      <c r="G1130" s="21" t="n">
        <v>0.00800000037997961</v>
      </c>
      <c r="H1130" s="22" t="n">
        <f aca="false">F1130+G1130</f>
        <v>0.166999994777143</v>
      </c>
      <c r="I1130" s="13" t="n">
        <f aca="false">INDEX(RM_Rates!$F$5:$F$137,MATCH(C1130,RM_Rates!$A$5:$A$137,0))</f>
        <v>1.6441433429718</v>
      </c>
      <c r="J1130" s="22" t="n">
        <f aca="false">H1130*I1130</f>
        <v>0.274571929689164</v>
      </c>
    </row>
    <row r="1131" customFormat="false" ht="15" hidden="false" customHeight="false" outlineLevel="0" collapsed="false">
      <c r="A1131" s="5" t="s">
        <v>598</v>
      </c>
      <c r="B1131" s="2" t="s">
        <v>721</v>
      </c>
      <c r="C1131" s="5" t="s">
        <v>222</v>
      </c>
      <c r="D1131" s="5" t="s">
        <v>223</v>
      </c>
      <c r="E1131" s="5" t="s">
        <v>72</v>
      </c>
      <c r="F1131" s="21" t="n">
        <v>22.2000007629395</v>
      </c>
      <c r="G1131" s="21" t="n">
        <v>0</v>
      </c>
      <c r="H1131" s="22" t="n">
        <f aca="false">F1131+G1131</f>
        <v>22.2000007629395</v>
      </c>
      <c r="I1131" s="13" t="n">
        <f aca="false">INDEX(RM_Rates!$F$5:$F$137,MATCH(C1131,RM_Rates!$A$5:$A$137,0))</f>
        <v>0.379036813974381</v>
      </c>
      <c r="J1131" s="22" t="n">
        <f aca="false">H1131*I1131</f>
        <v>8.41461755941342</v>
      </c>
    </row>
    <row r="1132" customFormat="false" ht="15" hidden="false" customHeight="false" outlineLevel="0" collapsed="false">
      <c r="A1132" s="5" t="s">
        <v>598</v>
      </c>
      <c r="B1132" s="2" t="s">
        <v>721</v>
      </c>
      <c r="C1132" s="5" t="s">
        <v>224</v>
      </c>
      <c r="D1132" s="5" t="s">
        <v>225</v>
      </c>
      <c r="E1132" s="5" t="s">
        <v>72</v>
      </c>
      <c r="F1132" s="21" t="n">
        <v>3.29999995231628</v>
      </c>
      <c r="G1132" s="21" t="n">
        <v>0</v>
      </c>
      <c r="H1132" s="22" t="n">
        <f aca="false">F1132+G1132</f>
        <v>3.29999995231628</v>
      </c>
      <c r="I1132" s="13" t="n">
        <f aca="false">INDEX(RM_Rates!$F$5:$F$137,MATCH(C1132,RM_Rates!$A$5:$A$137,0))</f>
        <v>0.742858171463013</v>
      </c>
      <c r="J1132" s="22" t="n">
        <f aca="false">H1132*I1132</f>
        <v>2.4514319304057</v>
      </c>
    </row>
    <row r="1133" customFormat="false" ht="15" hidden="false" customHeight="false" outlineLevel="0" collapsed="false">
      <c r="A1133" s="5" t="s">
        <v>598</v>
      </c>
      <c r="B1133" s="2" t="s">
        <v>721</v>
      </c>
      <c r="C1133" s="5" t="s">
        <v>240</v>
      </c>
      <c r="D1133" s="5" t="s">
        <v>241</v>
      </c>
      <c r="E1133" s="5" t="s">
        <v>72</v>
      </c>
      <c r="F1133" s="21" t="n">
        <v>203.799987792969</v>
      </c>
      <c r="G1133" s="21" t="n">
        <v>4.07600021362305</v>
      </c>
      <c r="H1133" s="22" t="n">
        <f aca="false">F1133+G1133</f>
        <v>207.875988006592</v>
      </c>
      <c r="I1133" s="13" t="n">
        <f aca="false">INDEX(RM_Rates!$F$5:$F$137,MATCH(C1133,RM_Rates!$A$5:$A$137,0))</f>
        <v>0.363999992609024</v>
      </c>
      <c r="J1133" s="22" t="n">
        <f aca="false">H1133*I1133</f>
        <v>75.6668580979931</v>
      </c>
    </row>
    <row r="1134" customFormat="false" ht="15" hidden="false" customHeight="false" outlineLevel="0" collapsed="false">
      <c r="A1134" s="5" t="s">
        <v>598</v>
      </c>
      <c r="B1134" s="2" t="s">
        <v>721</v>
      </c>
      <c r="C1134" s="5" t="s">
        <v>269</v>
      </c>
      <c r="D1134" s="5" t="s">
        <v>270</v>
      </c>
      <c r="E1134" s="5" t="s">
        <v>72</v>
      </c>
      <c r="F1134" s="21" t="n">
        <v>349.200012207031</v>
      </c>
      <c r="G1134" s="21" t="n">
        <v>3.49200010299683</v>
      </c>
      <c r="H1134" s="22" t="n">
        <f aca="false">F1134+G1134</f>
        <v>352.692012310028</v>
      </c>
      <c r="I1134" s="13" t="n">
        <f aca="false">INDEX(RM_Rates!$F$5:$F$137,MATCH(C1134,RM_Rates!$A$5:$A$137,0))</f>
        <v>0.452080339193344</v>
      </c>
      <c r="J1134" s="22" t="n">
        <f aca="false">H1134*I1134</f>
        <v>159.4451245559</v>
      </c>
    </row>
    <row r="1135" customFormat="false" ht="15" hidden="false" customHeight="false" outlineLevel="0" collapsed="false">
      <c r="A1135" s="5" t="s">
        <v>598</v>
      </c>
      <c r="B1135" s="2" t="s">
        <v>721</v>
      </c>
      <c r="C1135" s="5" t="s">
        <v>283</v>
      </c>
      <c r="D1135" s="5" t="s">
        <v>284</v>
      </c>
      <c r="E1135" s="5" t="s">
        <v>166</v>
      </c>
      <c r="F1135" s="21" t="n">
        <v>1</v>
      </c>
      <c r="G1135" s="21" t="n">
        <v>0</v>
      </c>
      <c r="H1135" s="22" t="n">
        <f aca="false">F1135+G1135</f>
        <v>1</v>
      </c>
      <c r="I1135" s="13" t="n">
        <f aca="false">INDEX(RM_Rates!$F$5:$F$137,MATCH(C1135,RM_Rates!$A$5:$A$137,0))</f>
        <v>31.1947288513184</v>
      </c>
      <c r="J1135" s="22" t="n">
        <f aca="false">H1135*I1135</f>
        <v>31.1947288513184</v>
      </c>
    </row>
    <row r="1136" customFormat="false" ht="15" hidden="false" customHeight="false" outlineLevel="0" collapsed="false">
      <c r="A1136" s="5" t="s">
        <v>598</v>
      </c>
      <c r="B1136" s="2" t="s">
        <v>721</v>
      </c>
      <c r="C1136" s="5" t="s">
        <v>169</v>
      </c>
      <c r="D1136" s="5" t="s">
        <v>170</v>
      </c>
      <c r="E1136" s="5" t="s">
        <v>166</v>
      </c>
      <c r="F1136" s="21" t="n">
        <v>2</v>
      </c>
      <c r="G1136" s="21" t="n">
        <v>0</v>
      </c>
      <c r="H1136" s="22" t="n">
        <f aca="false">F1136+G1136</f>
        <v>2</v>
      </c>
      <c r="I1136" s="13" t="n">
        <f aca="false">INDEX(RM_Rates!$F$5:$F$137,MATCH(C1136,RM_Rates!$A$5:$A$137,0))</f>
        <v>0.124766282737255</v>
      </c>
      <c r="J1136" s="22" t="n">
        <f aca="false">H1136*I1136</f>
        <v>0.24953256547451</v>
      </c>
    </row>
    <row r="1137" customFormat="false" ht="15" hidden="false" customHeight="false" outlineLevel="0" collapsed="false">
      <c r="A1137" s="5" t="s">
        <v>598</v>
      </c>
      <c r="B1137" s="2" t="s">
        <v>721</v>
      </c>
      <c r="C1137" s="5" t="s">
        <v>308</v>
      </c>
      <c r="D1137" s="5" t="s">
        <v>309</v>
      </c>
      <c r="E1137" s="5" t="s">
        <v>297</v>
      </c>
      <c r="F1137" s="21" t="n">
        <v>3.79999995231628</v>
      </c>
      <c r="G1137" s="21" t="n">
        <v>0</v>
      </c>
      <c r="H1137" s="22" t="n">
        <f aca="false">F1137+G1137</f>
        <v>3.79999995231628</v>
      </c>
      <c r="I1137" s="13" t="n">
        <f aca="false">INDEX(RM_Rates!$F$5:$F$137,MATCH(C1137,RM_Rates!$A$5:$A$137,0))</f>
        <v>1.40752077102661</v>
      </c>
      <c r="J1137" s="22" t="n">
        <f aca="false">H1137*I1137</f>
        <v>5.34857886278529</v>
      </c>
    </row>
    <row r="1138" customFormat="false" ht="15" hidden="false" customHeight="false" outlineLevel="0" collapsed="false">
      <c r="A1138" s="5" t="s">
        <v>598</v>
      </c>
      <c r="B1138" s="2" t="s">
        <v>721</v>
      </c>
      <c r="C1138" s="5" t="s">
        <v>189</v>
      </c>
      <c r="D1138" s="5" t="s">
        <v>190</v>
      </c>
      <c r="E1138" s="5" t="s">
        <v>60</v>
      </c>
      <c r="F1138" s="21" t="n">
        <v>0.379999995231628</v>
      </c>
      <c r="G1138" s="21" t="n">
        <v>0</v>
      </c>
      <c r="H1138" s="22" t="n">
        <f aca="false">F1138+G1138</f>
        <v>0.379999995231628</v>
      </c>
      <c r="I1138" s="13" t="n">
        <f aca="false">INDEX(RM_Rates!$F$5:$F$137,MATCH(C1138,RM_Rates!$A$5:$A$137,0))</f>
        <v>0.568400025367737</v>
      </c>
      <c r="J1138" s="22" t="n">
        <f aca="false">H1138*I1138</f>
        <v>0.215992006929397</v>
      </c>
    </row>
    <row r="1139" customFormat="false" ht="15" hidden="false" customHeight="false" outlineLevel="0" collapsed="false">
      <c r="A1139" s="5" t="s">
        <v>600</v>
      </c>
      <c r="B1139" s="2" t="s">
        <v>722</v>
      </c>
      <c r="C1139" s="5" t="s">
        <v>152</v>
      </c>
      <c r="D1139" s="5" t="s">
        <v>153</v>
      </c>
      <c r="E1139" s="5" t="s">
        <v>72</v>
      </c>
      <c r="F1139" s="21" t="n">
        <v>5120</v>
      </c>
      <c r="G1139" s="21" t="n">
        <v>25.6000003814697</v>
      </c>
      <c r="H1139" s="22" t="n">
        <f aca="false">F1139+G1139</f>
        <v>5145.60000038147</v>
      </c>
      <c r="I1139" s="13" t="n">
        <f aca="false">INDEX(RM_Rates!$F$5:$F$137,MATCH(C1139,RM_Rates!$A$5:$A$137,0))</f>
        <v>1.968214</v>
      </c>
      <c r="J1139" s="22" t="n">
        <f aca="false">H1139*I1139</f>
        <v>10127.6419591508</v>
      </c>
    </row>
    <row r="1140" customFormat="false" ht="15" hidden="false" customHeight="false" outlineLevel="0" collapsed="false">
      <c r="A1140" s="5" t="s">
        <v>600</v>
      </c>
      <c r="B1140" s="2" t="s">
        <v>722</v>
      </c>
      <c r="C1140" s="5" t="s">
        <v>326</v>
      </c>
      <c r="D1140" s="5" t="s">
        <v>327</v>
      </c>
      <c r="E1140" s="5" t="s">
        <v>72</v>
      </c>
      <c r="F1140" s="21" t="n">
        <v>288</v>
      </c>
      <c r="G1140" s="21" t="n">
        <v>14.3999996185303</v>
      </c>
      <c r="H1140" s="22" t="n">
        <f aca="false">F1140+G1140</f>
        <v>302.39999961853</v>
      </c>
      <c r="I1140" s="13" t="n">
        <f aca="false">INDEX(RM_Rates!$F$5:$F$137,MATCH(C1140,RM_Rates!$A$5:$A$137,0))</f>
        <v>0.596000015735626</v>
      </c>
      <c r="J1140" s="22" t="n">
        <f aca="false">H1140*I1140</f>
        <v>180.230404531097</v>
      </c>
    </row>
    <row r="1141" customFormat="false" ht="15" hidden="false" customHeight="false" outlineLevel="0" collapsed="false">
      <c r="A1141" s="5" t="s">
        <v>600</v>
      </c>
      <c r="B1141" s="2" t="s">
        <v>722</v>
      </c>
      <c r="C1141" s="5" t="s">
        <v>324</v>
      </c>
      <c r="D1141" s="5" t="s">
        <v>325</v>
      </c>
      <c r="E1141" s="5" t="s">
        <v>72</v>
      </c>
      <c r="F1141" s="21" t="n">
        <v>15.8400001525879</v>
      </c>
      <c r="G1141" s="21" t="n">
        <v>0.791999995708466</v>
      </c>
      <c r="H1141" s="22" t="n">
        <f aca="false">F1141+G1141</f>
        <v>16.6320001482964</v>
      </c>
      <c r="I1141" s="13" t="n">
        <f aca="false">INDEX(RM_Rates!$F$5:$F$137,MATCH(C1141,RM_Rates!$A$5:$A$137,0))</f>
        <v>1.35229277610779</v>
      </c>
      <c r="J1141" s="22" t="n">
        <f aca="false">H1141*I1141</f>
        <v>22.4913336527649</v>
      </c>
    </row>
    <row r="1142" customFormat="false" ht="15" hidden="false" customHeight="false" outlineLevel="0" collapsed="false">
      <c r="A1142" s="5" t="s">
        <v>600</v>
      </c>
      <c r="B1142" s="2" t="s">
        <v>722</v>
      </c>
      <c r="C1142" s="5" t="s">
        <v>318</v>
      </c>
      <c r="D1142" s="5" t="s">
        <v>319</v>
      </c>
      <c r="E1142" s="5" t="s">
        <v>72</v>
      </c>
      <c r="F1142" s="21" t="n">
        <v>1.08000004291534</v>
      </c>
      <c r="G1142" s="21" t="n">
        <v>0.0540000014007092</v>
      </c>
      <c r="H1142" s="22" t="n">
        <f aca="false">F1142+G1142</f>
        <v>1.13400004431605</v>
      </c>
      <c r="I1142" s="13" t="n">
        <f aca="false">INDEX(RM_Rates!$F$5:$F$137,MATCH(C1142,RM_Rates!$A$5:$A$137,0))</f>
        <v>1.6441433429718</v>
      </c>
      <c r="J1142" s="22" t="n">
        <f aca="false">H1142*I1142</f>
        <v>1.86445862379196</v>
      </c>
    </row>
    <row r="1143" customFormat="false" ht="15" hidden="false" customHeight="false" outlineLevel="0" collapsed="false">
      <c r="A1143" s="5" t="s">
        <v>600</v>
      </c>
      <c r="B1143" s="2" t="s">
        <v>722</v>
      </c>
      <c r="C1143" s="5" t="s">
        <v>322</v>
      </c>
      <c r="D1143" s="5" t="s">
        <v>323</v>
      </c>
      <c r="E1143" s="5" t="s">
        <v>72</v>
      </c>
      <c r="F1143" s="21" t="n">
        <v>1.08000004291534</v>
      </c>
      <c r="G1143" s="21" t="n">
        <v>0.0540000014007092</v>
      </c>
      <c r="H1143" s="22" t="n">
        <f aca="false">F1143+G1143</f>
        <v>1.13400004431605</v>
      </c>
      <c r="I1143" s="13" t="n">
        <f aca="false">INDEX(RM_Rates!$F$5:$F$137,MATCH(C1143,RM_Rates!$A$5:$A$137,0))</f>
        <v>1.6441433429718</v>
      </c>
      <c r="J1143" s="22" t="n">
        <f aca="false">H1143*I1143</f>
        <v>1.86445862379196</v>
      </c>
    </row>
    <row r="1144" customFormat="false" ht="15" hidden="false" customHeight="false" outlineLevel="0" collapsed="false">
      <c r="A1144" s="5" t="s">
        <v>600</v>
      </c>
      <c r="B1144" s="2" t="s">
        <v>722</v>
      </c>
      <c r="C1144" s="5" t="s">
        <v>316</v>
      </c>
      <c r="D1144" s="5" t="s">
        <v>317</v>
      </c>
      <c r="E1144" s="5" t="s">
        <v>72</v>
      </c>
      <c r="F1144" s="21" t="n">
        <v>1.08000004291534</v>
      </c>
      <c r="G1144" s="21" t="n">
        <v>0.0540000014007092</v>
      </c>
      <c r="H1144" s="22" t="n">
        <f aca="false">F1144+G1144</f>
        <v>1.13400004431605</v>
      </c>
      <c r="I1144" s="13" t="n">
        <f aca="false">INDEX(RM_Rates!$F$5:$F$137,MATCH(C1144,RM_Rates!$A$5:$A$137,0))</f>
        <v>1.6441433429718</v>
      </c>
      <c r="J1144" s="22" t="n">
        <f aca="false">H1144*I1144</f>
        <v>1.86445862379196</v>
      </c>
    </row>
    <row r="1145" customFormat="false" ht="15" hidden="false" customHeight="false" outlineLevel="0" collapsed="false">
      <c r="A1145" s="5" t="s">
        <v>600</v>
      </c>
      <c r="B1145" s="2" t="s">
        <v>722</v>
      </c>
      <c r="C1145" s="5" t="s">
        <v>314</v>
      </c>
      <c r="D1145" s="5" t="s">
        <v>315</v>
      </c>
      <c r="E1145" s="5" t="s">
        <v>72</v>
      </c>
      <c r="F1145" s="21" t="n">
        <v>1.08000004291534</v>
      </c>
      <c r="G1145" s="21" t="n">
        <v>0.0540000014007092</v>
      </c>
      <c r="H1145" s="22" t="n">
        <f aca="false">F1145+G1145</f>
        <v>1.13400004431605</v>
      </c>
      <c r="I1145" s="13" t="n">
        <f aca="false">INDEX(RM_Rates!$F$5:$F$137,MATCH(C1145,RM_Rates!$A$5:$A$137,0))</f>
        <v>1.6441433429718</v>
      </c>
      <c r="J1145" s="22" t="n">
        <f aca="false">H1145*I1145</f>
        <v>1.86445862379196</v>
      </c>
    </row>
    <row r="1146" customFormat="false" ht="15" hidden="false" customHeight="false" outlineLevel="0" collapsed="false">
      <c r="A1146" s="5" t="s">
        <v>600</v>
      </c>
      <c r="B1146" s="2" t="s">
        <v>722</v>
      </c>
      <c r="C1146" s="5" t="s">
        <v>222</v>
      </c>
      <c r="D1146" s="5" t="s">
        <v>223</v>
      </c>
      <c r="E1146" s="5" t="s">
        <v>72</v>
      </c>
      <c r="F1146" s="21" t="n">
        <v>22.2000007629395</v>
      </c>
      <c r="G1146" s="21" t="n">
        <v>0</v>
      </c>
      <c r="H1146" s="22" t="n">
        <f aca="false">F1146+G1146</f>
        <v>22.2000007629395</v>
      </c>
      <c r="I1146" s="13" t="n">
        <f aca="false">INDEX(RM_Rates!$F$5:$F$137,MATCH(C1146,RM_Rates!$A$5:$A$137,0))</f>
        <v>0.379036813974381</v>
      </c>
      <c r="J1146" s="22" t="n">
        <f aca="false">H1146*I1146</f>
        <v>8.41461755941342</v>
      </c>
    </row>
    <row r="1147" customFormat="false" ht="15" hidden="false" customHeight="false" outlineLevel="0" collapsed="false">
      <c r="A1147" s="5" t="s">
        <v>600</v>
      </c>
      <c r="B1147" s="2" t="s">
        <v>722</v>
      </c>
      <c r="C1147" s="5" t="s">
        <v>228</v>
      </c>
      <c r="D1147" s="5" t="s">
        <v>229</v>
      </c>
      <c r="E1147" s="5" t="s">
        <v>72</v>
      </c>
      <c r="F1147" s="21" t="n">
        <v>9.39999961853027</v>
      </c>
      <c r="G1147" s="21" t="n">
        <v>0</v>
      </c>
      <c r="H1147" s="22" t="n">
        <f aca="false">F1147+G1147</f>
        <v>9.39999961853027</v>
      </c>
      <c r="I1147" s="13" t="n">
        <f aca="false">INDEX(RM_Rates!$F$5:$F$137,MATCH(C1147,RM_Rates!$A$5:$A$137,0))</f>
        <v>0.742858171463013</v>
      </c>
      <c r="J1147" s="22" t="n">
        <f aca="false">H1147*I1147</f>
        <v>6.98286652837442</v>
      </c>
    </row>
    <row r="1148" customFormat="false" ht="15" hidden="false" customHeight="false" outlineLevel="0" collapsed="false">
      <c r="A1148" s="5" t="s">
        <v>600</v>
      </c>
      <c r="B1148" s="2" t="s">
        <v>722</v>
      </c>
      <c r="C1148" s="5" t="s">
        <v>240</v>
      </c>
      <c r="D1148" s="5" t="s">
        <v>241</v>
      </c>
      <c r="E1148" s="5" t="s">
        <v>72</v>
      </c>
      <c r="F1148" s="21" t="n">
        <v>761</v>
      </c>
      <c r="G1148" s="21" t="n">
        <v>15.2200002670288</v>
      </c>
      <c r="H1148" s="22" t="n">
        <f aca="false">F1148+G1148</f>
        <v>776.220000267029</v>
      </c>
      <c r="I1148" s="13" t="n">
        <f aca="false">INDEX(RM_Rates!$F$5:$F$137,MATCH(C1148,RM_Rates!$A$5:$A$137,0))</f>
        <v>0.363999992609024</v>
      </c>
      <c r="J1148" s="22" t="n">
        <f aca="false">H1148*I1148</f>
        <v>282.544074360175</v>
      </c>
    </row>
    <row r="1149" customFormat="false" ht="15" hidden="false" customHeight="false" outlineLevel="0" collapsed="false">
      <c r="A1149" s="5" t="s">
        <v>600</v>
      </c>
      <c r="B1149" s="2" t="s">
        <v>722</v>
      </c>
      <c r="C1149" s="5" t="s">
        <v>275</v>
      </c>
      <c r="D1149" s="5" t="s">
        <v>276</v>
      </c>
      <c r="E1149" s="5" t="s">
        <v>72</v>
      </c>
      <c r="F1149" s="21" t="n">
        <v>1862.40002441406</v>
      </c>
      <c r="G1149" s="21" t="n">
        <v>18.6240005493164</v>
      </c>
      <c r="H1149" s="22" t="n">
        <f aca="false">F1149+G1149</f>
        <v>1881.02402496338</v>
      </c>
      <c r="I1149" s="13" t="n">
        <f aca="false">INDEX(RM_Rates!$F$5:$F$137,MATCH(C1149,RM_Rates!$A$5:$A$137,0))</f>
        <v>0.367191910743713</v>
      </c>
      <c r="J1149" s="22" t="n">
        <f aca="false">H1149*I1149</f>
        <v>690.696805881132</v>
      </c>
    </row>
    <row r="1150" customFormat="false" ht="15" hidden="false" customHeight="false" outlineLevel="0" collapsed="false">
      <c r="A1150" s="5" t="s">
        <v>600</v>
      </c>
      <c r="B1150" s="2" t="s">
        <v>722</v>
      </c>
      <c r="C1150" s="5" t="s">
        <v>287</v>
      </c>
      <c r="D1150" s="5" t="s">
        <v>288</v>
      </c>
      <c r="E1150" s="5" t="s">
        <v>166</v>
      </c>
      <c r="F1150" s="21" t="n">
        <v>4</v>
      </c>
      <c r="G1150" s="21" t="n">
        <v>0</v>
      </c>
      <c r="H1150" s="22" t="n">
        <f aca="false">F1150+G1150</f>
        <v>4</v>
      </c>
      <c r="I1150" s="13" t="n">
        <f aca="false">INDEX(RM_Rates!$F$5:$F$137,MATCH(C1150,RM_Rates!$A$5:$A$137,0))</f>
        <v>57.848518371582</v>
      </c>
      <c r="J1150" s="22" t="n">
        <f aca="false">H1150*I1150</f>
        <v>231.394073486328</v>
      </c>
    </row>
    <row r="1151" customFormat="false" ht="15" hidden="false" customHeight="false" outlineLevel="0" collapsed="false">
      <c r="A1151" s="5" t="s">
        <v>600</v>
      </c>
      <c r="B1151" s="2" t="s">
        <v>722</v>
      </c>
      <c r="C1151" s="5" t="s">
        <v>175</v>
      </c>
      <c r="D1151" s="5" t="s">
        <v>176</v>
      </c>
      <c r="E1151" s="5" t="s">
        <v>166</v>
      </c>
      <c r="F1151" s="21" t="n">
        <v>8</v>
      </c>
      <c r="G1151" s="21" t="n">
        <v>0</v>
      </c>
      <c r="H1151" s="22" t="n">
        <f aca="false">F1151+G1151</f>
        <v>8</v>
      </c>
      <c r="I1151" s="13" t="n">
        <f aca="false">INDEX(RM_Rates!$F$5:$F$137,MATCH(C1151,RM_Rates!$A$5:$A$137,0))</f>
        <v>0.39300000667572</v>
      </c>
      <c r="J1151" s="22" t="n">
        <f aca="false">H1151*I1151</f>
        <v>3.14400005340576</v>
      </c>
    </row>
    <row r="1152" customFormat="false" ht="15" hidden="false" customHeight="false" outlineLevel="0" collapsed="false">
      <c r="A1152" s="5" t="s">
        <v>600</v>
      </c>
      <c r="B1152" s="2" t="s">
        <v>722</v>
      </c>
      <c r="C1152" s="5" t="s">
        <v>308</v>
      </c>
      <c r="D1152" s="5" t="s">
        <v>309</v>
      </c>
      <c r="E1152" s="5" t="s">
        <v>297</v>
      </c>
      <c r="F1152" s="21" t="n">
        <v>20</v>
      </c>
      <c r="G1152" s="21" t="n">
        <v>0</v>
      </c>
      <c r="H1152" s="22" t="n">
        <f aca="false">F1152+G1152</f>
        <v>20</v>
      </c>
      <c r="I1152" s="13" t="n">
        <f aca="false">INDEX(RM_Rates!$F$5:$F$137,MATCH(C1152,RM_Rates!$A$5:$A$137,0))</f>
        <v>1.40752077102661</v>
      </c>
      <c r="J1152" s="22" t="n">
        <f aca="false">H1152*I1152</f>
        <v>28.1504154205322</v>
      </c>
    </row>
    <row r="1153" customFormat="false" ht="15" hidden="false" customHeight="false" outlineLevel="0" collapsed="false">
      <c r="A1153" s="5" t="s">
        <v>600</v>
      </c>
      <c r="B1153" s="2" t="s">
        <v>722</v>
      </c>
      <c r="C1153" s="5" t="s">
        <v>189</v>
      </c>
      <c r="D1153" s="5" t="s">
        <v>190</v>
      </c>
      <c r="E1153" s="5" t="s">
        <v>60</v>
      </c>
      <c r="F1153" s="21" t="n">
        <v>2</v>
      </c>
      <c r="G1153" s="21" t="n">
        <v>0</v>
      </c>
      <c r="H1153" s="22" t="n">
        <f aca="false">F1153+G1153</f>
        <v>2</v>
      </c>
      <c r="I1153" s="13" t="n">
        <f aca="false">INDEX(RM_Rates!$F$5:$F$137,MATCH(C1153,RM_Rates!$A$5:$A$137,0))</f>
        <v>0.568400025367737</v>
      </c>
      <c r="J1153" s="22" t="n">
        <f aca="false">H1153*I1153</f>
        <v>1.13680005073547</v>
      </c>
    </row>
    <row r="1154" customFormat="false" ht="15" hidden="false" customHeight="false" outlineLevel="0" collapsed="false">
      <c r="A1154" s="5" t="s">
        <v>602</v>
      </c>
      <c r="B1154" s="2" t="s">
        <v>723</v>
      </c>
      <c r="C1154" s="5" t="s">
        <v>94</v>
      </c>
      <c r="D1154" s="5" t="s">
        <v>95</v>
      </c>
      <c r="E1154" s="5" t="s">
        <v>72</v>
      </c>
      <c r="F1154" s="21" t="n">
        <v>546</v>
      </c>
      <c r="G1154" s="21" t="n">
        <v>2.73200011253357</v>
      </c>
      <c r="H1154" s="22" t="n">
        <f aca="false">F1154+G1154</f>
        <v>548.732000112534</v>
      </c>
      <c r="I1154" s="13" t="n">
        <f aca="false">INDEX(RM_Rates!$F$5:$F$137,MATCH(C1154,RM_Rates!$A$5:$A$137,0))</f>
        <v>1.973232</v>
      </c>
      <c r="J1154" s="22" t="n">
        <f aca="false">H1154*I1154</f>
        <v>1082.77554204605</v>
      </c>
    </row>
    <row r="1155" customFormat="false" ht="15" hidden="false" customHeight="false" outlineLevel="0" collapsed="false">
      <c r="A1155" s="5" t="s">
        <v>602</v>
      </c>
      <c r="B1155" s="2" t="s">
        <v>723</v>
      </c>
      <c r="C1155" s="5" t="s">
        <v>326</v>
      </c>
      <c r="D1155" s="5" t="s">
        <v>327</v>
      </c>
      <c r="E1155" s="5" t="s">
        <v>72</v>
      </c>
      <c r="F1155" s="21" t="n">
        <v>49.5999984741211</v>
      </c>
      <c r="G1155" s="21" t="n">
        <v>2.48000001907349</v>
      </c>
      <c r="H1155" s="22" t="n">
        <f aca="false">F1155+G1155</f>
        <v>52.0799984931946</v>
      </c>
      <c r="I1155" s="13" t="n">
        <f aca="false">INDEX(RM_Rates!$F$5:$F$137,MATCH(C1155,RM_Rates!$A$5:$A$137,0))</f>
        <v>0.596000015735626</v>
      </c>
      <c r="J1155" s="22" t="n">
        <f aca="false">H1155*I1155</f>
        <v>31.0396799214554</v>
      </c>
    </row>
    <row r="1156" customFormat="false" ht="15" hidden="false" customHeight="false" outlineLevel="0" collapsed="false">
      <c r="A1156" s="5" t="s">
        <v>602</v>
      </c>
      <c r="B1156" s="2" t="s">
        <v>723</v>
      </c>
      <c r="C1156" s="5" t="s">
        <v>324</v>
      </c>
      <c r="D1156" s="5" t="s">
        <v>325</v>
      </c>
      <c r="E1156" s="5" t="s">
        <v>72</v>
      </c>
      <c r="F1156" s="21" t="n">
        <v>2.7279999256134</v>
      </c>
      <c r="G1156" s="21" t="n">
        <v>0.136000007390976</v>
      </c>
      <c r="H1156" s="22" t="n">
        <f aca="false">F1156+G1156</f>
        <v>2.86399993300438</v>
      </c>
      <c r="I1156" s="13" t="n">
        <f aca="false">INDEX(RM_Rates!$F$5:$F$137,MATCH(C1156,RM_Rates!$A$5:$A$137,0))</f>
        <v>1.35229277610779</v>
      </c>
      <c r="J1156" s="22" t="n">
        <f aca="false">H1156*I1156</f>
        <v>3.87296642017501</v>
      </c>
    </row>
    <row r="1157" customFormat="false" ht="15" hidden="false" customHeight="false" outlineLevel="0" collapsed="false">
      <c r="A1157" s="5" t="s">
        <v>602</v>
      </c>
      <c r="B1157" s="2" t="s">
        <v>723</v>
      </c>
      <c r="C1157" s="5" t="s">
        <v>318</v>
      </c>
      <c r="D1157" s="5" t="s">
        <v>319</v>
      </c>
      <c r="E1157" s="5" t="s">
        <v>72</v>
      </c>
      <c r="F1157" s="21" t="n">
        <v>0.186000004410744</v>
      </c>
      <c r="G1157" s="21" t="n">
        <v>0.00899999961256981</v>
      </c>
      <c r="H1157" s="22" t="n">
        <f aca="false">F1157+G1157</f>
        <v>0.195000004023314</v>
      </c>
      <c r="I1157" s="13" t="n">
        <f aca="false">INDEX(RM_Rates!$F$5:$F$137,MATCH(C1157,RM_Rates!$A$5:$A$137,0))</f>
        <v>1.6441433429718</v>
      </c>
      <c r="J1157" s="22" t="n">
        <f aca="false">H1157*I1157</f>
        <v>0.320607958494406</v>
      </c>
    </row>
    <row r="1158" customFormat="false" ht="15" hidden="false" customHeight="false" outlineLevel="0" collapsed="false">
      <c r="A1158" s="5" t="s">
        <v>602</v>
      </c>
      <c r="B1158" s="2" t="s">
        <v>723</v>
      </c>
      <c r="C1158" s="5" t="s">
        <v>322</v>
      </c>
      <c r="D1158" s="5" t="s">
        <v>323</v>
      </c>
      <c r="E1158" s="5" t="s">
        <v>72</v>
      </c>
      <c r="F1158" s="21" t="n">
        <v>0.186000004410744</v>
      </c>
      <c r="G1158" s="21" t="n">
        <v>0.00899999961256981</v>
      </c>
      <c r="H1158" s="22" t="n">
        <f aca="false">F1158+G1158</f>
        <v>0.195000004023314</v>
      </c>
      <c r="I1158" s="13" t="n">
        <f aca="false">INDEX(RM_Rates!$F$5:$F$137,MATCH(C1158,RM_Rates!$A$5:$A$137,0))</f>
        <v>1.6441433429718</v>
      </c>
      <c r="J1158" s="22" t="n">
        <f aca="false">H1158*I1158</f>
        <v>0.320607958494406</v>
      </c>
    </row>
    <row r="1159" customFormat="false" ht="15" hidden="false" customHeight="false" outlineLevel="0" collapsed="false">
      <c r="A1159" s="5" t="s">
        <v>602</v>
      </c>
      <c r="B1159" s="2" t="s">
        <v>723</v>
      </c>
      <c r="C1159" s="5" t="s">
        <v>316</v>
      </c>
      <c r="D1159" s="5" t="s">
        <v>317</v>
      </c>
      <c r="E1159" s="5" t="s">
        <v>72</v>
      </c>
      <c r="F1159" s="21" t="n">
        <v>0.186000004410744</v>
      </c>
      <c r="G1159" s="21" t="n">
        <v>0.00899999961256981</v>
      </c>
      <c r="H1159" s="22" t="n">
        <f aca="false">F1159+G1159</f>
        <v>0.195000004023314</v>
      </c>
      <c r="I1159" s="13" t="n">
        <f aca="false">INDEX(RM_Rates!$F$5:$F$137,MATCH(C1159,RM_Rates!$A$5:$A$137,0))</f>
        <v>1.6441433429718</v>
      </c>
      <c r="J1159" s="22" t="n">
        <f aca="false">H1159*I1159</f>
        <v>0.320607958494406</v>
      </c>
    </row>
    <row r="1160" customFormat="false" ht="15" hidden="false" customHeight="false" outlineLevel="0" collapsed="false">
      <c r="A1160" s="5" t="s">
        <v>602</v>
      </c>
      <c r="B1160" s="2" t="s">
        <v>723</v>
      </c>
      <c r="C1160" s="5" t="s">
        <v>314</v>
      </c>
      <c r="D1160" s="5" t="s">
        <v>315</v>
      </c>
      <c r="E1160" s="5" t="s">
        <v>72</v>
      </c>
      <c r="F1160" s="21" t="n">
        <v>0.186000004410744</v>
      </c>
      <c r="G1160" s="21" t="n">
        <v>0.00899999961256981</v>
      </c>
      <c r="H1160" s="22" t="n">
        <f aca="false">F1160+G1160</f>
        <v>0.195000004023314</v>
      </c>
      <c r="I1160" s="13" t="n">
        <f aca="false">INDEX(RM_Rates!$F$5:$F$137,MATCH(C1160,RM_Rates!$A$5:$A$137,0))</f>
        <v>1.6441433429718</v>
      </c>
      <c r="J1160" s="22" t="n">
        <f aca="false">H1160*I1160</f>
        <v>0.320607958494406</v>
      </c>
    </row>
    <row r="1161" customFormat="false" ht="15" hidden="false" customHeight="false" outlineLevel="0" collapsed="false">
      <c r="A1161" s="5" t="s">
        <v>602</v>
      </c>
      <c r="B1161" s="2" t="s">
        <v>723</v>
      </c>
      <c r="C1161" s="5" t="s">
        <v>222</v>
      </c>
      <c r="D1161" s="5" t="s">
        <v>223</v>
      </c>
      <c r="E1161" s="5" t="s">
        <v>72</v>
      </c>
      <c r="F1161" s="21" t="n">
        <v>26.7000007629395</v>
      </c>
      <c r="G1161" s="21" t="n">
        <v>0</v>
      </c>
      <c r="H1161" s="22" t="n">
        <f aca="false">F1161+G1161</f>
        <v>26.7000007629395</v>
      </c>
      <c r="I1161" s="13" t="n">
        <f aca="false">INDEX(RM_Rates!$F$5:$F$137,MATCH(C1161,RM_Rates!$A$5:$A$137,0))</f>
        <v>0.379036813974381</v>
      </c>
      <c r="J1161" s="22" t="n">
        <f aca="false">H1161*I1161</f>
        <v>10.1202832222981</v>
      </c>
    </row>
    <row r="1162" customFormat="false" ht="15" hidden="false" customHeight="false" outlineLevel="0" collapsed="false">
      <c r="A1162" s="5" t="s">
        <v>602</v>
      </c>
      <c r="B1162" s="2" t="s">
        <v>723</v>
      </c>
      <c r="C1162" s="5" t="s">
        <v>224</v>
      </c>
      <c r="D1162" s="5" t="s">
        <v>225</v>
      </c>
      <c r="E1162" s="5" t="s">
        <v>72</v>
      </c>
      <c r="F1162" s="21" t="n">
        <v>3.70000004768372</v>
      </c>
      <c r="G1162" s="21" t="n">
        <v>0</v>
      </c>
      <c r="H1162" s="22" t="n">
        <f aca="false">F1162+G1162</f>
        <v>3.70000004768372</v>
      </c>
      <c r="I1162" s="13" t="n">
        <f aca="false">INDEX(RM_Rates!$F$5:$F$137,MATCH(C1162,RM_Rates!$A$5:$A$137,0))</f>
        <v>0.742858171463013</v>
      </c>
      <c r="J1162" s="22" t="n">
        <f aca="false">H1162*I1162</f>
        <v>2.74857526983539</v>
      </c>
    </row>
    <row r="1163" customFormat="false" ht="15" hidden="false" customHeight="false" outlineLevel="0" collapsed="false">
      <c r="A1163" s="5" t="s">
        <v>602</v>
      </c>
      <c r="B1163" s="2" t="s">
        <v>723</v>
      </c>
      <c r="C1163" s="5" t="s">
        <v>240</v>
      </c>
      <c r="D1163" s="5" t="s">
        <v>241</v>
      </c>
      <c r="E1163" s="5" t="s">
        <v>72</v>
      </c>
      <c r="F1163" s="21" t="n">
        <v>231.100006103516</v>
      </c>
      <c r="G1163" s="21" t="n">
        <v>4.62199974060059</v>
      </c>
      <c r="H1163" s="22" t="n">
        <f aca="false">F1163+G1163</f>
        <v>235.722005844117</v>
      </c>
      <c r="I1163" s="13" t="n">
        <f aca="false">INDEX(RM_Rates!$F$5:$F$137,MATCH(C1163,RM_Rates!$A$5:$A$137,0))</f>
        <v>0.363999992609024</v>
      </c>
      <c r="J1163" s="22" t="n">
        <f aca="false">H1163*I1163</f>
        <v>85.8028083850428</v>
      </c>
    </row>
    <row r="1164" customFormat="false" ht="15" hidden="false" customHeight="false" outlineLevel="0" collapsed="false">
      <c r="A1164" s="5" t="s">
        <v>602</v>
      </c>
      <c r="B1164" s="2" t="s">
        <v>723</v>
      </c>
      <c r="C1164" s="5" t="s">
        <v>271</v>
      </c>
      <c r="D1164" s="5" t="s">
        <v>272</v>
      </c>
      <c r="E1164" s="5" t="s">
        <v>72</v>
      </c>
      <c r="F1164" s="21" t="n">
        <v>508.799987792969</v>
      </c>
      <c r="G1164" s="21" t="n">
        <v>5.08799982070923</v>
      </c>
      <c r="H1164" s="22" t="n">
        <f aca="false">F1164+G1164</f>
        <v>513.887987613678</v>
      </c>
      <c r="I1164" s="13" t="n">
        <f aca="false">INDEX(RM_Rates!$F$5:$F$137,MATCH(C1164,RM_Rates!$A$5:$A$137,0))</f>
        <v>0.388907551765442</v>
      </c>
      <c r="J1164" s="22" t="n">
        <f aca="false">H1164*I1164</f>
        <v>199.854919144505</v>
      </c>
    </row>
    <row r="1165" customFormat="false" ht="15" hidden="false" customHeight="false" outlineLevel="0" collapsed="false">
      <c r="A1165" s="5" t="s">
        <v>602</v>
      </c>
      <c r="B1165" s="2" t="s">
        <v>723</v>
      </c>
      <c r="C1165" s="5" t="s">
        <v>285</v>
      </c>
      <c r="D1165" s="5" t="s">
        <v>286</v>
      </c>
      <c r="E1165" s="5" t="s">
        <v>166</v>
      </c>
      <c r="F1165" s="21" t="n">
        <v>1</v>
      </c>
      <c r="G1165" s="21" t="n">
        <v>0</v>
      </c>
      <c r="H1165" s="22" t="n">
        <f aca="false">F1165+G1165</f>
        <v>1</v>
      </c>
      <c r="I1165" s="13" t="n">
        <f aca="false">INDEX(RM_Rates!$F$5:$F$137,MATCH(C1165,RM_Rates!$A$5:$A$137,0))</f>
        <v>40.09814453125</v>
      </c>
      <c r="J1165" s="22" t="n">
        <f aca="false">H1165*I1165</f>
        <v>40.09814453125</v>
      </c>
    </row>
    <row r="1166" customFormat="false" ht="15" hidden="false" customHeight="false" outlineLevel="0" collapsed="false">
      <c r="A1166" s="5" t="s">
        <v>602</v>
      </c>
      <c r="B1166" s="2" t="s">
        <v>723</v>
      </c>
      <c r="C1166" s="5" t="s">
        <v>169</v>
      </c>
      <c r="D1166" s="5" t="s">
        <v>170</v>
      </c>
      <c r="E1166" s="5" t="s">
        <v>166</v>
      </c>
      <c r="F1166" s="21" t="n">
        <v>2</v>
      </c>
      <c r="G1166" s="21" t="n">
        <v>0</v>
      </c>
      <c r="H1166" s="22" t="n">
        <f aca="false">F1166+G1166</f>
        <v>2</v>
      </c>
      <c r="I1166" s="13" t="n">
        <f aca="false">INDEX(RM_Rates!$F$5:$F$137,MATCH(C1166,RM_Rates!$A$5:$A$137,0))</f>
        <v>0.124766282737255</v>
      </c>
      <c r="J1166" s="22" t="n">
        <f aca="false">H1166*I1166</f>
        <v>0.24953256547451</v>
      </c>
    </row>
    <row r="1167" customFormat="false" ht="15" hidden="false" customHeight="false" outlineLevel="0" collapsed="false">
      <c r="A1167" s="5" t="s">
        <v>602</v>
      </c>
      <c r="B1167" s="2" t="s">
        <v>723</v>
      </c>
      <c r="C1167" s="5" t="s">
        <v>308</v>
      </c>
      <c r="D1167" s="5" t="s">
        <v>309</v>
      </c>
      <c r="E1167" s="5" t="s">
        <v>297</v>
      </c>
      <c r="F1167" s="21" t="n">
        <v>4.40000009536743</v>
      </c>
      <c r="G1167" s="21" t="n">
        <v>0</v>
      </c>
      <c r="H1167" s="22" t="n">
        <f aca="false">F1167+G1167</f>
        <v>4.40000009536743</v>
      </c>
      <c r="I1167" s="13" t="n">
        <f aca="false">INDEX(RM_Rates!$F$5:$F$137,MATCH(C1167,RM_Rates!$A$5:$A$137,0))</f>
        <v>1.40752077102661</v>
      </c>
      <c r="J1167" s="22" t="n">
        <f aca="false">H1167*I1167</f>
        <v>6.19309152674872</v>
      </c>
    </row>
    <row r="1168" customFormat="false" ht="15" hidden="false" customHeight="false" outlineLevel="0" collapsed="false">
      <c r="A1168" s="5" t="s">
        <v>602</v>
      </c>
      <c r="B1168" s="2" t="s">
        <v>723</v>
      </c>
      <c r="C1168" s="5" t="s">
        <v>189</v>
      </c>
      <c r="D1168" s="5" t="s">
        <v>190</v>
      </c>
      <c r="E1168" s="5" t="s">
        <v>60</v>
      </c>
      <c r="F1168" s="21" t="n">
        <v>0.439999997615814</v>
      </c>
      <c r="G1168" s="21" t="n">
        <v>0</v>
      </c>
      <c r="H1168" s="22" t="n">
        <f aca="false">F1168+G1168</f>
        <v>0.439999997615814</v>
      </c>
      <c r="I1168" s="13" t="n">
        <f aca="false">INDEX(RM_Rates!$F$5:$F$137,MATCH(C1168,RM_Rates!$A$5:$A$137,0))</f>
        <v>0.568400025367737</v>
      </c>
      <c r="J1168" s="22" t="n">
        <f aca="false">H1168*I1168</f>
        <v>0.250096009806633</v>
      </c>
    </row>
    <row r="1169" customFormat="false" ht="15" hidden="false" customHeight="false" outlineLevel="0" collapsed="false">
      <c r="A1169" s="5" t="s">
        <v>604</v>
      </c>
      <c r="B1169" s="2" t="s">
        <v>724</v>
      </c>
      <c r="C1169" s="5" t="s">
        <v>154</v>
      </c>
      <c r="D1169" s="5" t="s">
        <v>155</v>
      </c>
      <c r="E1169" s="5" t="s">
        <v>72</v>
      </c>
      <c r="F1169" s="21" t="n">
        <v>6332</v>
      </c>
      <c r="G1169" s="21" t="n">
        <v>31.6599998474121</v>
      </c>
      <c r="H1169" s="22" t="n">
        <f aca="false">F1169+G1169</f>
        <v>6363.65999984741</v>
      </c>
      <c r="I1169" s="13" t="n">
        <f aca="false">INDEX(RM_Rates!$F$5:$F$137,MATCH(C1169,RM_Rates!$A$5:$A$137,0))</f>
        <v>1.969372</v>
      </c>
      <c r="J1169" s="22" t="n">
        <f aca="false">H1169*I1169</f>
        <v>12532.4138212195</v>
      </c>
    </row>
    <row r="1170" customFormat="false" ht="15" hidden="false" customHeight="false" outlineLevel="0" collapsed="false">
      <c r="A1170" s="5" t="s">
        <v>604</v>
      </c>
      <c r="B1170" s="2" t="s">
        <v>724</v>
      </c>
      <c r="C1170" s="5" t="s">
        <v>326</v>
      </c>
      <c r="D1170" s="5" t="s">
        <v>327</v>
      </c>
      <c r="E1170" s="5" t="s">
        <v>72</v>
      </c>
      <c r="F1170" s="21" t="n">
        <v>360</v>
      </c>
      <c r="G1170" s="21" t="n">
        <v>18</v>
      </c>
      <c r="H1170" s="22" t="n">
        <f aca="false">F1170+G1170</f>
        <v>378</v>
      </c>
      <c r="I1170" s="13" t="n">
        <f aca="false">INDEX(RM_Rates!$F$5:$F$137,MATCH(C1170,RM_Rates!$A$5:$A$137,0))</f>
        <v>0.596000015735626</v>
      </c>
      <c r="J1170" s="22" t="n">
        <f aca="false">H1170*I1170</f>
        <v>225.288005948067</v>
      </c>
    </row>
    <row r="1171" customFormat="false" ht="15" hidden="false" customHeight="false" outlineLevel="0" collapsed="false">
      <c r="A1171" s="5" t="s">
        <v>604</v>
      </c>
      <c r="B1171" s="2" t="s">
        <v>724</v>
      </c>
      <c r="C1171" s="5" t="s">
        <v>324</v>
      </c>
      <c r="D1171" s="5" t="s">
        <v>325</v>
      </c>
      <c r="E1171" s="5" t="s">
        <v>72</v>
      </c>
      <c r="F1171" s="21" t="n">
        <v>19.7999992370605</v>
      </c>
      <c r="G1171" s="21" t="n">
        <v>0.991999983787537</v>
      </c>
      <c r="H1171" s="22" t="n">
        <f aca="false">F1171+G1171</f>
        <v>20.791999220848</v>
      </c>
      <c r="I1171" s="13" t="n">
        <f aca="false">INDEX(RM_Rates!$F$5:$F$137,MATCH(C1171,RM_Rates!$A$5:$A$137,0))</f>
        <v>1.35229277610779</v>
      </c>
      <c r="J1171" s="22" t="n">
        <f aca="false">H1171*I1171</f>
        <v>28.1168703471916</v>
      </c>
    </row>
    <row r="1172" customFormat="false" ht="15" hidden="false" customHeight="false" outlineLevel="0" collapsed="false">
      <c r="A1172" s="5" t="s">
        <v>604</v>
      </c>
      <c r="B1172" s="2" t="s">
        <v>724</v>
      </c>
      <c r="C1172" s="5" t="s">
        <v>318</v>
      </c>
      <c r="D1172" s="5" t="s">
        <v>319</v>
      </c>
      <c r="E1172" s="5" t="s">
        <v>72</v>
      </c>
      <c r="F1172" s="21" t="n">
        <v>1.35000002384186</v>
      </c>
      <c r="G1172" s="21" t="n">
        <v>0.068000003695488</v>
      </c>
      <c r="H1172" s="22" t="n">
        <f aca="false">F1172+G1172</f>
        <v>1.41800002753735</v>
      </c>
      <c r="I1172" s="13" t="n">
        <f aca="false">INDEX(RM_Rates!$F$5:$F$137,MATCH(C1172,RM_Rates!$A$5:$A$137,0))</f>
        <v>1.6441433429718</v>
      </c>
      <c r="J1172" s="22" t="n">
        <f aca="false">H1172*I1172</f>
        <v>2.33139530560936</v>
      </c>
    </row>
    <row r="1173" customFormat="false" ht="15" hidden="false" customHeight="false" outlineLevel="0" collapsed="false">
      <c r="A1173" s="5" t="s">
        <v>604</v>
      </c>
      <c r="B1173" s="2" t="s">
        <v>724</v>
      </c>
      <c r="C1173" s="5" t="s">
        <v>322</v>
      </c>
      <c r="D1173" s="5" t="s">
        <v>323</v>
      </c>
      <c r="E1173" s="5" t="s">
        <v>72</v>
      </c>
      <c r="F1173" s="21" t="n">
        <v>1.35000002384186</v>
      </c>
      <c r="G1173" s="21" t="n">
        <v>0.068000003695488</v>
      </c>
      <c r="H1173" s="22" t="n">
        <f aca="false">F1173+G1173</f>
        <v>1.41800002753735</v>
      </c>
      <c r="I1173" s="13" t="n">
        <f aca="false">INDEX(RM_Rates!$F$5:$F$137,MATCH(C1173,RM_Rates!$A$5:$A$137,0))</f>
        <v>1.6441433429718</v>
      </c>
      <c r="J1173" s="22" t="n">
        <f aca="false">H1173*I1173</f>
        <v>2.33139530560936</v>
      </c>
    </row>
    <row r="1174" customFormat="false" ht="15" hidden="false" customHeight="false" outlineLevel="0" collapsed="false">
      <c r="A1174" s="5" t="s">
        <v>604</v>
      </c>
      <c r="B1174" s="2" t="s">
        <v>724</v>
      </c>
      <c r="C1174" s="5" t="s">
        <v>316</v>
      </c>
      <c r="D1174" s="5" t="s">
        <v>317</v>
      </c>
      <c r="E1174" s="5" t="s">
        <v>72</v>
      </c>
      <c r="F1174" s="21" t="n">
        <v>1.35000002384186</v>
      </c>
      <c r="G1174" s="21" t="n">
        <v>0.068000003695488</v>
      </c>
      <c r="H1174" s="22" t="n">
        <f aca="false">F1174+G1174</f>
        <v>1.41800002753735</v>
      </c>
      <c r="I1174" s="13" t="n">
        <f aca="false">INDEX(RM_Rates!$F$5:$F$137,MATCH(C1174,RM_Rates!$A$5:$A$137,0))</f>
        <v>1.6441433429718</v>
      </c>
      <c r="J1174" s="22" t="n">
        <f aca="false">H1174*I1174</f>
        <v>2.33139530560936</v>
      </c>
    </row>
    <row r="1175" customFormat="false" ht="15" hidden="false" customHeight="false" outlineLevel="0" collapsed="false">
      <c r="A1175" s="5" t="s">
        <v>604</v>
      </c>
      <c r="B1175" s="2" t="s">
        <v>724</v>
      </c>
      <c r="C1175" s="5" t="s">
        <v>314</v>
      </c>
      <c r="D1175" s="5" t="s">
        <v>315</v>
      </c>
      <c r="E1175" s="5" t="s">
        <v>72</v>
      </c>
      <c r="F1175" s="21" t="n">
        <v>1.35000002384186</v>
      </c>
      <c r="G1175" s="21" t="n">
        <v>0.068000003695488</v>
      </c>
      <c r="H1175" s="22" t="n">
        <f aca="false">F1175+G1175</f>
        <v>1.41800002753735</v>
      </c>
      <c r="I1175" s="13" t="n">
        <f aca="false">INDEX(RM_Rates!$F$5:$F$137,MATCH(C1175,RM_Rates!$A$5:$A$137,0))</f>
        <v>1.6441433429718</v>
      </c>
      <c r="J1175" s="22" t="n">
        <f aca="false">H1175*I1175</f>
        <v>2.33139530560936</v>
      </c>
    </row>
    <row r="1176" customFormat="false" ht="15" hidden="false" customHeight="false" outlineLevel="0" collapsed="false">
      <c r="A1176" s="5" t="s">
        <v>604</v>
      </c>
      <c r="B1176" s="2" t="s">
        <v>724</v>
      </c>
      <c r="C1176" s="5" t="s">
        <v>222</v>
      </c>
      <c r="D1176" s="5" t="s">
        <v>223</v>
      </c>
      <c r="E1176" s="5" t="s">
        <v>72</v>
      </c>
      <c r="F1176" s="21" t="n">
        <v>22.2000007629395</v>
      </c>
      <c r="G1176" s="21" t="n">
        <v>0</v>
      </c>
      <c r="H1176" s="22" t="n">
        <f aca="false">F1176+G1176</f>
        <v>22.2000007629395</v>
      </c>
      <c r="I1176" s="13" t="n">
        <f aca="false">INDEX(RM_Rates!$F$5:$F$137,MATCH(C1176,RM_Rates!$A$5:$A$137,0))</f>
        <v>0.379036813974381</v>
      </c>
      <c r="J1176" s="22" t="n">
        <f aca="false">H1176*I1176</f>
        <v>8.41461755941342</v>
      </c>
    </row>
    <row r="1177" customFormat="false" ht="15" hidden="false" customHeight="false" outlineLevel="0" collapsed="false">
      <c r="A1177" s="5" t="s">
        <v>604</v>
      </c>
      <c r="B1177" s="2" t="s">
        <v>724</v>
      </c>
      <c r="C1177" s="5" t="s">
        <v>228</v>
      </c>
      <c r="D1177" s="5" t="s">
        <v>229</v>
      </c>
      <c r="E1177" s="5" t="s">
        <v>72</v>
      </c>
      <c r="F1177" s="21" t="n">
        <v>10.3000001907349</v>
      </c>
      <c r="G1177" s="21" t="n">
        <v>0</v>
      </c>
      <c r="H1177" s="22" t="n">
        <f aca="false">F1177+G1177</f>
        <v>10.3000001907349</v>
      </c>
      <c r="I1177" s="13" t="n">
        <f aca="false">INDEX(RM_Rates!$F$5:$F$137,MATCH(C1177,RM_Rates!$A$5:$A$137,0))</f>
        <v>0.742858171463013</v>
      </c>
      <c r="J1177" s="22" t="n">
        <f aca="false">H1177*I1177</f>
        <v>7.65143930775801</v>
      </c>
    </row>
    <row r="1178" customFormat="false" ht="15" hidden="false" customHeight="false" outlineLevel="0" collapsed="false">
      <c r="A1178" s="5" t="s">
        <v>604</v>
      </c>
      <c r="B1178" s="2" t="s">
        <v>724</v>
      </c>
      <c r="C1178" s="5" t="s">
        <v>240</v>
      </c>
      <c r="D1178" s="5" t="s">
        <v>241</v>
      </c>
      <c r="E1178" s="5" t="s">
        <v>72</v>
      </c>
      <c r="F1178" s="21" t="n">
        <v>876.700012207031</v>
      </c>
      <c r="G1178" s="21" t="n">
        <v>17.5340003967285</v>
      </c>
      <c r="H1178" s="22" t="n">
        <f aca="false">F1178+G1178</f>
        <v>894.23401260376</v>
      </c>
      <c r="I1178" s="13" t="n">
        <f aca="false">INDEX(RM_Rates!$F$5:$F$137,MATCH(C1178,RM_Rates!$A$5:$A$137,0))</f>
        <v>0.363999992609024</v>
      </c>
      <c r="J1178" s="22" t="n">
        <f aca="false">H1178*I1178</f>
        <v>325.501173978506</v>
      </c>
    </row>
    <row r="1179" customFormat="false" ht="15" hidden="false" customHeight="false" outlineLevel="0" collapsed="false">
      <c r="A1179" s="5" t="s">
        <v>604</v>
      </c>
      <c r="B1179" s="2" t="s">
        <v>724</v>
      </c>
      <c r="C1179" s="5" t="s">
        <v>275</v>
      </c>
      <c r="D1179" s="5" t="s">
        <v>276</v>
      </c>
      <c r="E1179" s="5" t="s">
        <v>72</v>
      </c>
      <c r="F1179" s="21" t="n">
        <v>2056.39990234375</v>
      </c>
      <c r="G1179" s="21" t="n">
        <v>20.5639991760254</v>
      </c>
      <c r="H1179" s="22" t="n">
        <f aca="false">F1179+G1179</f>
        <v>2076.96390151978</v>
      </c>
      <c r="I1179" s="13" t="n">
        <f aca="false">INDEX(RM_Rates!$F$5:$F$137,MATCH(C1179,RM_Rates!$A$5:$A$137,0))</f>
        <v>0.367191910743713</v>
      </c>
      <c r="J1179" s="22" t="n">
        <f aca="false">H1179*I1179</f>
        <v>762.644343544763</v>
      </c>
    </row>
    <row r="1180" customFormat="false" ht="15" hidden="false" customHeight="false" outlineLevel="0" collapsed="false">
      <c r="A1180" s="5" t="s">
        <v>604</v>
      </c>
      <c r="B1180" s="2" t="s">
        <v>724</v>
      </c>
      <c r="C1180" s="5" t="s">
        <v>287</v>
      </c>
      <c r="D1180" s="5" t="s">
        <v>288</v>
      </c>
      <c r="E1180" s="5" t="s">
        <v>166</v>
      </c>
      <c r="F1180" s="21" t="n">
        <v>4</v>
      </c>
      <c r="G1180" s="21" t="n">
        <v>0</v>
      </c>
      <c r="H1180" s="22" t="n">
        <f aca="false">F1180+G1180</f>
        <v>4</v>
      </c>
      <c r="I1180" s="13" t="n">
        <f aca="false">INDEX(RM_Rates!$F$5:$F$137,MATCH(C1180,RM_Rates!$A$5:$A$137,0))</f>
        <v>57.848518371582</v>
      </c>
      <c r="J1180" s="22" t="n">
        <f aca="false">H1180*I1180</f>
        <v>231.394073486328</v>
      </c>
    </row>
    <row r="1181" customFormat="false" ht="15" hidden="false" customHeight="false" outlineLevel="0" collapsed="false">
      <c r="A1181" s="5" t="s">
        <v>604</v>
      </c>
      <c r="B1181" s="2" t="s">
        <v>724</v>
      </c>
      <c r="C1181" s="5" t="s">
        <v>175</v>
      </c>
      <c r="D1181" s="5" t="s">
        <v>176</v>
      </c>
      <c r="E1181" s="5" t="s">
        <v>166</v>
      </c>
      <c r="F1181" s="21" t="n">
        <v>8</v>
      </c>
      <c r="G1181" s="21" t="n">
        <v>0</v>
      </c>
      <c r="H1181" s="22" t="n">
        <f aca="false">F1181+G1181</f>
        <v>8</v>
      </c>
      <c r="I1181" s="13" t="n">
        <f aca="false">INDEX(RM_Rates!$F$5:$F$137,MATCH(C1181,RM_Rates!$A$5:$A$137,0))</f>
        <v>0.39300000667572</v>
      </c>
      <c r="J1181" s="22" t="n">
        <f aca="false">H1181*I1181</f>
        <v>3.14400005340576</v>
      </c>
    </row>
    <row r="1182" customFormat="false" ht="15" hidden="false" customHeight="false" outlineLevel="0" collapsed="false">
      <c r="A1182" s="5" t="s">
        <v>604</v>
      </c>
      <c r="B1182" s="2" t="s">
        <v>724</v>
      </c>
      <c r="C1182" s="5" t="s">
        <v>308</v>
      </c>
      <c r="D1182" s="5" t="s">
        <v>309</v>
      </c>
      <c r="E1182" s="5" t="s">
        <v>297</v>
      </c>
      <c r="F1182" s="21" t="n">
        <v>20</v>
      </c>
      <c r="G1182" s="21" t="n">
        <v>0</v>
      </c>
      <c r="H1182" s="22" t="n">
        <f aca="false">F1182+G1182</f>
        <v>20</v>
      </c>
      <c r="I1182" s="13" t="n">
        <f aca="false">INDEX(RM_Rates!$F$5:$F$137,MATCH(C1182,RM_Rates!$A$5:$A$137,0))</f>
        <v>1.40752077102661</v>
      </c>
      <c r="J1182" s="22" t="n">
        <f aca="false">H1182*I1182</f>
        <v>28.1504154205322</v>
      </c>
    </row>
    <row r="1183" customFormat="false" ht="15" hidden="false" customHeight="false" outlineLevel="0" collapsed="false">
      <c r="A1183" s="5" t="s">
        <v>604</v>
      </c>
      <c r="B1183" s="2" t="s">
        <v>724</v>
      </c>
      <c r="C1183" s="5" t="s">
        <v>189</v>
      </c>
      <c r="D1183" s="5" t="s">
        <v>190</v>
      </c>
      <c r="E1183" s="5" t="s">
        <v>60</v>
      </c>
      <c r="F1183" s="21" t="n">
        <v>2</v>
      </c>
      <c r="G1183" s="21" t="n">
        <v>0</v>
      </c>
      <c r="H1183" s="22" t="n">
        <f aca="false">F1183+G1183</f>
        <v>2</v>
      </c>
      <c r="I1183" s="13" t="n">
        <f aca="false">INDEX(RM_Rates!$F$5:$F$137,MATCH(C1183,RM_Rates!$A$5:$A$137,0))</f>
        <v>0.568400025367737</v>
      </c>
      <c r="J1183" s="22" t="n">
        <f aca="false">H1183*I1183</f>
        <v>1.13680005073547</v>
      </c>
    </row>
    <row r="1184" customFormat="false" ht="15" hidden="false" customHeight="false" outlineLevel="0" collapsed="false">
      <c r="A1184" s="5" t="s">
        <v>606</v>
      </c>
      <c r="B1184" s="2" t="s">
        <v>725</v>
      </c>
      <c r="C1184" s="5" t="s">
        <v>156</v>
      </c>
      <c r="D1184" s="5" t="s">
        <v>157</v>
      </c>
      <c r="E1184" s="5" t="s">
        <v>72</v>
      </c>
      <c r="F1184" s="21" t="n">
        <v>8320</v>
      </c>
      <c r="G1184" s="21" t="n">
        <v>41.5999984741211</v>
      </c>
      <c r="H1184" s="22" t="n">
        <f aca="false">F1184+G1184</f>
        <v>8361.59999847412</v>
      </c>
      <c r="I1184" s="13" t="n">
        <f aca="false">INDEX(RM_Rates!$F$5:$F$137,MATCH(C1184,RM_Rates!$A$5:$A$137,0))</f>
        <v>1.967828</v>
      </c>
      <c r="J1184" s="22" t="n">
        <f aca="false">H1184*I1184</f>
        <v>16454.1906017973</v>
      </c>
    </row>
    <row r="1185" customFormat="false" ht="15" hidden="false" customHeight="false" outlineLevel="0" collapsed="false">
      <c r="A1185" s="5" t="s">
        <v>606</v>
      </c>
      <c r="B1185" s="2" t="s">
        <v>725</v>
      </c>
      <c r="C1185" s="5" t="s">
        <v>326</v>
      </c>
      <c r="D1185" s="5" t="s">
        <v>327</v>
      </c>
      <c r="E1185" s="5" t="s">
        <v>72</v>
      </c>
      <c r="F1185" s="21" t="n">
        <v>439.200012207031</v>
      </c>
      <c r="G1185" s="21" t="n">
        <v>21.9599990844727</v>
      </c>
      <c r="H1185" s="22" t="n">
        <f aca="false">F1185+G1185</f>
        <v>461.160011291504</v>
      </c>
      <c r="I1185" s="13" t="n">
        <f aca="false">INDEX(RM_Rates!$F$5:$F$137,MATCH(C1185,RM_Rates!$A$5:$A$137,0))</f>
        <v>0.596000015735626</v>
      </c>
      <c r="J1185" s="22" t="n">
        <f aca="false">H1185*I1185</f>
        <v>274.851373986378</v>
      </c>
    </row>
    <row r="1186" customFormat="false" ht="15" hidden="false" customHeight="false" outlineLevel="0" collapsed="false">
      <c r="A1186" s="5" t="s">
        <v>606</v>
      </c>
      <c r="B1186" s="2" t="s">
        <v>725</v>
      </c>
      <c r="C1186" s="5" t="s">
        <v>324</v>
      </c>
      <c r="D1186" s="5" t="s">
        <v>325</v>
      </c>
      <c r="E1186" s="5" t="s">
        <v>72</v>
      </c>
      <c r="F1186" s="21" t="n">
        <v>24.1560001373291</v>
      </c>
      <c r="G1186" s="21" t="n">
        <v>1.20799994468689</v>
      </c>
      <c r="H1186" s="22" t="n">
        <f aca="false">F1186+G1186</f>
        <v>25.364000082016</v>
      </c>
      <c r="I1186" s="13" t="n">
        <f aca="false">INDEX(RM_Rates!$F$5:$F$137,MATCH(C1186,RM_Rates!$A$5:$A$137,0))</f>
        <v>1.35229277610779</v>
      </c>
      <c r="J1186" s="22" t="n">
        <f aca="false">H1186*I1186</f>
        <v>34.2995540841076</v>
      </c>
    </row>
    <row r="1187" customFormat="false" ht="15" hidden="false" customHeight="false" outlineLevel="0" collapsed="false">
      <c r="A1187" s="5" t="s">
        <v>606</v>
      </c>
      <c r="B1187" s="2" t="s">
        <v>725</v>
      </c>
      <c r="C1187" s="5" t="s">
        <v>318</v>
      </c>
      <c r="D1187" s="5" t="s">
        <v>319</v>
      </c>
      <c r="E1187" s="5" t="s">
        <v>72</v>
      </c>
      <c r="F1187" s="21" t="n">
        <v>1.64699995517731</v>
      </c>
      <c r="G1187" s="21" t="n">
        <v>0.0820000022649765</v>
      </c>
      <c r="H1187" s="22" t="n">
        <f aca="false">F1187+G1187</f>
        <v>1.72899995744229</v>
      </c>
      <c r="I1187" s="13" t="n">
        <f aca="false">INDEX(RM_Rates!$F$5:$F$137,MATCH(C1187,RM_Rates!$A$5:$A$137,0))</f>
        <v>1.6441433429718</v>
      </c>
      <c r="J1187" s="22" t="n">
        <f aca="false">H1187*I1187</f>
        <v>2.84272377002726</v>
      </c>
    </row>
    <row r="1188" customFormat="false" ht="15" hidden="false" customHeight="false" outlineLevel="0" collapsed="false">
      <c r="A1188" s="5" t="s">
        <v>606</v>
      </c>
      <c r="B1188" s="2" t="s">
        <v>725</v>
      </c>
      <c r="C1188" s="5" t="s">
        <v>322</v>
      </c>
      <c r="D1188" s="5" t="s">
        <v>323</v>
      </c>
      <c r="E1188" s="5" t="s">
        <v>72</v>
      </c>
      <c r="F1188" s="21" t="n">
        <v>1.64699995517731</v>
      </c>
      <c r="G1188" s="21" t="n">
        <v>0.0820000022649765</v>
      </c>
      <c r="H1188" s="22" t="n">
        <f aca="false">F1188+G1188</f>
        <v>1.72899995744229</v>
      </c>
      <c r="I1188" s="13" t="n">
        <f aca="false">INDEX(RM_Rates!$F$5:$F$137,MATCH(C1188,RM_Rates!$A$5:$A$137,0))</f>
        <v>1.6441433429718</v>
      </c>
      <c r="J1188" s="22" t="n">
        <f aca="false">H1188*I1188</f>
        <v>2.84272377002726</v>
      </c>
    </row>
    <row r="1189" customFormat="false" ht="15" hidden="false" customHeight="false" outlineLevel="0" collapsed="false">
      <c r="A1189" s="5" t="s">
        <v>606</v>
      </c>
      <c r="B1189" s="2" t="s">
        <v>725</v>
      </c>
      <c r="C1189" s="5" t="s">
        <v>316</v>
      </c>
      <c r="D1189" s="5" t="s">
        <v>317</v>
      </c>
      <c r="E1189" s="5" t="s">
        <v>72</v>
      </c>
      <c r="F1189" s="21" t="n">
        <v>1.64699995517731</v>
      </c>
      <c r="G1189" s="21" t="n">
        <v>0.0820000022649765</v>
      </c>
      <c r="H1189" s="22" t="n">
        <f aca="false">F1189+G1189</f>
        <v>1.72899995744229</v>
      </c>
      <c r="I1189" s="13" t="n">
        <f aca="false">INDEX(RM_Rates!$F$5:$F$137,MATCH(C1189,RM_Rates!$A$5:$A$137,0))</f>
        <v>1.6441433429718</v>
      </c>
      <c r="J1189" s="22" t="n">
        <f aca="false">H1189*I1189</f>
        <v>2.84272377002726</v>
      </c>
    </row>
    <row r="1190" customFormat="false" ht="15" hidden="false" customHeight="false" outlineLevel="0" collapsed="false">
      <c r="A1190" s="5" t="s">
        <v>606</v>
      </c>
      <c r="B1190" s="2" t="s">
        <v>725</v>
      </c>
      <c r="C1190" s="5" t="s">
        <v>314</v>
      </c>
      <c r="D1190" s="5" t="s">
        <v>315</v>
      </c>
      <c r="E1190" s="5" t="s">
        <v>72</v>
      </c>
      <c r="F1190" s="21" t="n">
        <v>1.64699995517731</v>
      </c>
      <c r="G1190" s="21" t="n">
        <v>0.0820000022649765</v>
      </c>
      <c r="H1190" s="22" t="n">
        <f aca="false">F1190+G1190</f>
        <v>1.72899995744229</v>
      </c>
      <c r="I1190" s="13" t="n">
        <f aca="false">INDEX(RM_Rates!$F$5:$F$137,MATCH(C1190,RM_Rates!$A$5:$A$137,0))</f>
        <v>1.6441433429718</v>
      </c>
      <c r="J1190" s="22" t="n">
        <f aca="false">H1190*I1190</f>
        <v>2.84272377002726</v>
      </c>
    </row>
    <row r="1191" customFormat="false" ht="15" hidden="false" customHeight="false" outlineLevel="0" collapsed="false">
      <c r="A1191" s="5" t="s">
        <v>606</v>
      </c>
      <c r="B1191" s="2" t="s">
        <v>725</v>
      </c>
      <c r="C1191" s="5" t="s">
        <v>222</v>
      </c>
      <c r="D1191" s="5" t="s">
        <v>223</v>
      </c>
      <c r="E1191" s="5" t="s">
        <v>72</v>
      </c>
      <c r="F1191" s="21" t="n">
        <v>44.4000015258789</v>
      </c>
      <c r="G1191" s="21" t="n">
        <v>0</v>
      </c>
      <c r="H1191" s="22" t="n">
        <f aca="false">F1191+G1191</f>
        <v>44.4000015258789</v>
      </c>
      <c r="I1191" s="13" t="n">
        <f aca="false">INDEX(RM_Rates!$F$5:$F$137,MATCH(C1191,RM_Rates!$A$5:$A$137,0))</f>
        <v>0.379036813974381</v>
      </c>
      <c r="J1191" s="22" t="n">
        <f aca="false">H1191*I1191</f>
        <v>16.8292351188268</v>
      </c>
    </row>
    <row r="1192" customFormat="false" ht="15" hidden="false" customHeight="false" outlineLevel="0" collapsed="false">
      <c r="A1192" s="5" t="s">
        <v>606</v>
      </c>
      <c r="B1192" s="2" t="s">
        <v>725</v>
      </c>
      <c r="C1192" s="5" t="s">
        <v>230</v>
      </c>
      <c r="D1192" s="5" t="s">
        <v>231</v>
      </c>
      <c r="E1192" s="5" t="s">
        <v>72</v>
      </c>
      <c r="F1192" s="21" t="n">
        <v>11.8999996185303</v>
      </c>
      <c r="G1192" s="21" t="n">
        <v>0</v>
      </c>
      <c r="H1192" s="22" t="n">
        <f aca="false">F1192+G1192</f>
        <v>11.8999996185303</v>
      </c>
      <c r="I1192" s="13" t="n">
        <f aca="false">INDEX(RM_Rates!$F$5:$F$137,MATCH(C1192,RM_Rates!$A$5:$A$137,0))</f>
        <v>0.742858171463013</v>
      </c>
      <c r="J1192" s="22" t="n">
        <f aca="false">H1192*I1192</f>
        <v>8.84001195703197</v>
      </c>
    </row>
    <row r="1193" customFormat="false" ht="15" hidden="false" customHeight="false" outlineLevel="0" collapsed="false">
      <c r="A1193" s="5" t="s">
        <v>606</v>
      </c>
      <c r="B1193" s="2" t="s">
        <v>725</v>
      </c>
      <c r="C1193" s="5" t="s">
        <v>240</v>
      </c>
      <c r="D1193" s="5" t="s">
        <v>241</v>
      </c>
      <c r="E1193" s="5" t="s">
        <v>72</v>
      </c>
      <c r="F1193" s="21" t="n">
        <v>1108.30004882813</v>
      </c>
      <c r="G1193" s="21" t="n">
        <v>22.1660003662109</v>
      </c>
      <c r="H1193" s="22" t="n">
        <f aca="false">F1193+G1193</f>
        <v>1130.46604919434</v>
      </c>
      <c r="I1193" s="13" t="n">
        <f aca="false">INDEX(RM_Rates!$F$5:$F$137,MATCH(C1193,RM_Rates!$A$5:$A$137,0))</f>
        <v>0.363999992609024</v>
      </c>
      <c r="J1193" s="22" t="n">
        <f aca="false">H1193*I1193</f>
        <v>411.489633551493</v>
      </c>
    </row>
    <row r="1194" customFormat="false" ht="15" hidden="false" customHeight="false" outlineLevel="0" collapsed="false">
      <c r="A1194" s="5" t="s">
        <v>606</v>
      </c>
      <c r="B1194" s="2" t="s">
        <v>725</v>
      </c>
      <c r="C1194" s="5" t="s">
        <v>275</v>
      </c>
      <c r="D1194" s="5" t="s">
        <v>276</v>
      </c>
      <c r="E1194" s="5" t="s">
        <v>72</v>
      </c>
      <c r="F1194" s="21" t="n">
        <v>2366.80004882813</v>
      </c>
      <c r="G1194" s="21" t="n">
        <v>23.6679992675781</v>
      </c>
      <c r="H1194" s="22" t="n">
        <f aca="false">F1194+G1194</f>
        <v>2390.46804809571</v>
      </c>
      <c r="I1194" s="13" t="n">
        <f aca="false">INDEX(RM_Rates!$F$5:$F$137,MATCH(C1194,RM_Rates!$A$5:$A$137,0))</f>
        <v>0.367191910743713</v>
      </c>
      <c r="J1194" s="22" t="n">
        <f aca="false">H1194*I1194</f>
        <v>877.760530152057</v>
      </c>
    </row>
    <row r="1195" customFormat="false" ht="15" hidden="false" customHeight="false" outlineLevel="0" collapsed="false">
      <c r="A1195" s="5" t="s">
        <v>606</v>
      </c>
      <c r="B1195" s="2" t="s">
        <v>725</v>
      </c>
      <c r="C1195" s="5" t="s">
        <v>253</v>
      </c>
      <c r="D1195" s="5" t="s">
        <v>254</v>
      </c>
      <c r="E1195" s="5" t="s">
        <v>166</v>
      </c>
      <c r="F1195" s="21" t="n">
        <v>4</v>
      </c>
      <c r="G1195" s="21" t="n">
        <v>0</v>
      </c>
      <c r="H1195" s="22" t="n">
        <f aca="false">F1195+G1195</f>
        <v>4</v>
      </c>
      <c r="I1195" s="13" t="n">
        <f aca="false">INDEX(RM_Rates!$F$5:$F$137,MATCH(C1195,RM_Rates!$A$5:$A$137,0))</f>
        <v>90.4160690307617</v>
      </c>
      <c r="J1195" s="22" t="n">
        <f aca="false">H1195*I1195</f>
        <v>361.664276123047</v>
      </c>
    </row>
    <row r="1196" customFormat="false" ht="15" hidden="false" customHeight="false" outlineLevel="0" collapsed="false">
      <c r="A1196" s="5" t="s">
        <v>606</v>
      </c>
      <c r="B1196" s="2" t="s">
        <v>725</v>
      </c>
      <c r="C1196" s="5" t="s">
        <v>175</v>
      </c>
      <c r="D1196" s="5" t="s">
        <v>176</v>
      </c>
      <c r="E1196" s="5" t="s">
        <v>166</v>
      </c>
      <c r="F1196" s="21" t="n">
        <v>8</v>
      </c>
      <c r="G1196" s="21" t="n">
        <v>0</v>
      </c>
      <c r="H1196" s="22" t="n">
        <f aca="false">F1196+G1196</f>
        <v>8</v>
      </c>
      <c r="I1196" s="13" t="n">
        <f aca="false">INDEX(RM_Rates!$F$5:$F$137,MATCH(C1196,RM_Rates!$A$5:$A$137,0))</f>
        <v>0.39300000667572</v>
      </c>
      <c r="J1196" s="22" t="n">
        <f aca="false">H1196*I1196</f>
        <v>3.14400005340576</v>
      </c>
    </row>
    <row r="1197" customFormat="false" ht="15" hidden="false" customHeight="false" outlineLevel="0" collapsed="false">
      <c r="A1197" s="5" t="s">
        <v>606</v>
      </c>
      <c r="B1197" s="2" t="s">
        <v>725</v>
      </c>
      <c r="C1197" s="5" t="s">
        <v>310</v>
      </c>
      <c r="D1197" s="5" t="s">
        <v>311</v>
      </c>
      <c r="E1197" s="5" t="s">
        <v>297</v>
      </c>
      <c r="F1197" s="21" t="n">
        <v>22.7999992370605</v>
      </c>
      <c r="G1197" s="21" t="n">
        <v>0</v>
      </c>
      <c r="H1197" s="22" t="n">
        <f aca="false">F1197+G1197</f>
        <v>22.7999992370605</v>
      </c>
      <c r="I1197" s="13" t="n">
        <f aca="false">INDEX(RM_Rates!$F$5:$F$137,MATCH(C1197,RM_Rates!$A$5:$A$137,0))</f>
        <v>1.40752077102661</v>
      </c>
      <c r="J1197" s="22" t="n">
        <f aca="false">H1197*I1197</f>
        <v>32.0914725055535</v>
      </c>
    </row>
    <row r="1198" customFormat="false" ht="15" hidden="false" customHeight="false" outlineLevel="0" collapsed="false">
      <c r="A1198" s="5" t="s">
        <v>606</v>
      </c>
      <c r="B1198" s="2" t="s">
        <v>725</v>
      </c>
      <c r="C1198" s="5" t="s">
        <v>189</v>
      </c>
      <c r="D1198" s="5" t="s">
        <v>190</v>
      </c>
      <c r="E1198" s="5" t="s">
        <v>60</v>
      </c>
      <c r="F1198" s="21" t="n">
        <v>2.35999989509583</v>
      </c>
      <c r="G1198" s="21" t="n">
        <v>0</v>
      </c>
      <c r="H1198" s="22" t="n">
        <f aca="false">F1198+G1198</f>
        <v>2.35999989509583</v>
      </c>
      <c r="I1198" s="13" t="n">
        <f aca="false">INDEX(RM_Rates!$F$5:$F$137,MATCH(C1198,RM_Rates!$A$5:$A$137,0))</f>
        <v>0.568400025367737</v>
      </c>
      <c r="J1198" s="22" t="n">
        <f aca="false">H1198*I1198</f>
        <v>1.34142400024033</v>
      </c>
    </row>
    <row r="1199" customFormat="false" ht="15" hidden="false" customHeight="false" outlineLevel="0" collapsed="false">
      <c r="A1199" s="5" t="s">
        <v>608</v>
      </c>
      <c r="B1199" s="2" t="s">
        <v>726</v>
      </c>
      <c r="C1199" s="5" t="s">
        <v>144</v>
      </c>
      <c r="D1199" s="5" t="s">
        <v>145</v>
      </c>
      <c r="E1199" s="5" t="s">
        <v>72</v>
      </c>
      <c r="F1199" s="21" t="n">
        <v>868</v>
      </c>
      <c r="G1199" s="21" t="n">
        <v>4.34000015258789</v>
      </c>
      <c r="H1199" s="22" t="n">
        <f aca="false">F1199+G1199</f>
        <v>872.340000152588</v>
      </c>
      <c r="I1199" s="13" t="n">
        <f aca="false">INDEX(RM_Rates!$F$5:$F$137,MATCH(C1199,RM_Rates!$A$5:$A$137,0))</f>
        <v>1.970916</v>
      </c>
      <c r="J1199" s="22" t="n">
        <f aca="false">H1199*I1199</f>
        <v>1719.30886374074</v>
      </c>
    </row>
    <row r="1200" customFormat="false" ht="15" hidden="false" customHeight="false" outlineLevel="0" collapsed="false">
      <c r="A1200" s="5" t="s">
        <v>608</v>
      </c>
      <c r="B1200" s="2" t="s">
        <v>726</v>
      </c>
      <c r="C1200" s="5" t="s">
        <v>326</v>
      </c>
      <c r="D1200" s="5" t="s">
        <v>327</v>
      </c>
      <c r="E1200" s="5" t="s">
        <v>72</v>
      </c>
      <c r="F1200" s="21" t="n">
        <v>78.8000030517578</v>
      </c>
      <c r="G1200" s="21" t="n">
        <v>3.94000005722046</v>
      </c>
      <c r="H1200" s="22" t="n">
        <f aca="false">F1200+G1200</f>
        <v>82.7400031089783</v>
      </c>
      <c r="I1200" s="13" t="n">
        <f aca="false">INDEX(RM_Rates!$F$5:$F$137,MATCH(C1200,RM_Rates!$A$5:$A$137,0))</f>
        <v>0.596000015735626</v>
      </c>
      <c r="J1200" s="22" t="n">
        <f aca="false">H1200*I1200</f>
        <v>49.3130431549168</v>
      </c>
    </row>
    <row r="1201" customFormat="false" ht="15" hidden="false" customHeight="false" outlineLevel="0" collapsed="false">
      <c r="A1201" s="5" t="s">
        <v>608</v>
      </c>
      <c r="B1201" s="2" t="s">
        <v>726</v>
      </c>
      <c r="C1201" s="5" t="s">
        <v>324</v>
      </c>
      <c r="D1201" s="5" t="s">
        <v>325</v>
      </c>
      <c r="E1201" s="5" t="s">
        <v>72</v>
      </c>
      <c r="F1201" s="21" t="n">
        <v>4.33400011062622</v>
      </c>
      <c r="G1201" s="21" t="n">
        <v>0.216000005602837</v>
      </c>
      <c r="H1201" s="22" t="n">
        <f aca="false">F1201+G1201</f>
        <v>4.55000011622906</v>
      </c>
      <c r="I1201" s="13" t="n">
        <f aca="false">INDEX(RM_Rates!$F$5:$F$137,MATCH(C1201,RM_Rates!$A$5:$A$137,0))</f>
        <v>1.35229277610779</v>
      </c>
      <c r="J1201" s="22" t="n">
        <f aca="false">H1201*I1201</f>
        <v>6.15293228846616</v>
      </c>
    </row>
    <row r="1202" customFormat="false" ht="15" hidden="false" customHeight="false" outlineLevel="0" collapsed="false">
      <c r="A1202" s="5" t="s">
        <v>608</v>
      </c>
      <c r="B1202" s="2" t="s">
        <v>726</v>
      </c>
      <c r="C1202" s="5" t="s">
        <v>318</v>
      </c>
      <c r="D1202" s="5" t="s">
        <v>319</v>
      </c>
      <c r="E1202" s="5" t="s">
        <v>72</v>
      </c>
      <c r="F1202" s="21" t="n">
        <v>0.295500010251999</v>
      </c>
      <c r="G1202" s="21" t="n">
        <v>0.0149999996647239</v>
      </c>
      <c r="H1202" s="22" t="n">
        <f aca="false">F1202+G1202</f>
        <v>0.310500009916723</v>
      </c>
      <c r="I1202" s="13" t="n">
        <f aca="false">INDEX(RM_Rates!$F$5:$F$137,MATCH(C1202,RM_Rates!$A$5:$A$137,0))</f>
        <v>1.6441433429718</v>
      </c>
      <c r="J1202" s="22" t="n">
        <f aca="false">H1202*I1202</f>
        <v>0.510506524297258</v>
      </c>
    </row>
    <row r="1203" customFormat="false" ht="15" hidden="false" customHeight="false" outlineLevel="0" collapsed="false">
      <c r="A1203" s="5" t="s">
        <v>608</v>
      </c>
      <c r="B1203" s="2" t="s">
        <v>726</v>
      </c>
      <c r="C1203" s="5" t="s">
        <v>322</v>
      </c>
      <c r="D1203" s="5" t="s">
        <v>323</v>
      </c>
      <c r="E1203" s="5" t="s">
        <v>72</v>
      </c>
      <c r="F1203" s="21" t="n">
        <v>0.295500010251999</v>
      </c>
      <c r="G1203" s="21" t="n">
        <v>0.0149999996647239</v>
      </c>
      <c r="H1203" s="22" t="n">
        <f aca="false">F1203+G1203</f>
        <v>0.310500009916723</v>
      </c>
      <c r="I1203" s="13" t="n">
        <f aca="false">INDEX(RM_Rates!$F$5:$F$137,MATCH(C1203,RM_Rates!$A$5:$A$137,0))</f>
        <v>1.6441433429718</v>
      </c>
      <c r="J1203" s="22" t="n">
        <f aca="false">H1203*I1203</f>
        <v>0.510506524297258</v>
      </c>
    </row>
    <row r="1204" customFormat="false" ht="15" hidden="false" customHeight="false" outlineLevel="0" collapsed="false">
      <c r="A1204" s="5" t="s">
        <v>608</v>
      </c>
      <c r="B1204" s="2" t="s">
        <v>726</v>
      </c>
      <c r="C1204" s="5" t="s">
        <v>316</v>
      </c>
      <c r="D1204" s="5" t="s">
        <v>317</v>
      </c>
      <c r="E1204" s="5" t="s">
        <v>72</v>
      </c>
      <c r="F1204" s="21" t="n">
        <v>0.295500010251999</v>
      </c>
      <c r="G1204" s="21" t="n">
        <v>0.0149999996647239</v>
      </c>
      <c r="H1204" s="22" t="n">
        <f aca="false">F1204+G1204</f>
        <v>0.310500009916723</v>
      </c>
      <c r="I1204" s="13" t="n">
        <f aca="false">INDEX(RM_Rates!$F$5:$F$137,MATCH(C1204,RM_Rates!$A$5:$A$137,0))</f>
        <v>1.6441433429718</v>
      </c>
      <c r="J1204" s="22" t="n">
        <f aca="false">H1204*I1204</f>
        <v>0.510506524297258</v>
      </c>
    </row>
    <row r="1205" customFormat="false" ht="15" hidden="false" customHeight="false" outlineLevel="0" collapsed="false">
      <c r="A1205" s="5" t="s">
        <v>608</v>
      </c>
      <c r="B1205" s="2" t="s">
        <v>726</v>
      </c>
      <c r="C1205" s="5" t="s">
        <v>314</v>
      </c>
      <c r="D1205" s="5" t="s">
        <v>315</v>
      </c>
      <c r="E1205" s="5" t="s">
        <v>72</v>
      </c>
      <c r="F1205" s="21" t="n">
        <v>0.295500010251999</v>
      </c>
      <c r="G1205" s="21" t="n">
        <v>0.0149999996647239</v>
      </c>
      <c r="H1205" s="22" t="n">
        <f aca="false">F1205+G1205</f>
        <v>0.310500009916723</v>
      </c>
      <c r="I1205" s="13" t="n">
        <f aca="false">INDEX(RM_Rates!$F$5:$F$137,MATCH(C1205,RM_Rates!$A$5:$A$137,0))</f>
        <v>1.6441433429718</v>
      </c>
      <c r="J1205" s="22" t="n">
        <f aca="false">H1205*I1205</f>
        <v>0.510506524297258</v>
      </c>
    </row>
    <row r="1206" customFormat="false" ht="15" hidden="false" customHeight="false" outlineLevel="0" collapsed="false">
      <c r="A1206" s="5" t="s">
        <v>608</v>
      </c>
      <c r="B1206" s="2" t="s">
        <v>726</v>
      </c>
      <c r="C1206" s="5" t="s">
        <v>218</v>
      </c>
      <c r="D1206" s="5" t="s">
        <v>219</v>
      </c>
      <c r="E1206" s="5" t="s">
        <v>72</v>
      </c>
      <c r="F1206" s="21" t="n">
        <v>11.1000003814697</v>
      </c>
      <c r="G1206" s="21" t="n">
        <v>0</v>
      </c>
      <c r="H1206" s="22" t="n">
        <f aca="false">F1206+G1206</f>
        <v>11.1000003814697</v>
      </c>
      <c r="I1206" s="13" t="n">
        <f aca="false">INDEX(RM_Rates!$F$5:$F$137,MATCH(C1206,RM_Rates!$A$5:$A$137,0))</f>
        <v>0.379036813974381</v>
      </c>
      <c r="J1206" s="22" t="n">
        <f aca="false">H1206*I1206</f>
        <v>4.20730877970669</v>
      </c>
    </row>
    <row r="1207" customFormat="false" ht="15" hidden="false" customHeight="false" outlineLevel="0" collapsed="false">
      <c r="A1207" s="5" t="s">
        <v>608</v>
      </c>
      <c r="B1207" s="2" t="s">
        <v>726</v>
      </c>
      <c r="C1207" s="5" t="s">
        <v>224</v>
      </c>
      <c r="D1207" s="5" t="s">
        <v>225</v>
      </c>
      <c r="E1207" s="5" t="s">
        <v>72</v>
      </c>
      <c r="F1207" s="21" t="n">
        <v>4.30000019073486</v>
      </c>
      <c r="G1207" s="21" t="n">
        <v>0</v>
      </c>
      <c r="H1207" s="22" t="n">
        <f aca="false">F1207+G1207</f>
        <v>4.30000019073486</v>
      </c>
      <c r="I1207" s="13" t="n">
        <f aca="false">INDEX(RM_Rates!$F$5:$F$137,MATCH(C1207,RM_Rates!$A$5:$A$137,0))</f>
        <v>0.742858171463013</v>
      </c>
      <c r="J1207" s="22" t="n">
        <f aca="false">H1207*I1207</f>
        <v>3.19429027897991</v>
      </c>
    </row>
    <row r="1208" customFormat="false" ht="15" hidden="false" customHeight="false" outlineLevel="0" collapsed="false">
      <c r="A1208" s="5" t="s">
        <v>608</v>
      </c>
      <c r="B1208" s="2" t="s">
        <v>726</v>
      </c>
      <c r="C1208" s="5" t="s">
        <v>240</v>
      </c>
      <c r="D1208" s="5" t="s">
        <v>241</v>
      </c>
      <c r="E1208" s="5" t="s">
        <v>72</v>
      </c>
      <c r="F1208" s="21" t="n">
        <v>257.099975585938</v>
      </c>
      <c r="G1208" s="21" t="n">
        <v>5.14200019836426</v>
      </c>
      <c r="H1208" s="22" t="n">
        <f aca="false">F1208+G1208</f>
        <v>262.241975784302</v>
      </c>
      <c r="I1208" s="13" t="n">
        <f aca="false">INDEX(RM_Rates!$F$5:$F$137,MATCH(C1208,RM_Rates!$A$5:$A$137,0))</f>
        <v>0.363999992609024</v>
      </c>
      <c r="J1208" s="22" t="n">
        <f aca="false">H1208*I1208</f>
        <v>95.4560772472619</v>
      </c>
    </row>
    <row r="1209" customFormat="false" ht="15" hidden="false" customHeight="false" outlineLevel="0" collapsed="false">
      <c r="A1209" s="5" t="s">
        <v>608</v>
      </c>
      <c r="B1209" s="2" t="s">
        <v>726</v>
      </c>
      <c r="C1209" s="5" t="s">
        <v>271</v>
      </c>
      <c r="D1209" s="5" t="s">
        <v>272</v>
      </c>
      <c r="E1209" s="5" t="s">
        <v>72</v>
      </c>
      <c r="F1209" s="21" t="n">
        <v>572.400024414063</v>
      </c>
      <c r="G1209" s="21" t="n">
        <v>5.72399997711182</v>
      </c>
      <c r="H1209" s="22" t="n">
        <f aca="false">F1209+G1209</f>
        <v>578.124024391175</v>
      </c>
      <c r="I1209" s="13" t="n">
        <f aca="false">INDEX(RM_Rates!$F$5:$F$137,MATCH(C1209,RM_Rates!$A$5:$A$137,0))</f>
        <v>0.388907551765442</v>
      </c>
      <c r="J1209" s="22" t="n">
        <f aca="false">H1209*I1209</f>
        <v>224.836798942756</v>
      </c>
    </row>
    <row r="1210" customFormat="false" ht="15" hidden="false" customHeight="false" outlineLevel="0" collapsed="false">
      <c r="A1210" s="5" t="s">
        <v>608</v>
      </c>
      <c r="B1210" s="2" t="s">
        <v>726</v>
      </c>
      <c r="C1210" s="5" t="s">
        <v>285</v>
      </c>
      <c r="D1210" s="5" t="s">
        <v>286</v>
      </c>
      <c r="E1210" s="5" t="s">
        <v>166</v>
      </c>
      <c r="F1210" s="21" t="n">
        <v>1</v>
      </c>
      <c r="G1210" s="21" t="n">
        <v>0</v>
      </c>
      <c r="H1210" s="22" t="n">
        <f aca="false">F1210+G1210</f>
        <v>1</v>
      </c>
      <c r="I1210" s="13" t="n">
        <f aca="false">INDEX(RM_Rates!$F$5:$F$137,MATCH(C1210,RM_Rates!$A$5:$A$137,0))</f>
        <v>40.09814453125</v>
      </c>
      <c r="J1210" s="22" t="n">
        <f aca="false">H1210*I1210</f>
        <v>40.09814453125</v>
      </c>
    </row>
    <row r="1211" customFormat="false" ht="15" hidden="false" customHeight="false" outlineLevel="0" collapsed="false">
      <c r="A1211" s="5" t="s">
        <v>608</v>
      </c>
      <c r="B1211" s="2" t="s">
        <v>726</v>
      </c>
      <c r="C1211" s="5" t="s">
        <v>169</v>
      </c>
      <c r="D1211" s="5" t="s">
        <v>170</v>
      </c>
      <c r="E1211" s="5" t="s">
        <v>166</v>
      </c>
      <c r="F1211" s="21" t="n">
        <v>2</v>
      </c>
      <c r="G1211" s="21" t="n">
        <v>0</v>
      </c>
      <c r="H1211" s="22" t="n">
        <f aca="false">F1211+G1211</f>
        <v>2</v>
      </c>
      <c r="I1211" s="13" t="n">
        <f aca="false">INDEX(RM_Rates!$F$5:$F$137,MATCH(C1211,RM_Rates!$A$5:$A$137,0))</f>
        <v>0.124766282737255</v>
      </c>
      <c r="J1211" s="22" t="n">
        <f aca="false">H1211*I1211</f>
        <v>0.24953256547451</v>
      </c>
    </row>
    <row r="1212" customFormat="false" ht="15" hidden="false" customHeight="false" outlineLevel="0" collapsed="false">
      <c r="A1212" s="5" t="s">
        <v>608</v>
      </c>
      <c r="B1212" s="2" t="s">
        <v>726</v>
      </c>
      <c r="C1212" s="5" t="s">
        <v>308</v>
      </c>
      <c r="D1212" s="5" t="s">
        <v>309</v>
      </c>
      <c r="E1212" s="5" t="s">
        <v>297</v>
      </c>
      <c r="F1212" s="21" t="n">
        <v>4.40000009536743</v>
      </c>
      <c r="G1212" s="21" t="n">
        <v>0</v>
      </c>
      <c r="H1212" s="22" t="n">
        <f aca="false">F1212+G1212</f>
        <v>4.40000009536743</v>
      </c>
      <c r="I1212" s="13" t="n">
        <f aca="false">INDEX(RM_Rates!$F$5:$F$137,MATCH(C1212,RM_Rates!$A$5:$A$137,0))</f>
        <v>1.40752077102661</v>
      </c>
      <c r="J1212" s="22" t="n">
        <f aca="false">H1212*I1212</f>
        <v>6.19309152674872</v>
      </c>
    </row>
    <row r="1213" customFormat="false" ht="15" hidden="false" customHeight="false" outlineLevel="0" collapsed="false">
      <c r="A1213" s="5" t="s">
        <v>608</v>
      </c>
      <c r="B1213" s="2" t="s">
        <v>726</v>
      </c>
      <c r="C1213" s="5" t="s">
        <v>189</v>
      </c>
      <c r="D1213" s="5" t="s">
        <v>190</v>
      </c>
      <c r="E1213" s="5" t="s">
        <v>60</v>
      </c>
      <c r="F1213" s="21" t="n">
        <v>0.439999997615814</v>
      </c>
      <c r="G1213" s="21" t="n">
        <v>0</v>
      </c>
      <c r="H1213" s="22" t="n">
        <f aca="false">F1213+G1213</f>
        <v>0.439999997615814</v>
      </c>
      <c r="I1213" s="13" t="n">
        <f aca="false">INDEX(RM_Rates!$F$5:$F$137,MATCH(C1213,RM_Rates!$A$5:$A$137,0))</f>
        <v>0.568400025367737</v>
      </c>
      <c r="J1213" s="22" t="n">
        <f aca="false">H1213*I1213</f>
        <v>0.250096009806633</v>
      </c>
    </row>
    <row r="1214" customFormat="false" ht="15" hidden="false" customHeight="false" outlineLevel="0" collapsed="false">
      <c r="A1214" s="5" t="s">
        <v>610</v>
      </c>
      <c r="B1214" s="2" t="s">
        <v>727</v>
      </c>
      <c r="C1214" s="5" t="s">
        <v>146</v>
      </c>
      <c r="D1214" s="5" t="s">
        <v>147</v>
      </c>
      <c r="E1214" s="5" t="s">
        <v>72</v>
      </c>
      <c r="F1214" s="21" t="n">
        <v>1208</v>
      </c>
      <c r="G1214" s="21" t="n">
        <v>6.03999996185303</v>
      </c>
      <c r="H1214" s="22" t="n">
        <f aca="false">F1214+G1214</f>
        <v>1214.03999996185</v>
      </c>
      <c r="I1214" s="13" t="n">
        <f aca="false">INDEX(RM_Rates!$F$5:$F$137,MATCH(C1214,RM_Rates!$A$5:$A$137,0))</f>
        <v>1.969372</v>
      </c>
      <c r="J1214" s="22" t="n">
        <f aca="false">H1214*I1214</f>
        <v>2390.89638280487</v>
      </c>
    </row>
    <row r="1215" customFormat="false" ht="15" hidden="false" customHeight="false" outlineLevel="0" collapsed="false">
      <c r="A1215" s="5" t="s">
        <v>610</v>
      </c>
      <c r="B1215" s="2" t="s">
        <v>727</v>
      </c>
      <c r="C1215" s="5" t="s">
        <v>326</v>
      </c>
      <c r="D1215" s="5" t="s">
        <v>327</v>
      </c>
      <c r="E1215" s="5" t="s">
        <v>72</v>
      </c>
      <c r="F1215" s="21" t="n">
        <v>90.4000015258789</v>
      </c>
      <c r="G1215" s="21" t="n">
        <v>4.51999998092651</v>
      </c>
      <c r="H1215" s="22" t="n">
        <f aca="false">F1215+G1215</f>
        <v>94.9200015068054</v>
      </c>
      <c r="I1215" s="13" t="n">
        <f aca="false">INDEX(RM_Rates!$F$5:$F$137,MATCH(C1215,RM_Rates!$A$5:$A$137,0))</f>
        <v>0.596000015735626</v>
      </c>
      <c r="J1215" s="22" t="n">
        <f aca="false">H1215*I1215</f>
        <v>56.5723223916817</v>
      </c>
    </row>
    <row r="1216" customFormat="false" ht="15" hidden="false" customHeight="false" outlineLevel="0" collapsed="false">
      <c r="A1216" s="5" t="s">
        <v>610</v>
      </c>
      <c r="B1216" s="2" t="s">
        <v>727</v>
      </c>
      <c r="C1216" s="5" t="s">
        <v>324</v>
      </c>
      <c r="D1216" s="5" t="s">
        <v>325</v>
      </c>
      <c r="E1216" s="5" t="s">
        <v>72</v>
      </c>
      <c r="F1216" s="21" t="n">
        <v>4.97200012207031</v>
      </c>
      <c r="G1216" s="21" t="n">
        <v>0.247999995946884</v>
      </c>
      <c r="H1216" s="22" t="n">
        <f aca="false">F1216+G1216</f>
        <v>5.22000011801719</v>
      </c>
      <c r="I1216" s="13" t="n">
        <f aca="false">INDEX(RM_Rates!$F$5:$F$137,MATCH(C1216,RM_Rates!$A$5:$A$137,0))</f>
        <v>1.35229277610779</v>
      </c>
      <c r="J1216" s="22" t="n">
        <f aca="false">H1216*I1216</f>
        <v>7.05896845087646</v>
      </c>
    </row>
    <row r="1217" customFormat="false" ht="15" hidden="false" customHeight="false" outlineLevel="0" collapsed="false">
      <c r="A1217" s="5" t="s">
        <v>610</v>
      </c>
      <c r="B1217" s="2" t="s">
        <v>727</v>
      </c>
      <c r="C1217" s="5" t="s">
        <v>318</v>
      </c>
      <c r="D1217" s="5" t="s">
        <v>319</v>
      </c>
      <c r="E1217" s="5" t="s">
        <v>72</v>
      </c>
      <c r="F1217" s="21" t="n">
        <v>0.33899998664856</v>
      </c>
      <c r="G1217" s="21" t="n">
        <v>0.017000000923872</v>
      </c>
      <c r="H1217" s="22" t="n">
        <f aca="false">F1217+G1217</f>
        <v>0.355999987572432</v>
      </c>
      <c r="I1217" s="13" t="n">
        <f aca="false">INDEX(RM_Rates!$F$5:$F$137,MATCH(C1217,RM_Rates!$A$5:$A$137,0))</f>
        <v>1.6441433429718</v>
      </c>
      <c r="J1217" s="22" t="n">
        <f aca="false">H1217*I1217</f>
        <v>0.585315009665258</v>
      </c>
    </row>
    <row r="1218" customFormat="false" ht="15" hidden="false" customHeight="false" outlineLevel="0" collapsed="false">
      <c r="A1218" s="5" t="s">
        <v>610</v>
      </c>
      <c r="B1218" s="2" t="s">
        <v>727</v>
      </c>
      <c r="C1218" s="5" t="s">
        <v>322</v>
      </c>
      <c r="D1218" s="5" t="s">
        <v>323</v>
      </c>
      <c r="E1218" s="5" t="s">
        <v>72</v>
      </c>
      <c r="F1218" s="21" t="n">
        <v>0.33899998664856</v>
      </c>
      <c r="G1218" s="21" t="n">
        <v>0.017000000923872</v>
      </c>
      <c r="H1218" s="22" t="n">
        <f aca="false">F1218+G1218</f>
        <v>0.355999987572432</v>
      </c>
      <c r="I1218" s="13" t="n">
        <f aca="false">INDEX(RM_Rates!$F$5:$F$137,MATCH(C1218,RM_Rates!$A$5:$A$137,0))</f>
        <v>1.6441433429718</v>
      </c>
      <c r="J1218" s="22" t="n">
        <f aca="false">H1218*I1218</f>
        <v>0.585315009665258</v>
      </c>
    </row>
    <row r="1219" customFormat="false" ht="15" hidden="false" customHeight="false" outlineLevel="0" collapsed="false">
      <c r="A1219" s="5" t="s">
        <v>610</v>
      </c>
      <c r="B1219" s="2" t="s">
        <v>727</v>
      </c>
      <c r="C1219" s="5" t="s">
        <v>316</v>
      </c>
      <c r="D1219" s="5" t="s">
        <v>317</v>
      </c>
      <c r="E1219" s="5" t="s">
        <v>72</v>
      </c>
      <c r="F1219" s="21" t="n">
        <v>0.33899998664856</v>
      </c>
      <c r="G1219" s="21" t="n">
        <v>0.017000000923872</v>
      </c>
      <c r="H1219" s="22" t="n">
        <f aca="false">F1219+G1219</f>
        <v>0.355999987572432</v>
      </c>
      <c r="I1219" s="13" t="n">
        <f aca="false">INDEX(RM_Rates!$F$5:$F$137,MATCH(C1219,RM_Rates!$A$5:$A$137,0))</f>
        <v>1.6441433429718</v>
      </c>
      <c r="J1219" s="22" t="n">
        <f aca="false">H1219*I1219</f>
        <v>0.585315009665258</v>
      </c>
    </row>
    <row r="1220" customFormat="false" ht="15" hidden="false" customHeight="false" outlineLevel="0" collapsed="false">
      <c r="A1220" s="5" t="s">
        <v>610</v>
      </c>
      <c r="B1220" s="2" t="s">
        <v>727</v>
      </c>
      <c r="C1220" s="5" t="s">
        <v>314</v>
      </c>
      <c r="D1220" s="5" t="s">
        <v>315</v>
      </c>
      <c r="E1220" s="5" t="s">
        <v>72</v>
      </c>
      <c r="F1220" s="21" t="n">
        <v>0.33899998664856</v>
      </c>
      <c r="G1220" s="21" t="n">
        <v>0.017000000923872</v>
      </c>
      <c r="H1220" s="22" t="n">
        <f aca="false">F1220+G1220</f>
        <v>0.355999987572432</v>
      </c>
      <c r="I1220" s="13" t="n">
        <f aca="false">INDEX(RM_Rates!$F$5:$F$137,MATCH(C1220,RM_Rates!$A$5:$A$137,0))</f>
        <v>1.6441433429718</v>
      </c>
      <c r="J1220" s="22" t="n">
        <f aca="false">H1220*I1220</f>
        <v>0.585315009665258</v>
      </c>
    </row>
    <row r="1221" customFormat="false" ht="15" hidden="false" customHeight="false" outlineLevel="0" collapsed="false">
      <c r="A1221" s="5" t="s">
        <v>610</v>
      </c>
      <c r="B1221" s="2" t="s">
        <v>727</v>
      </c>
      <c r="C1221" s="5" t="s">
        <v>218</v>
      </c>
      <c r="D1221" s="5" t="s">
        <v>219</v>
      </c>
      <c r="E1221" s="5" t="s">
        <v>72</v>
      </c>
      <c r="F1221" s="21" t="n">
        <v>11.1000003814697</v>
      </c>
      <c r="G1221" s="21" t="n">
        <v>0</v>
      </c>
      <c r="H1221" s="22" t="n">
        <f aca="false">F1221+G1221</f>
        <v>11.1000003814697</v>
      </c>
      <c r="I1221" s="13" t="n">
        <f aca="false">INDEX(RM_Rates!$F$5:$F$137,MATCH(C1221,RM_Rates!$A$5:$A$137,0))</f>
        <v>0.379036813974381</v>
      </c>
      <c r="J1221" s="22" t="n">
        <f aca="false">H1221*I1221</f>
        <v>4.20730877970669</v>
      </c>
    </row>
    <row r="1222" customFormat="false" ht="15" hidden="false" customHeight="false" outlineLevel="0" collapsed="false">
      <c r="A1222" s="5" t="s">
        <v>610</v>
      </c>
      <c r="B1222" s="2" t="s">
        <v>727</v>
      </c>
      <c r="C1222" s="5" t="s">
        <v>224</v>
      </c>
      <c r="D1222" s="5" t="s">
        <v>225</v>
      </c>
      <c r="E1222" s="5" t="s">
        <v>72</v>
      </c>
      <c r="F1222" s="21" t="n">
        <v>4.80000019073486</v>
      </c>
      <c r="G1222" s="21" t="n">
        <v>0</v>
      </c>
      <c r="H1222" s="22" t="n">
        <f aca="false">F1222+G1222</f>
        <v>4.80000019073486</v>
      </c>
      <c r="I1222" s="13" t="n">
        <f aca="false">INDEX(RM_Rates!$F$5:$F$137,MATCH(C1222,RM_Rates!$A$5:$A$137,0))</f>
        <v>0.742858171463013</v>
      </c>
      <c r="J1222" s="22" t="n">
        <f aca="false">H1222*I1222</f>
        <v>3.56571936471141</v>
      </c>
    </row>
    <row r="1223" customFormat="false" ht="15" hidden="false" customHeight="false" outlineLevel="0" collapsed="false">
      <c r="A1223" s="5" t="s">
        <v>610</v>
      </c>
      <c r="B1223" s="2" t="s">
        <v>727</v>
      </c>
      <c r="C1223" s="5" t="s">
        <v>240</v>
      </c>
      <c r="D1223" s="5" t="s">
        <v>241</v>
      </c>
      <c r="E1223" s="5" t="s">
        <v>72</v>
      </c>
      <c r="F1223" s="21" t="n">
        <v>294.899993896484</v>
      </c>
      <c r="G1223" s="21" t="n">
        <v>5.89800024032593</v>
      </c>
      <c r="H1223" s="22" t="n">
        <f aca="false">F1223+G1223</f>
        <v>300.79799413681</v>
      </c>
      <c r="I1223" s="13" t="n">
        <f aca="false">INDEX(RM_Rates!$F$5:$F$137,MATCH(C1223,RM_Rates!$A$5:$A$137,0))</f>
        <v>0.363999992609024</v>
      </c>
      <c r="J1223" s="22" t="n">
        <f aca="false">H1223*I1223</f>
        <v>109.490467642608</v>
      </c>
    </row>
    <row r="1224" customFormat="false" ht="15" hidden="false" customHeight="false" outlineLevel="0" collapsed="false">
      <c r="A1224" s="5" t="s">
        <v>610</v>
      </c>
      <c r="B1224" s="2" t="s">
        <v>727</v>
      </c>
      <c r="C1224" s="5" t="s">
        <v>271</v>
      </c>
      <c r="D1224" s="5" t="s">
        <v>272</v>
      </c>
      <c r="E1224" s="5" t="s">
        <v>72</v>
      </c>
      <c r="F1224" s="21" t="n">
        <v>636</v>
      </c>
      <c r="G1224" s="21" t="n">
        <v>6.3600001335144</v>
      </c>
      <c r="H1224" s="22" t="n">
        <f aca="false">F1224+G1224</f>
        <v>642.360000133514</v>
      </c>
      <c r="I1224" s="13" t="n">
        <f aca="false">INDEX(RM_Rates!$F$5:$F$137,MATCH(C1224,RM_Rates!$A$5:$A$137,0))</f>
        <v>0.388907551765442</v>
      </c>
      <c r="J1224" s="22" t="n">
        <f aca="false">H1224*I1224</f>
        <v>249.818655003974</v>
      </c>
    </row>
    <row r="1225" customFormat="false" ht="15" hidden="false" customHeight="false" outlineLevel="0" collapsed="false">
      <c r="A1225" s="5" t="s">
        <v>610</v>
      </c>
      <c r="B1225" s="2" t="s">
        <v>727</v>
      </c>
      <c r="C1225" s="5" t="s">
        <v>285</v>
      </c>
      <c r="D1225" s="5" t="s">
        <v>286</v>
      </c>
      <c r="E1225" s="5" t="s">
        <v>166</v>
      </c>
      <c r="F1225" s="21" t="n">
        <v>1</v>
      </c>
      <c r="G1225" s="21" t="n">
        <v>0</v>
      </c>
      <c r="H1225" s="22" t="n">
        <f aca="false">F1225+G1225</f>
        <v>1</v>
      </c>
      <c r="I1225" s="13" t="n">
        <f aca="false">INDEX(RM_Rates!$F$5:$F$137,MATCH(C1225,RM_Rates!$A$5:$A$137,0))</f>
        <v>40.09814453125</v>
      </c>
      <c r="J1225" s="22" t="n">
        <f aca="false">H1225*I1225</f>
        <v>40.09814453125</v>
      </c>
    </row>
    <row r="1226" customFormat="false" ht="15" hidden="false" customHeight="false" outlineLevel="0" collapsed="false">
      <c r="A1226" s="5" t="s">
        <v>610</v>
      </c>
      <c r="B1226" s="2" t="s">
        <v>727</v>
      </c>
      <c r="C1226" s="5" t="s">
        <v>171</v>
      </c>
      <c r="D1226" s="5" t="s">
        <v>172</v>
      </c>
      <c r="E1226" s="5" t="s">
        <v>166</v>
      </c>
      <c r="F1226" s="21" t="n">
        <v>2</v>
      </c>
      <c r="G1226" s="21" t="n">
        <v>0</v>
      </c>
      <c r="H1226" s="22" t="n">
        <f aca="false">F1226+G1226</f>
        <v>2</v>
      </c>
      <c r="I1226" s="13" t="n">
        <f aca="false">INDEX(RM_Rates!$F$5:$F$137,MATCH(C1226,RM_Rates!$A$5:$A$137,0))</f>
        <v>0.124766282737255</v>
      </c>
      <c r="J1226" s="22" t="n">
        <f aca="false">H1226*I1226</f>
        <v>0.24953256547451</v>
      </c>
    </row>
    <row r="1227" customFormat="false" ht="15" hidden="false" customHeight="false" outlineLevel="0" collapsed="false">
      <c r="A1227" s="5" t="s">
        <v>610</v>
      </c>
      <c r="B1227" s="2" t="s">
        <v>727</v>
      </c>
      <c r="C1227" s="5" t="s">
        <v>308</v>
      </c>
      <c r="D1227" s="5" t="s">
        <v>309</v>
      </c>
      <c r="E1227" s="5" t="s">
        <v>297</v>
      </c>
      <c r="F1227" s="21" t="n">
        <v>4.40000009536743</v>
      </c>
      <c r="G1227" s="21" t="n">
        <v>0</v>
      </c>
      <c r="H1227" s="22" t="n">
        <f aca="false">F1227+G1227</f>
        <v>4.40000009536743</v>
      </c>
      <c r="I1227" s="13" t="n">
        <f aca="false">INDEX(RM_Rates!$F$5:$F$137,MATCH(C1227,RM_Rates!$A$5:$A$137,0))</f>
        <v>1.40752077102661</v>
      </c>
      <c r="J1227" s="22" t="n">
        <f aca="false">H1227*I1227</f>
        <v>6.19309152674872</v>
      </c>
    </row>
    <row r="1228" customFormat="false" ht="15" hidden="false" customHeight="false" outlineLevel="0" collapsed="false">
      <c r="A1228" s="5" t="s">
        <v>610</v>
      </c>
      <c r="B1228" s="2" t="s">
        <v>727</v>
      </c>
      <c r="C1228" s="5" t="s">
        <v>189</v>
      </c>
      <c r="D1228" s="5" t="s">
        <v>190</v>
      </c>
      <c r="E1228" s="5" t="s">
        <v>60</v>
      </c>
      <c r="F1228" s="21" t="n">
        <v>0.439999997615814</v>
      </c>
      <c r="G1228" s="21" t="n">
        <v>0</v>
      </c>
      <c r="H1228" s="22" t="n">
        <f aca="false">F1228+G1228</f>
        <v>0.439999997615814</v>
      </c>
      <c r="I1228" s="13" t="n">
        <f aca="false">INDEX(RM_Rates!$F$5:$F$137,MATCH(C1228,RM_Rates!$A$5:$A$137,0))</f>
        <v>0.568400025367737</v>
      </c>
      <c r="J1228" s="22" t="n">
        <f aca="false">H1228*I1228</f>
        <v>0.250096009806633</v>
      </c>
    </row>
    <row r="1229" customFormat="false" ht="15" hidden="false" customHeight="false" outlineLevel="0" collapsed="false">
      <c r="A1229" s="5" t="s">
        <v>612</v>
      </c>
      <c r="B1229" s="2" t="s">
        <v>728</v>
      </c>
      <c r="C1229" s="5" t="s">
        <v>148</v>
      </c>
      <c r="D1229" s="5" t="s">
        <v>149</v>
      </c>
      <c r="E1229" s="5" t="s">
        <v>72</v>
      </c>
      <c r="F1229" s="21" t="n">
        <v>1636</v>
      </c>
      <c r="G1229" s="21" t="n">
        <v>8.18000030517578</v>
      </c>
      <c r="H1229" s="22" t="n">
        <f aca="false">F1229+G1229</f>
        <v>1644.18000030518</v>
      </c>
      <c r="I1229" s="13" t="n">
        <f aca="false">INDEX(RM_Rates!$F$5:$F$137,MATCH(C1229,RM_Rates!$A$5:$A$137,0))</f>
        <v>1.968214</v>
      </c>
      <c r="J1229" s="22" t="n">
        <f aca="false">H1229*I1229</f>
        <v>3236.09809512065</v>
      </c>
    </row>
    <row r="1230" customFormat="false" ht="15" hidden="false" customHeight="false" outlineLevel="0" collapsed="false">
      <c r="A1230" s="5" t="s">
        <v>612</v>
      </c>
      <c r="B1230" s="2" t="s">
        <v>728</v>
      </c>
      <c r="C1230" s="5" t="s">
        <v>326</v>
      </c>
      <c r="D1230" s="5" t="s">
        <v>327</v>
      </c>
      <c r="E1230" s="5" t="s">
        <v>72</v>
      </c>
      <c r="F1230" s="21" t="n">
        <v>116.800003051758</v>
      </c>
      <c r="G1230" s="21" t="n">
        <v>5.84000015258789</v>
      </c>
      <c r="H1230" s="22" t="n">
        <f aca="false">F1230+G1230</f>
        <v>122.640003204346</v>
      </c>
      <c r="I1230" s="13" t="n">
        <f aca="false">INDEX(RM_Rates!$F$5:$F$137,MATCH(C1230,RM_Rates!$A$5:$A$137,0))</f>
        <v>0.596000015735626</v>
      </c>
      <c r="J1230" s="22" t="n">
        <f aca="false">H1230*I1230</f>
        <v>73.0934438396074</v>
      </c>
    </row>
    <row r="1231" customFormat="false" ht="15" hidden="false" customHeight="false" outlineLevel="0" collapsed="false">
      <c r="A1231" s="5" t="s">
        <v>612</v>
      </c>
      <c r="B1231" s="2" t="s">
        <v>728</v>
      </c>
      <c r="C1231" s="5" t="s">
        <v>324</v>
      </c>
      <c r="D1231" s="5" t="s">
        <v>325</v>
      </c>
      <c r="E1231" s="5" t="s">
        <v>72</v>
      </c>
      <c r="F1231" s="21" t="n">
        <v>6.42399978637695</v>
      </c>
      <c r="G1231" s="21" t="n">
        <v>0.319999992847443</v>
      </c>
      <c r="H1231" s="22" t="n">
        <f aca="false">F1231+G1231</f>
        <v>6.74399977922439</v>
      </c>
      <c r="I1231" s="13" t="n">
        <f aca="false">INDEX(RM_Rates!$F$5:$F$137,MATCH(C1231,RM_Rates!$A$5:$A$137,0))</f>
        <v>1.35229277610779</v>
      </c>
      <c r="J1231" s="22" t="n">
        <f aca="false">H1231*I1231</f>
        <v>9.11986218351768</v>
      </c>
    </row>
    <row r="1232" customFormat="false" ht="15" hidden="false" customHeight="false" outlineLevel="0" collapsed="false">
      <c r="A1232" s="5" t="s">
        <v>612</v>
      </c>
      <c r="B1232" s="2" t="s">
        <v>728</v>
      </c>
      <c r="C1232" s="5" t="s">
        <v>318</v>
      </c>
      <c r="D1232" s="5" t="s">
        <v>319</v>
      </c>
      <c r="E1232" s="5" t="s">
        <v>72</v>
      </c>
      <c r="F1232" s="21" t="n">
        <v>0.437999993562698</v>
      </c>
      <c r="G1232" s="21" t="n">
        <v>0.0219999998807907</v>
      </c>
      <c r="H1232" s="22" t="n">
        <f aca="false">F1232+G1232</f>
        <v>0.459999993443489</v>
      </c>
      <c r="I1232" s="13" t="n">
        <f aca="false">INDEX(RM_Rates!$F$5:$F$137,MATCH(C1232,RM_Rates!$A$5:$A$137,0))</f>
        <v>1.6441433429718</v>
      </c>
      <c r="J1232" s="22" t="n">
        <f aca="false">H1232*I1232</f>
        <v>0.756305926987184</v>
      </c>
    </row>
    <row r="1233" customFormat="false" ht="15" hidden="false" customHeight="false" outlineLevel="0" collapsed="false">
      <c r="A1233" s="5" t="s">
        <v>612</v>
      </c>
      <c r="B1233" s="2" t="s">
        <v>728</v>
      </c>
      <c r="C1233" s="5" t="s">
        <v>322</v>
      </c>
      <c r="D1233" s="5" t="s">
        <v>323</v>
      </c>
      <c r="E1233" s="5" t="s">
        <v>72</v>
      </c>
      <c r="F1233" s="21" t="n">
        <v>0.437999993562698</v>
      </c>
      <c r="G1233" s="21" t="n">
        <v>0.0219999998807907</v>
      </c>
      <c r="H1233" s="22" t="n">
        <f aca="false">F1233+G1233</f>
        <v>0.459999993443489</v>
      </c>
      <c r="I1233" s="13" t="n">
        <f aca="false">INDEX(RM_Rates!$F$5:$F$137,MATCH(C1233,RM_Rates!$A$5:$A$137,0))</f>
        <v>1.6441433429718</v>
      </c>
      <c r="J1233" s="22" t="n">
        <f aca="false">H1233*I1233</f>
        <v>0.756305926987184</v>
      </c>
    </row>
    <row r="1234" customFormat="false" ht="15" hidden="false" customHeight="false" outlineLevel="0" collapsed="false">
      <c r="A1234" s="5" t="s">
        <v>612</v>
      </c>
      <c r="B1234" s="2" t="s">
        <v>728</v>
      </c>
      <c r="C1234" s="5" t="s">
        <v>316</v>
      </c>
      <c r="D1234" s="5" t="s">
        <v>317</v>
      </c>
      <c r="E1234" s="5" t="s">
        <v>72</v>
      </c>
      <c r="F1234" s="21" t="n">
        <v>0.437999993562698</v>
      </c>
      <c r="G1234" s="21" t="n">
        <v>0.0219999998807907</v>
      </c>
      <c r="H1234" s="22" t="n">
        <f aca="false">F1234+G1234</f>
        <v>0.459999993443489</v>
      </c>
      <c r="I1234" s="13" t="n">
        <f aca="false">INDEX(RM_Rates!$F$5:$F$137,MATCH(C1234,RM_Rates!$A$5:$A$137,0))</f>
        <v>1.6441433429718</v>
      </c>
      <c r="J1234" s="22" t="n">
        <f aca="false">H1234*I1234</f>
        <v>0.756305926987184</v>
      </c>
    </row>
    <row r="1235" customFormat="false" ht="15" hidden="false" customHeight="false" outlineLevel="0" collapsed="false">
      <c r="A1235" s="5" t="s">
        <v>612</v>
      </c>
      <c r="B1235" s="2" t="s">
        <v>728</v>
      </c>
      <c r="C1235" s="5" t="s">
        <v>314</v>
      </c>
      <c r="D1235" s="5" t="s">
        <v>315</v>
      </c>
      <c r="E1235" s="5" t="s">
        <v>72</v>
      </c>
      <c r="F1235" s="21" t="n">
        <v>0.437999993562698</v>
      </c>
      <c r="G1235" s="21" t="n">
        <v>0.0219999998807907</v>
      </c>
      <c r="H1235" s="22" t="n">
        <f aca="false">F1235+G1235</f>
        <v>0.459999993443489</v>
      </c>
      <c r="I1235" s="13" t="n">
        <f aca="false">INDEX(RM_Rates!$F$5:$F$137,MATCH(C1235,RM_Rates!$A$5:$A$137,0))</f>
        <v>1.6441433429718</v>
      </c>
      <c r="J1235" s="22" t="n">
        <f aca="false">H1235*I1235</f>
        <v>0.756305926987184</v>
      </c>
    </row>
    <row r="1236" customFormat="false" ht="15" hidden="false" customHeight="false" outlineLevel="0" collapsed="false">
      <c r="A1236" s="5" t="s">
        <v>612</v>
      </c>
      <c r="B1236" s="2" t="s">
        <v>728</v>
      </c>
      <c r="C1236" s="5" t="s">
        <v>222</v>
      </c>
      <c r="D1236" s="5" t="s">
        <v>223</v>
      </c>
      <c r="E1236" s="5" t="s">
        <v>72</v>
      </c>
      <c r="F1236" s="21" t="n">
        <v>22.2000007629395</v>
      </c>
      <c r="G1236" s="21" t="n">
        <v>0</v>
      </c>
      <c r="H1236" s="22" t="n">
        <f aca="false">F1236+G1236</f>
        <v>22.2000007629395</v>
      </c>
      <c r="I1236" s="13" t="n">
        <f aca="false">INDEX(RM_Rates!$F$5:$F$137,MATCH(C1236,RM_Rates!$A$5:$A$137,0))</f>
        <v>0.379036813974381</v>
      </c>
      <c r="J1236" s="22" t="n">
        <f aca="false">H1236*I1236</f>
        <v>8.41461755941342</v>
      </c>
    </row>
    <row r="1237" customFormat="false" ht="15" hidden="false" customHeight="false" outlineLevel="0" collapsed="false">
      <c r="A1237" s="5" t="s">
        <v>612</v>
      </c>
      <c r="B1237" s="2" t="s">
        <v>728</v>
      </c>
      <c r="C1237" s="5" t="s">
        <v>226</v>
      </c>
      <c r="D1237" s="5" t="s">
        <v>227</v>
      </c>
      <c r="E1237" s="5" t="s">
        <v>72</v>
      </c>
      <c r="F1237" s="21" t="n">
        <v>5.40000009536743</v>
      </c>
      <c r="G1237" s="21" t="n">
        <v>0</v>
      </c>
      <c r="H1237" s="22" t="n">
        <f aca="false">F1237+G1237</f>
        <v>5.40000009536743</v>
      </c>
      <c r="I1237" s="13" t="n">
        <f aca="false">INDEX(RM_Rates!$F$5:$F$137,MATCH(C1237,RM_Rates!$A$5:$A$137,0))</f>
        <v>0.742858171463013</v>
      </c>
      <c r="J1237" s="22" t="n">
        <f aca="false">H1237*I1237</f>
        <v>4.01143419674475</v>
      </c>
    </row>
    <row r="1238" customFormat="false" ht="15" hidden="false" customHeight="false" outlineLevel="0" collapsed="false">
      <c r="A1238" s="5" t="s">
        <v>612</v>
      </c>
      <c r="B1238" s="2" t="s">
        <v>728</v>
      </c>
      <c r="C1238" s="5" t="s">
        <v>240</v>
      </c>
      <c r="D1238" s="5" t="s">
        <v>241</v>
      </c>
      <c r="E1238" s="5" t="s">
        <v>72</v>
      </c>
      <c r="F1238" s="21" t="n">
        <v>342.400024414063</v>
      </c>
      <c r="G1238" s="21" t="n">
        <v>6.84800052642822</v>
      </c>
      <c r="H1238" s="22" t="n">
        <f aca="false">F1238+G1238</f>
        <v>349.248024940491</v>
      </c>
      <c r="I1238" s="13" t="n">
        <f aca="false">INDEX(RM_Rates!$F$5:$F$137,MATCH(C1238,RM_Rates!$A$5:$A$137,0))</f>
        <v>0.363999992609024</v>
      </c>
      <c r="J1238" s="22" t="n">
        <f aca="false">H1238*I1238</f>
        <v>127.126278497055</v>
      </c>
    </row>
    <row r="1239" customFormat="false" ht="15" hidden="false" customHeight="false" outlineLevel="0" collapsed="false">
      <c r="A1239" s="5" t="s">
        <v>612</v>
      </c>
      <c r="B1239" s="2" t="s">
        <v>728</v>
      </c>
      <c r="C1239" s="5" t="s">
        <v>271</v>
      </c>
      <c r="D1239" s="5" t="s">
        <v>272</v>
      </c>
      <c r="E1239" s="5" t="s">
        <v>72</v>
      </c>
      <c r="F1239" s="21" t="n">
        <v>715.5</v>
      </c>
      <c r="G1239" s="21" t="n">
        <v>7.15500020980835</v>
      </c>
      <c r="H1239" s="22" t="n">
        <f aca="false">F1239+G1239</f>
        <v>722.655000209808</v>
      </c>
      <c r="I1239" s="13" t="n">
        <f aca="false">INDEX(RM_Rates!$F$5:$F$137,MATCH(C1239,RM_Rates!$A$5:$A$137,0))</f>
        <v>0.388907551765442</v>
      </c>
      <c r="J1239" s="22" t="n">
        <f aca="false">H1239*I1239</f>
        <v>281.045986902652</v>
      </c>
    </row>
    <row r="1240" customFormat="false" ht="15" hidden="false" customHeight="false" outlineLevel="0" collapsed="false">
      <c r="A1240" s="5" t="s">
        <v>612</v>
      </c>
      <c r="B1240" s="2" t="s">
        <v>728</v>
      </c>
      <c r="C1240" s="5" t="s">
        <v>287</v>
      </c>
      <c r="D1240" s="5" t="s">
        <v>288</v>
      </c>
      <c r="E1240" s="5" t="s">
        <v>166</v>
      </c>
      <c r="F1240" s="21" t="n">
        <v>1</v>
      </c>
      <c r="G1240" s="21" t="n">
        <v>0</v>
      </c>
      <c r="H1240" s="22" t="n">
        <f aca="false">F1240+G1240</f>
        <v>1</v>
      </c>
      <c r="I1240" s="13" t="n">
        <f aca="false">INDEX(RM_Rates!$F$5:$F$137,MATCH(C1240,RM_Rates!$A$5:$A$137,0))</f>
        <v>57.848518371582</v>
      </c>
      <c r="J1240" s="22" t="n">
        <f aca="false">H1240*I1240</f>
        <v>57.848518371582</v>
      </c>
    </row>
    <row r="1241" customFormat="false" ht="15" hidden="false" customHeight="false" outlineLevel="0" collapsed="false">
      <c r="A1241" s="5" t="s">
        <v>612</v>
      </c>
      <c r="B1241" s="2" t="s">
        <v>728</v>
      </c>
      <c r="C1241" s="5" t="s">
        <v>171</v>
      </c>
      <c r="D1241" s="5" t="s">
        <v>172</v>
      </c>
      <c r="E1241" s="5" t="s">
        <v>166</v>
      </c>
      <c r="F1241" s="21" t="n">
        <v>2</v>
      </c>
      <c r="G1241" s="21" t="n">
        <v>0</v>
      </c>
      <c r="H1241" s="22" t="n">
        <f aca="false">F1241+G1241</f>
        <v>2</v>
      </c>
      <c r="I1241" s="13" t="n">
        <f aca="false">INDEX(RM_Rates!$F$5:$F$137,MATCH(C1241,RM_Rates!$A$5:$A$137,0))</f>
        <v>0.124766282737255</v>
      </c>
      <c r="J1241" s="22" t="n">
        <f aca="false">H1241*I1241</f>
        <v>0.24953256547451</v>
      </c>
    </row>
    <row r="1242" customFormat="false" ht="15" hidden="false" customHeight="false" outlineLevel="0" collapsed="false">
      <c r="A1242" s="5" t="s">
        <v>612</v>
      </c>
      <c r="B1242" s="2" t="s">
        <v>728</v>
      </c>
      <c r="C1242" s="5" t="s">
        <v>308</v>
      </c>
      <c r="D1242" s="5" t="s">
        <v>309</v>
      </c>
      <c r="E1242" s="5" t="s">
        <v>297</v>
      </c>
      <c r="F1242" s="21" t="n">
        <v>5</v>
      </c>
      <c r="G1242" s="21" t="n">
        <v>0</v>
      </c>
      <c r="H1242" s="22" t="n">
        <f aca="false">F1242+G1242</f>
        <v>5</v>
      </c>
      <c r="I1242" s="13" t="n">
        <f aca="false">INDEX(RM_Rates!$F$5:$F$137,MATCH(C1242,RM_Rates!$A$5:$A$137,0))</f>
        <v>1.40752077102661</v>
      </c>
      <c r="J1242" s="22" t="n">
        <f aca="false">H1242*I1242</f>
        <v>7.03760385513305</v>
      </c>
    </row>
    <row r="1243" customFormat="false" ht="15" hidden="false" customHeight="false" outlineLevel="0" collapsed="false">
      <c r="A1243" s="5" t="s">
        <v>612</v>
      </c>
      <c r="B1243" s="2" t="s">
        <v>728</v>
      </c>
      <c r="C1243" s="5" t="s">
        <v>189</v>
      </c>
      <c r="D1243" s="5" t="s">
        <v>190</v>
      </c>
      <c r="E1243" s="5" t="s">
        <v>60</v>
      </c>
      <c r="F1243" s="21" t="n">
        <v>0.5</v>
      </c>
      <c r="G1243" s="21" t="n">
        <v>0</v>
      </c>
      <c r="H1243" s="22" t="n">
        <f aca="false">F1243+G1243</f>
        <v>0.5</v>
      </c>
      <c r="I1243" s="13" t="n">
        <f aca="false">INDEX(RM_Rates!$F$5:$F$137,MATCH(C1243,RM_Rates!$A$5:$A$137,0))</f>
        <v>0.568400025367737</v>
      </c>
      <c r="J1243" s="22" t="n">
        <f aca="false">H1243*I1243</f>
        <v>0.284200012683869</v>
      </c>
    </row>
    <row r="1244" customFormat="false" ht="15" hidden="false" customHeight="false" outlineLevel="0" collapsed="false">
      <c r="A1244" s="5" t="s">
        <v>614</v>
      </c>
      <c r="B1244" s="2" t="s">
        <v>729</v>
      </c>
      <c r="C1244" s="5" t="s">
        <v>90</v>
      </c>
      <c r="D1244" s="5" t="s">
        <v>91</v>
      </c>
      <c r="E1244" s="5" t="s">
        <v>72</v>
      </c>
      <c r="F1244" s="21" t="n">
        <v>204.399993896484</v>
      </c>
      <c r="G1244" s="21" t="n">
        <v>1.02400004863739</v>
      </c>
      <c r="H1244" s="22" t="n">
        <f aca="false">F1244+G1244</f>
        <v>205.423993945121</v>
      </c>
      <c r="I1244" s="13" t="n">
        <f aca="false">INDEX(RM_Rates!$F$5:$F$137,MATCH(C1244,RM_Rates!$A$5:$A$137,0))</f>
        <v>2.004884</v>
      </c>
      <c r="J1244" s="22" t="n">
        <f aca="false">H1244*I1244</f>
        <v>411.851278676671</v>
      </c>
    </row>
    <row r="1245" customFormat="false" ht="15" hidden="false" customHeight="false" outlineLevel="0" collapsed="false">
      <c r="A1245" s="5" t="s">
        <v>614</v>
      </c>
      <c r="B1245" s="2" t="s">
        <v>729</v>
      </c>
      <c r="C1245" s="5" t="s">
        <v>326</v>
      </c>
      <c r="D1245" s="5" t="s">
        <v>327</v>
      </c>
      <c r="E1245" s="5" t="s">
        <v>72</v>
      </c>
      <c r="F1245" s="21" t="n">
        <v>34</v>
      </c>
      <c r="G1245" s="21" t="n">
        <v>1.70000004768372</v>
      </c>
      <c r="H1245" s="22" t="n">
        <f aca="false">F1245+G1245</f>
        <v>35.7000000476837</v>
      </c>
      <c r="I1245" s="13" t="n">
        <f aca="false">INDEX(RM_Rates!$F$5:$F$137,MATCH(C1245,RM_Rates!$A$5:$A$137,0))</f>
        <v>0.596000015735626</v>
      </c>
      <c r="J1245" s="22" t="n">
        <f aca="false">H1245*I1245</f>
        <v>21.2772005901813</v>
      </c>
    </row>
    <row r="1246" customFormat="false" ht="15" hidden="false" customHeight="false" outlineLevel="0" collapsed="false">
      <c r="A1246" s="5" t="s">
        <v>614</v>
      </c>
      <c r="B1246" s="2" t="s">
        <v>729</v>
      </c>
      <c r="C1246" s="5" t="s">
        <v>324</v>
      </c>
      <c r="D1246" s="5" t="s">
        <v>325</v>
      </c>
      <c r="E1246" s="5" t="s">
        <v>72</v>
      </c>
      <c r="F1246" s="21" t="n">
        <v>1.87000000476837</v>
      </c>
      <c r="G1246" s="21" t="n">
        <v>0.0920000001788139</v>
      </c>
      <c r="H1246" s="22" t="n">
        <f aca="false">F1246+G1246</f>
        <v>1.96200000494718</v>
      </c>
      <c r="I1246" s="13" t="n">
        <f aca="false">INDEX(RM_Rates!$F$5:$F$137,MATCH(C1246,RM_Rates!$A$5:$A$137,0))</f>
        <v>1.35229277610779</v>
      </c>
      <c r="J1246" s="22" t="n">
        <f aca="false">H1246*I1246</f>
        <v>2.65319843341353</v>
      </c>
    </row>
    <row r="1247" customFormat="false" ht="15" hidden="false" customHeight="false" outlineLevel="0" collapsed="false">
      <c r="A1247" s="5" t="s">
        <v>614</v>
      </c>
      <c r="B1247" s="2" t="s">
        <v>729</v>
      </c>
      <c r="C1247" s="5" t="s">
        <v>318</v>
      </c>
      <c r="D1247" s="5" t="s">
        <v>319</v>
      </c>
      <c r="E1247" s="5" t="s">
        <v>72</v>
      </c>
      <c r="F1247" s="21" t="n">
        <v>0.127499997615814</v>
      </c>
      <c r="G1247" s="21" t="n">
        <v>0.00600000005215406</v>
      </c>
      <c r="H1247" s="22" t="n">
        <f aca="false">F1247+G1247</f>
        <v>0.133499997667968</v>
      </c>
      <c r="I1247" s="13" t="n">
        <f aca="false">INDEX(RM_Rates!$F$5:$F$137,MATCH(C1247,RM_Rates!$A$5:$A$137,0))</f>
        <v>1.6441433429718</v>
      </c>
      <c r="J1247" s="22" t="n">
        <f aca="false">H1247*I1247</f>
        <v>0.21949313245254</v>
      </c>
    </row>
    <row r="1248" customFormat="false" ht="15" hidden="false" customHeight="false" outlineLevel="0" collapsed="false">
      <c r="A1248" s="5" t="s">
        <v>614</v>
      </c>
      <c r="B1248" s="2" t="s">
        <v>729</v>
      </c>
      <c r="C1248" s="5" t="s">
        <v>322</v>
      </c>
      <c r="D1248" s="5" t="s">
        <v>323</v>
      </c>
      <c r="E1248" s="5" t="s">
        <v>72</v>
      </c>
      <c r="F1248" s="21" t="n">
        <v>0.127499997615814</v>
      </c>
      <c r="G1248" s="21" t="n">
        <v>0.00600000005215406</v>
      </c>
      <c r="H1248" s="22" t="n">
        <f aca="false">F1248+G1248</f>
        <v>0.133499997667968</v>
      </c>
      <c r="I1248" s="13" t="n">
        <f aca="false">INDEX(RM_Rates!$F$5:$F$137,MATCH(C1248,RM_Rates!$A$5:$A$137,0))</f>
        <v>1.6441433429718</v>
      </c>
      <c r="J1248" s="22" t="n">
        <f aca="false">H1248*I1248</f>
        <v>0.21949313245254</v>
      </c>
    </row>
    <row r="1249" customFormat="false" ht="15" hidden="false" customHeight="false" outlineLevel="0" collapsed="false">
      <c r="A1249" s="5" t="s">
        <v>614</v>
      </c>
      <c r="B1249" s="2" t="s">
        <v>729</v>
      </c>
      <c r="C1249" s="5" t="s">
        <v>316</v>
      </c>
      <c r="D1249" s="5" t="s">
        <v>317</v>
      </c>
      <c r="E1249" s="5" t="s">
        <v>72</v>
      </c>
      <c r="F1249" s="21" t="n">
        <v>0.127499997615814</v>
      </c>
      <c r="G1249" s="21" t="n">
        <v>0.00600000005215406</v>
      </c>
      <c r="H1249" s="22" t="n">
        <f aca="false">F1249+G1249</f>
        <v>0.133499997667968</v>
      </c>
      <c r="I1249" s="13" t="n">
        <f aca="false">INDEX(RM_Rates!$F$5:$F$137,MATCH(C1249,RM_Rates!$A$5:$A$137,0))</f>
        <v>1.6441433429718</v>
      </c>
      <c r="J1249" s="22" t="n">
        <f aca="false">H1249*I1249</f>
        <v>0.21949313245254</v>
      </c>
    </row>
    <row r="1250" customFormat="false" ht="15" hidden="false" customHeight="false" outlineLevel="0" collapsed="false">
      <c r="A1250" s="5" t="s">
        <v>614</v>
      </c>
      <c r="B1250" s="2" t="s">
        <v>729</v>
      </c>
      <c r="C1250" s="5" t="s">
        <v>314</v>
      </c>
      <c r="D1250" s="5" t="s">
        <v>315</v>
      </c>
      <c r="E1250" s="5" t="s">
        <v>72</v>
      </c>
      <c r="F1250" s="21" t="n">
        <v>0.127499997615814</v>
      </c>
      <c r="G1250" s="21" t="n">
        <v>0.00600000005215406</v>
      </c>
      <c r="H1250" s="22" t="n">
        <f aca="false">F1250+G1250</f>
        <v>0.133499997667968</v>
      </c>
      <c r="I1250" s="13" t="n">
        <f aca="false">INDEX(RM_Rates!$F$5:$F$137,MATCH(C1250,RM_Rates!$A$5:$A$137,0))</f>
        <v>1.6441433429718</v>
      </c>
      <c r="J1250" s="22" t="n">
        <f aca="false">H1250*I1250</f>
        <v>0.21949313245254</v>
      </c>
    </row>
    <row r="1251" customFormat="false" ht="15" hidden="false" customHeight="false" outlineLevel="0" collapsed="false">
      <c r="A1251" s="5" t="s">
        <v>614</v>
      </c>
      <c r="B1251" s="2" t="s">
        <v>729</v>
      </c>
      <c r="C1251" s="5" t="s">
        <v>240</v>
      </c>
      <c r="D1251" s="5" t="s">
        <v>241</v>
      </c>
      <c r="E1251" s="5" t="s">
        <v>72</v>
      </c>
      <c r="F1251" s="21" t="n">
        <v>220.100006103516</v>
      </c>
      <c r="G1251" s="21" t="n">
        <v>4.40200042724609</v>
      </c>
      <c r="H1251" s="22" t="n">
        <f aca="false">F1251+G1251</f>
        <v>224.502006530762</v>
      </c>
      <c r="I1251" s="13" t="n">
        <f aca="false">INDEX(RM_Rates!$F$5:$F$137,MATCH(C1251,RM_Rates!$A$5:$A$137,0))</f>
        <v>0.363999992609024</v>
      </c>
      <c r="J1251" s="22" t="n">
        <f aca="false">H1251*I1251</f>
        <v>81.7187287179085</v>
      </c>
    </row>
    <row r="1252" customFormat="false" ht="15" hidden="false" customHeight="false" outlineLevel="0" collapsed="false">
      <c r="A1252" s="5" t="s">
        <v>614</v>
      </c>
      <c r="B1252" s="2" t="s">
        <v>729</v>
      </c>
      <c r="C1252" s="5" t="s">
        <v>269</v>
      </c>
      <c r="D1252" s="5" t="s">
        <v>270</v>
      </c>
      <c r="E1252" s="5" t="s">
        <v>72</v>
      </c>
      <c r="F1252" s="21" t="n">
        <v>291</v>
      </c>
      <c r="G1252" s="21" t="n">
        <v>2.91000008583069</v>
      </c>
      <c r="H1252" s="22" t="n">
        <f aca="false">F1252+G1252</f>
        <v>293.910000085831</v>
      </c>
      <c r="I1252" s="13" t="n">
        <f aca="false">INDEX(RM_Rates!$F$5:$F$137,MATCH(C1252,RM_Rates!$A$5:$A$137,0))</f>
        <v>0.452080339193344</v>
      </c>
      <c r="J1252" s="22" t="n">
        <f aca="false">H1252*I1252</f>
        <v>132.870932531118</v>
      </c>
    </row>
    <row r="1253" customFormat="false" ht="15" hidden="false" customHeight="false" outlineLevel="0" collapsed="false">
      <c r="A1253" s="5" t="s">
        <v>614</v>
      </c>
      <c r="B1253" s="2" t="s">
        <v>729</v>
      </c>
      <c r="C1253" s="5" t="s">
        <v>281</v>
      </c>
      <c r="D1253" s="5" t="s">
        <v>282</v>
      </c>
      <c r="E1253" s="5" t="s">
        <v>166</v>
      </c>
      <c r="F1253" s="21" t="n">
        <v>1</v>
      </c>
      <c r="G1253" s="21" t="n">
        <v>0</v>
      </c>
      <c r="H1253" s="22" t="n">
        <f aca="false">F1253+G1253</f>
        <v>1</v>
      </c>
      <c r="I1253" s="13" t="n">
        <f aca="false">INDEX(RM_Rates!$F$5:$F$137,MATCH(C1253,RM_Rates!$A$5:$A$137,0))</f>
        <v>31.1947288513184</v>
      </c>
      <c r="J1253" s="22" t="n">
        <f aca="false">H1253*I1253</f>
        <v>31.1947288513184</v>
      </c>
    </row>
    <row r="1254" customFormat="false" ht="15" hidden="false" customHeight="false" outlineLevel="0" collapsed="false">
      <c r="A1254" s="5" t="s">
        <v>614</v>
      </c>
      <c r="B1254" s="2" t="s">
        <v>729</v>
      </c>
      <c r="C1254" s="5" t="s">
        <v>169</v>
      </c>
      <c r="D1254" s="5" t="s">
        <v>170</v>
      </c>
      <c r="E1254" s="5" t="s">
        <v>166</v>
      </c>
      <c r="F1254" s="21" t="n">
        <v>2</v>
      </c>
      <c r="G1254" s="21" t="n">
        <v>0</v>
      </c>
      <c r="H1254" s="22" t="n">
        <f aca="false">F1254+G1254</f>
        <v>2</v>
      </c>
      <c r="I1254" s="13" t="n">
        <f aca="false">INDEX(RM_Rates!$F$5:$F$137,MATCH(C1254,RM_Rates!$A$5:$A$137,0))</f>
        <v>0.124766282737255</v>
      </c>
      <c r="J1254" s="22" t="n">
        <f aca="false">H1254*I1254</f>
        <v>0.24953256547451</v>
      </c>
    </row>
    <row r="1255" customFormat="false" ht="15" hidden="false" customHeight="false" outlineLevel="0" collapsed="false">
      <c r="A1255" s="5" t="s">
        <v>614</v>
      </c>
      <c r="B1255" s="2" t="s">
        <v>729</v>
      </c>
      <c r="C1255" s="5" t="s">
        <v>308</v>
      </c>
      <c r="D1255" s="5" t="s">
        <v>309</v>
      </c>
      <c r="E1255" s="5" t="s">
        <v>297</v>
      </c>
      <c r="F1255" s="21" t="n">
        <v>3.5</v>
      </c>
      <c r="G1255" s="21" t="n">
        <v>0</v>
      </c>
      <c r="H1255" s="22" t="n">
        <f aca="false">F1255+G1255</f>
        <v>3.5</v>
      </c>
      <c r="I1255" s="13" t="n">
        <f aca="false">INDEX(RM_Rates!$F$5:$F$137,MATCH(C1255,RM_Rates!$A$5:$A$137,0))</f>
        <v>1.40752077102661</v>
      </c>
      <c r="J1255" s="22" t="n">
        <f aca="false">H1255*I1255</f>
        <v>4.92632269859314</v>
      </c>
    </row>
    <row r="1256" customFormat="false" ht="15" hidden="false" customHeight="false" outlineLevel="0" collapsed="false">
      <c r="A1256" s="5" t="s">
        <v>614</v>
      </c>
      <c r="B1256" s="2" t="s">
        <v>729</v>
      </c>
      <c r="C1256" s="5" t="s">
        <v>189</v>
      </c>
      <c r="D1256" s="5" t="s">
        <v>190</v>
      </c>
      <c r="E1256" s="5" t="s">
        <v>60</v>
      </c>
      <c r="F1256" s="21" t="n">
        <v>0.349999994039536</v>
      </c>
      <c r="G1256" s="21" t="n">
        <v>0</v>
      </c>
      <c r="H1256" s="22" t="n">
        <f aca="false">F1256+G1256</f>
        <v>0.349999994039536</v>
      </c>
      <c r="I1256" s="13" t="n">
        <f aca="false">INDEX(RM_Rates!$F$5:$F$137,MATCH(C1256,RM_Rates!$A$5:$A$137,0))</f>
        <v>0.568400025367737</v>
      </c>
      <c r="J1256" s="22" t="n">
        <f aca="false">H1256*I1256</f>
        <v>0.19894000549078</v>
      </c>
    </row>
    <row r="1257" customFormat="false" ht="15" hidden="false" customHeight="false" outlineLevel="0" collapsed="false">
      <c r="A1257" s="5" t="s">
        <v>616</v>
      </c>
      <c r="B1257" s="2" t="s">
        <v>730</v>
      </c>
      <c r="C1257" s="5" t="s">
        <v>150</v>
      </c>
      <c r="D1257" s="5" t="s">
        <v>151</v>
      </c>
      <c r="E1257" s="5" t="s">
        <v>72</v>
      </c>
      <c r="F1257" s="21" t="n">
        <v>3288</v>
      </c>
      <c r="G1257" s="21" t="n">
        <v>16.4400005340576</v>
      </c>
      <c r="H1257" s="22" t="n">
        <f aca="false">F1257+G1257</f>
        <v>3304.44000053406</v>
      </c>
      <c r="I1257" s="13" t="n">
        <f aca="false">INDEX(RM_Rates!$F$5:$F$137,MATCH(C1257,RM_Rates!$A$5:$A$137,0))</f>
        <v>1.969372</v>
      </c>
      <c r="J1257" s="22" t="n">
        <f aca="false">H1257*I1257</f>
        <v>6507.67161273176</v>
      </c>
    </row>
    <row r="1258" customFormat="false" ht="15" hidden="false" customHeight="false" outlineLevel="0" collapsed="false">
      <c r="A1258" s="5" t="s">
        <v>616</v>
      </c>
      <c r="B1258" s="2" t="s">
        <v>730</v>
      </c>
      <c r="C1258" s="5" t="s">
        <v>326</v>
      </c>
      <c r="D1258" s="5" t="s">
        <v>327</v>
      </c>
      <c r="E1258" s="5" t="s">
        <v>72</v>
      </c>
      <c r="F1258" s="21" t="n">
        <v>176.800003051758</v>
      </c>
      <c r="G1258" s="21" t="n">
        <v>8.84000015258789</v>
      </c>
      <c r="H1258" s="22" t="n">
        <f aca="false">F1258+G1258</f>
        <v>185.640003204346</v>
      </c>
      <c r="I1258" s="13" t="n">
        <f aca="false">INDEX(RM_Rates!$F$5:$F$137,MATCH(C1258,RM_Rates!$A$5:$A$137,0))</f>
        <v>0.596000015735626</v>
      </c>
      <c r="J1258" s="22" t="n">
        <f aca="false">H1258*I1258</f>
        <v>110.641444830952</v>
      </c>
    </row>
    <row r="1259" customFormat="false" ht="15" hidden="false" customHeight="false" outlineLevel="0" collapsed="false">
      <c r="A1259" s="5" t="s">
        <v>616</v>
      </c>
      <c r="B1259" s="2" t="s">
        <v>730</v>
      </c>
      <c r="C1259" s="5" t="s">
        <v>324</v>
      </c>
      <c r="D1259" s="5" t="s">
        <v>325</v>
      </c>
      <c r="E1259" s="5" t="s">
        <v>72</v>
      </c>
      <c r="F1259" s="21" t="n">
        <v>9.72399997711182</v>
      </c>
      <c r="G1259" s="21" t="n">
        <v>0.488000005483627</v>
      </c>
      <c r="H1259" s="22" t="n">
        <f aca="false">F1259+G1259</f>
        <v>10.2119999825954</v>
      </c>
      <c r="I1259" s="13" t="n">
        <f aca="false">INDEX(RM_Rates!$F$5:$F$137,MATCH(C1259,RM_Rates!$A$5:$A$137,0))</f>
        <v>1.35229277610779</v>
      </c>
      <c r="J1259" s="22" t="n">
        <f aca="false">H1259*I1259</f>
        <v>13.8096138060767</v>
      </c>
    </row>
    <row r="1260" customFormat="false" ht="15" hidden="false" customHeight="false" outlineLevel="0" collapsed="false">
      <c r="A1260" s="5" t="s">
        <v>616</v>
      </c>
      <c r="B1260" s="2" t="s">
        <v>730</v>
      </c>
      <c r="C1260" s="5" t="s">
        <v>318</v>
      </c>
      <c r="D1260" s="5" t="s">
        <v>319</v>
      </c>
      <c r="E1260" s="5" t="s">
        <v>72</v>
      </c>
      <c r="F1260" s="21" t="n">
        <v>0.662999987602234</v>
      </c>
      <c r="G1260" s="21" t="n">
        <v>0.0329999998211861</v>
      </c>
      <c r="H1260" s="22" t="n">
        <f aca="false">F1260+G1260</f>
        <v>0.69599998742342</v>
      </c>
      <c r="I1260" s="13" t="n">
        <f aca="false">INDEX(RM_Rates!$F$5:$F$137,MATCH(C1260,RM_Rates!$A$5:$A$137,0))</f>
        <v>1.6441433429718</v>
      </c>
      <c r="J1260" s="22" t="n">
        <f aca="false">H1260*I1260</f>
        <v>1.14432374603067</v>
      </c>
    </row>
    <row r="1261" customFormat="false" ht="15" hidden="false" customHeight="false" outlineLevel="0" collapsed="false">
      <c r="A1261" s="5" t="s">
        <v>616</v>
      </c>
      <c r="B1261" s="2" t="s">
        <v>730</v>
      </c>
      <c r="C1261" s="5" t="s">
        <v>322</v>
      </c>
      <c r="D1261" s="5" t="s">
        <v>323</v>
      </c>
      <c r="E1261" s="5" t="s">
        <v>72</v>
      </c>
      <c r="F1261" s="21" t="n">
        <v>0.662999987602234</v>
      </c>
      <c r="G1261" s="21" t="n">
        <v>0.0329999998211861</v>
      </c>
      <c r="H1261" s="22" t="n">
        <f aca="false">F1261+G1261</f>
        <v>0.69599998742342</v>
      </c>
      <c r="I1261" s="13" t="n">
        <f aca="false">INDEX(RM_Rates!$F$5:$F$137,MATCH(C1261,RM_Rates!$A$5:$A$137,0))</f>
        <v>1.6441433429718</v>
      </c>
      <c r="J1261" s="22" t="n">
        <f aca="false">H1261*I1261</f>
        <v>1.14432374603067</v>
      </c>
    </row>
    <row r="1262" customFormat="false" ht="15" hidden="false" customHeight="false" outlineLevel="0" collapsed="false">
      <c r="A1262" s="5" t="s">
        <v>616</v>
      </c>
      <c r="B1262" s="2" t="s">
        <v>730</v>
      </c>
      <c r="C1262" s="5" t="s">
        <v>316</v>
      </c>
      <c r="D1262" s="5" t="s">
        <v>317</v>
      </c>
      <c r="E1262" s="5" t="s">
        <v>72</v>
      </c>
      <c r="F1262" s="21" t="n">
        <v>0.662999987602234</v>
      </c>
      <c r="G1262" s="21" t="n">
        <v>0.0329999998211861</v>
      </c>
      <c r="H1262" s="22" t="n">
        <f aca="false">F1262+G1262</f>
        <v>0.69599998742342</v>
      </c>
      <c r="I1262" s="13" t="n">
        <f aca="false">INDEX(RM_Rates!$F$5:$F$137,MATCH(C1262,RM_Rates!$A$5:$A$137,0))</f>
        <v>1.6441433429718</v>
      </c>
      <c r="J1262" s="22" t="n">
        <f aca="false">H1262*I1262</f>
        <v>1.14432374603067</v>
      </c>
    </row>
    <row r="1263" customFormat="false" ht="15" hidden="false" customHeight="false" outlineLevel="0" collapsed="false">
      <c r="A1263" s="5" t="s">
        <v>616</v>
      </c>
      <c r="B1263" s="2" t="s">
        <v>730</v>
      </c>
      <c r="C1263" s="5" t="s">
        <v>314</v>
      </c>
      <c r="D1263" s="5" t="s">
        <v>315</v>
      </c>
      <c r="E1263" s="5" t="s">
        <v>72</v>
      </c>
      <c r="F1263" s="21" t="n">
        <v>0.662999987602234</v>
      </c>
      <c r="G1263" s="21" t="n">
        <v>0.0329999998211861</v>
      </c>
      <c r="H1263" s="22" t="n">
        <f aca="false">F1263+G1263</f>
        <v>0.69599998742342</v>
      </c>
      <c r="I1263" s="13" t="n">
        <f aca="false">INDEX(RM_Rates!$F$5:$F$137,MATCH(C1263,RM_Rates!$A$5:$A$137,0))</f>
        <v>1.6441433429718</v>
      </c>
      <c r="J1263" s="22" t="n">
        <f aca="false">H1263*I1263</f>
        <v>1.14432374603067</v>
      </c>
    </row>
    <row r="1264" customFormat="false" ht="15" hidden="false" customHeight="false" outlineLevel="0" collapsed="false">
      <c r="A1264" s="5" t="s">
        <v>616</v>
      </c>
      <c r="B1264" s="2" t="s">
        <v>730</v>
      </c>
      <c r="C1264" s="5" t="s">
        <v>222</v>
      </c>
      <c r="D1264" s="5" t="s">
        <v>223</v>
      </c>
      <c r="E1264" s="5" t="s">
        <v>72</v>
      </c>
      <c r="F1264" s="21" t="n">
        <v>22.2000007629395</v>
      </c>
      <c r="G1264" s="21" t="n">
        <v>0</v>
      </c>
      <c r="H1264" s="22" t="n">
        <f aca="false">F1264+G1264</f>
        <v>22.2000007629395</v>
      </c>
      <c r="I1264" s="13" t="n">
        <f aca="false">INDEX(RM_Rates!$F$5:$F$137,MATCH(C1264,RM_Rates!$A$5:$A$137,0))</f>
        <v>0.379036813974381</v>
      </c>
      <c r="J1264" s="22" t="n">
        <f aca="false">H1264*I1264</f>
        <v>8.41461755941342</v>
      </c>
    </row>
    <row r="1265" customFormat="false" ht="15" hidden="false" customHeight="false" outlineLevel="0" collapsed="false">
      <c r="A1265" s="5" t="s">
        <v>616</v>
      </c>
      <c r="B1265" s="2" t="s">
        <v>730</v>
      </c>
      <c r="C1265" s="5" t="s">
        <v>226</v>
      </c>
      <c r="D1265" s="5" t="s">
        <v>227</v>
      </c>
      <c r="E1265" s="5" t="s">
        <v>72</v>
      </c>
      <c r="F1265" s="21" t="n">
        <v>7.19999980926514</v>
      </c>
      <c r="G1265" s="21" t="n">
        <v>0</v>
      </c>
      <c r="H1265" s="22" t="n">
        <f aca="false">F1265+G1265</f>
        <v>7.19999980926514</v>
      </c>
      <c r="I1265" s="13" t="n">
        <f aca="false">INDEX(RM_Rates!$F$5:$F$137,MATCH(C1265,RM_Rates!$A$5:$A$137,0))</f>
        <v>0.742858171463013</v>
      </c>
      <c r="J1265" s="22" t="n">
        <f aca="false">H1265*I1265</f>
        <v>5.34857869284475</v>
      </c>
    </row>
    <row r="1266" customFormat="false" ht="15" hidden="false" customHeight="false" outlineLevel="0" collapsed="false">
      <c r="A1266" s="5" t="s">
        <v>616</v>
      </c>
      <c r="B1266" s="2" t="s">
        <v>730</v>
      </c>
      <c r="C1266" s="5" t="s">
        <v>240</v>
      </c>
      <c r="D1266" s="5" t="s">
        <v>241</v>
      </c>
      <c r="E1266" s="5" t="s">
        <v>72</v>
      </c>
      <c r="F1266" s="21" t="n">
        <v>529.299987792969</v>
      </c>
      <c r="G1266" s="21" t="n">
        <v>10.5860004425049</v>
      </c>
      <c r="H1266" s="22" t="n">
        <f aca="false">F1266+G1266</f>
        <v>539.885988235474</v>
      </c>
      <c r="I1266" s="13" t="n">
        <f aca="false">INDEX(RM_Rates!$F$5:$F$137,MATCH(C1266,RM_Rates!$A$5:$A$137,0))</f>
        <v>0.363999992609024</v>
      </c>
      <c r="J1266" s="22" t="n">
        <f aca="false">H1266*I1266</f>
        <v>196.518495727428</v>
      </c>
    </row>
    <row r="1267" customFormat="false" ht="15" hidden="false" customHeight="false" outlineLevel="0" collapsed="false">
      <c r="A1267" s="5" t="s">
        <v>616</v>
      </c>
      <c r="B1267" s="2" t="s">
        <v>730</v>
      </c>
      <c r="C1267" s="5" t="s">
        <v>273</v>
      </c>
      <c r="D1267" s="5" t="s">
        <v>274</v>
      </c>
      <c r="E1267" s="5" t="s">
        <v>72</v>
      </c>
      <c r="F1267" s="21" t="n">
        <v>1165.59997558594</v>
      </c>
      <c r="G1267" s="21" t="n">
        <v>11.6560001373291</v>
      </c>
      <c r="H1267" s="22" t="n">
        <f aca="false">F1267+G1267</f>
        <v>1177.25597572327</v>
      </c>
      <c r="I1267" s="13" t="n">
        <f aca="false">INDEX(RM_Rates!$F$5:$F$137,MATCH(C1267,RM_Rates!$A$5:$A$137,0))</f>
        <v>0.386933386325836</v>
      </c>
      <c r="J1267" s="22" t="n">
        <f aca="false">H1267*I1267</f>
        <v>455.519641258931</v>
      </c>
    </row>
    <row r="1268" customFormat="false" ht="15" hidden="false" customHeight="false" outlineLevel="0" collapsed="false">
      <c r="A1268" s="5" t="s">
        <v>616</v>
      </c>
      <c r="B1268" s="2" t="s">
        <v>730</v>
      </c>
      <c r="C1268" s="5" t="s">
        <v>287</v>
      </c>
      <c r="D1268" s="5" t="s">
        <v>288</v>
      </c>
      <c r="E1268" s="5" t="s">
        <v>166</v>
      </c>
      <c r="F1268" s="21" t="n">
        <v>2</v>
      </c>
      <c r="G1268" s="21" t="n">
        <v>0</v>
      </c>
      <c r="H1268" s="22" t="n">
        <f aca="false">F1268+G1268</f>
        <v>2</v>
      </c>
      <c r="I1268" s="13" t="n">
        <f aca="false">INDEX(RM_Rates!$F$5:$F$137,MATCH(C1268,RM_Rates!$A$5:$A$137,0))</f>
        <v>57.848518371582</v>
      </c>
      <c r="J1268" s="22" t="n">
        <f aca="false">H1268*I1268</f>
        <v>115.697036743164</v>
      </c>
    </row>
    <row r="1269" customFormat="false" ht="15" hidden="false" customHeight="false" outlineLevel="0" collapsed="false">
      <c r="A1269" s="5" t="s">
        <v>616</v>
      </c>
      <c r="B1269" s="2" t="s">
        <v>730</v>
      </c>
      <c r="C1269" s="5" t="s">
        <v>173</v>
      </c>
      <c r="D1269" s="5" t="s">
        <v>174</v>
      </c>
      <c r="E1269" s="5" t="s">
        <v>166</v>
      </c>
      <c r="F1269" s="21" t="n">
        <v>4</v>
      </c>
      <c r="G1269" s="21" t="n">
        <v>0</v>
      </c>
      <c r="H1269" s="22" t="n">
        <f aca="false">F1269+G1269</f>
        <v>4</v>
      </c>
      <c r="I1269" s="13" t="n">
        <f aca="false">INDEX(RM_Rates!$F$5:$F$137,MATCH(C1269,RM_Rates!$A$5:$A$137,0))</f>
        <v>0.255849838256836</v>
      </c>
      <c r="J1269" s="22" t="n">
        <f aca="false">H1269*I1269</f>
        <v>1.02339935302734</v>
      </c>
    </row>
    <row r="1270" customFormat="false" ht="15" hidden="false" customHeight="false" outlineLevel="0" collapsed="false">
      <c r="A1270" s="5" t="s">
        <v>616</v>
      </c>
      <c r="B1270" s="2" t="s">
        <v>730</v>
      </c>
      <c r="C1270" s="5" t="s">
        <v>308</v>
      </c>
      <c r="D1270" s="5" t="s">
        <v>309</v>
      </c>
      <c r="E1270" s="5" t="s">
        <v>297</v>
      </c>
      <c r="F1270" s="21" t="n">
        <v>10</v>
      </c>
      <c r="G1270" s="21" t="n">
        <v>0</v>
      </c>
      <c r="H1270" s="22" t="n">
        <f aca="false">F1270+G1270</f>
        <v>10</v>
      </c>
      <c r="I1270" s="13" t="n">
        <f aca="false">INDEX(RM_Rates!$F$5:$F$137,MATCH(C1270,RM_Rates!$A$5:$A$137,0))</f>
        <v>1.40752077102661</v>
      </c>
      <c r="J1270" s="22" t="n">
        <f aca="false">H1270*I1270</f>
        <v>14.0752077102661</v>
      </c>
    </row>
    <row r="1271" customFormat="false" ht="15" hidden="false" customHeight="false" outlineLevel="0" collapsed="false">
      <c r="A1271" s="5" t="s">
        <v>616</v>
      </c>
      <c r="B1271" s="2" t="s">
        <v>730</v>
      </c>
      <c r="C1271" s="5" t="s">
        <v>189</v>
      </c>
      <c r="D1271" s="5" t="s">
        <v>190</v>
      </c>
      <c r="E1271" s="5" t="s">
        <v>60</v>
      </c>
      <c r="F1271" s="21" t="n">
        <v>1</v>
      </c>
      <c r="G1271" s="21" t="n">
        <v>0</v>
      </c>
      <c r="H1271" s="22" t="n">
        <f aca="false">F1271+G1271</f>
        <v>1</v>
      </c>
      <c r="I1271" s="13" t="n">
        <f aca="false">INDEX(RM_Rates!$F$5:$F$137,MATCH(C1271,RM_Rates!$A$5:$A$137,0))</f>
        <v>0.568400025367737</v>
      </c>
      <c r="J1271" s="22" t="n">
        <f aca="false">H1271*I1271</f>
        <v>0.568400025367737</v>
      </c>
    </row>
    <row r="1272" customFormat="false" ht="15" hidden="false" customHeight="false" outlineLevel="0" collapsed="false">
      <c r="A1272" s="5" t="s">
        <v>618</v>
      </c>
      <c r="B1272" s="2" t="s">
        <v>731</v>
      </c>
      <c r="C1272" s="5" t="s">
        <v>79</v>
      </c>
      <c r="D1272" s="5" t="s">
        <v>80</v>
      </c>
      <c r="E1272" s="5" t="s">
        <v>72</v>
      </c>
      <c r="F1272" s="21" t="n">
        <v>132.599990844727</v>
      </c>
      <c r="G1272" s="21" t="n">
        <v>0.129999995231628</v>
      </c>
      <c r="H1272" s="22" t="n">
        <f aca="false">F1272+G1272</f>
        <v>132.729990839959</v>
      </c>
      <c r="I1272" s="13" t="n">
        <f aca="false">INDEX(RM_Rates!$F$5:$F$137,MATCH(C1272,RM_Rates!$A$5:$A$137,0))</f>
        <v>1.980566</v>
      </c>
      <c r="J1272" s="22" t="n">
        <f aca="false">H1272*I1272</f>
        <v>262.880507037934</v>
      </c>
    </row>
    <row r="1273" customFormat="false" ht="15" hidden="false" customHeight="false" outlineLevel="0" collapsed="false">
      <c r="A1273" s="5" t="s">
        <v>618</v>
      </c>
      <c r="B1273" s="2" t="s">
        <v>731</v>
      </c>
      <c r="C1273" s="5" t="s">
        <v>326</v>
      </c>
      <c r="D1273" s="5" t="s">
        <v>327</v>
      </c>
      <c r="E1273" s="5" t="s">
        <v>72</v>
      </c>
      <c r="F1273" s="21" t="n">
        <v>39.7799987792969</v>
      </c>
      <c r="G1273" s="21" t="n">
        <v>0.389999985694885</v>
      </c>
      <c r="H1273" s="22" t="n">
        <f aca="false">F1273+G1273</f>
        <v>40.1699987649918</v>
      </c>
      <c r="I1273" s="13" t="n">
        <f aca="false">INDEX(RM_Rates!$F$5:$F$137,MATCH(C1273,RM_Rates!$A$5:$A$137,0))</f>
        <v>0.596000015735626</v>
      </c>
      <c r="J1273" s="22" t="n">
        <f aca="false">H1273*I1273</f>
        <v>23.9413198960352</v>
      </c>
    </row>
    <row r="1274" customFormat="false" ht="15" hidden="false" customHeight="false" outlineLevel="0" collapsed="false">
      <c r="A1274" s="5" t="s">
        <v>618</v>
      </c>
      <c r="B1274" s="2" t="s">
        <v>731</v>
      </c>
      <c r="C1274" s="5" t="s">
        <v>324</v>
      </c>
      <c r="D1274" s="5" t="s">
        <v>325</v>
      </c>
      <c r="E1274" s="5" t="s">
        <v>72</v>
      </c>
      <c r="F1274" s="21" t="n">
        <v>2.18789982795715</v>
      </c>
      <c r="G1274" s="21" t="n">
        <v>0.0219999998807907</v>
      </c>
      <c r="H1274" s="22" t="n">
        <f aca="false">F1274+G1274</f>
        <v>2.20989982783794</v>
      </c>
      <c r="I1274" s="13" t="n">
        <f aca="false">INDEX(RM_Rates!$F$5:$F$137,MATCH(C1274,RM_Rates!$A$5:$A$137,0))</f>
        <v>1.35229277610779</v>
      </c>
      <c r="J1274" s="22" t="n">
        <f aca="false">H1274*I1274</f>
        <v>2.9884315731071</v>
      </c>
    </row>
    <row r="1275" customFormat="false" ht="15" hidden="false" customHeight="false" outlineLevel="0" collapsed="false">
      <c r="A1275" s="5" t="s">
        <v>618</v>
      </c>
      <c r="B1275" s="2" t="s">
        <v>731</v>
      </c>
      <c r="C1275" s="5" t="s">
        <v>314</v>
      </c>
      <c r="D1275" s="5" t="s">
        <v>315</v>
      </c>
      <c r="E1275" s="5" t="s">
        <v>72</v>
      </c>
      <c r="F1275" s="21" t="n">
        <v>0.298349976539612</v>
      </c>
      <c r="G1275" s="21" t="n">
        <v>0.00300000002607703</v>
      </c>
      <c r="H1275" s="22" t="n">
        <f aca="false">F1275+G1275</f>
        <v>0.301349976565689</v>
      </c>
      <c r="I1275" s="13" t="n">
        <f aca="false">INDEX(RM_Rates!$F$5:$F$137,MATCH(C1275,RM_Rates!$A$5:$A$137,0))</f>
        <v>1.6441433429718</v>
      </c>
      <c r="J1275" s="22" t="n">
        <f aca="false">H1275*I1275</f>
        <v>0.495462557875186</v>
      </c>
    </row>
    <row r="1276" customFormat="false" ht="15" hidden="false" customHeight="false" outlineLevel="0" collapsed="false">
      <c r="A1276" s="5" t="s">
        <v>618</v>
      </c>
      <c r="B1276" s="2" t="s">
        <v>731</v>
      </c>
      <c r="C1276" s="5" t="s">
        <v>320</v>
      </c>
      <c r="D1276" s="5" t="s">
        <v>321</v>
      </c>
      <c r="E1276" s="5" t="s">
        <v>72</v>
      </c>
      <c r="F1276" s="21" t="n">
        <v>0.298349976539612</v>
      </c>
      <c r="G1276" s="21" t="n">
        <v>0.00300000002607703</v>
      </c>
      <c r="H1276" s="22" t="n">
        <f aca="false">F1276+G1276</f>
        <v>0.301349976565689</v>
      </c>
      <c r="I1276" s="13" t="n">
        <f aca="false">INDEX(RM_Rates!$F$5:$F$137,MATCH(C1276,RM_Rates!$A$5:$A$137,0))</f>
        <v>1.6441433429718</v>
      </c>
      <c r="J1276" s="22" t="n">
        <f aca="false">H1276*I1276</f>
        <v>0.495462557875186</v>
      </c>
    </row>
    <row r="1277" customFormat="false" ht="15" hidden="false" customHeight="false" outlineLevel="0" collapsed="false">
      <c r="A1277" s="5" t="s">
        <v>618</v>
      </c>
      <c r="B1277" s="2" t="s">
        <v>731</v>
      </c>
      <c r="C1277" s="5" t="s">
        <v>200</v>
      </c>
      <c r="D1277" s="5" t="s">
        <v>201</v>
      </c>
      <c r="E1277" s="5" t="s">
        <v>72</v>
      </c>
      <c r="F1277" s="21" t="n">
        <v>3.00899982452393</v>
      </c>
      <c r="G1277" s="21" t="n">
        <v>0</v>
      </c>
      <c r="H1277" s="22" t="n">
        <f aca="false">F1277+G1277</f>
        <v>3.00899982452393</v>
      </c>
      <c r="I1277" s="13" t="n">
        <f aca="false">INDEX(RM_Rates!$F$5:$F$137,MATCH(C1277,RM_Rates!$A$5:$A$137,0))</f>
        <v>0.750177025794983</v>
      </c>
      <c r="J1277" s="22" t="n">
        <f aca="false">H1277*I1277</f>
        <v>2.25728253897899</v>
      </c>
    </row>
    <row r="1278" customFormat="false" ht="15" hidden="false" customHeight="false" outlineLevel="0" collapsed="false">
      <c r="A1278" s="5" t="s">
        <v>618</v>
      </c>
      <c r="B1278" s="2" t="s">
        <v>731</v>
      </c>
      <c r="C1278" s="5" t="s">
        <v>58</v>
      </c>
      <c r="D1278" s="5" t="s">
        <v>59</v>
      </c>
      <c r="E1278" s="5" t="s">
        <v>60</v>
      </c>
      <c r="F1278" s="21" t="n">
        <v>6.375</v>
      </c>
      <c r="G1278" s="21" t="n">
        <v>0.0130000002682209</v>
      </c>
      <c r="H1278" s="22" t="n">
        <f aca="false">F1278+G1278</f>
        <v>6.38800000026822</v>
      </c>
      <c r="I1278" s="13" t="n">
        <f aca="false">INDEX(RM_Rates!$F$5:$F$137,MATCH(C1278,RM_Rates!$A$5:$A$137,0))</f>
        <v>1.83595955371857</v>
      </c>
      <c r="J1278" s="22" t="n">
        <f aca="false">H1278*I1278</f>
        <v>11.7281096296467</v>
      </c>
    </row>
    <row r="1279" customFormat="false" ht="15" hidden="false" customHeight="false" outlineLevel="0" collapsed="false">
      <c r="A1279" s="5" t="s">
        <v>618</v>
      </c>
      <c r="B1279" s="2" t="s">
        <v>731</v>
      </c>
      <c r="C1279" s="5" t="s">
        <v>70</v>
      </c>
      <c r="D1279" s="5" t="s">
        <v>71</v>
      </c>
      <c r="E1279" s="5" t="s">
        <v>72</v>
      </c>
      <c r="F1279" s="21" t="n">
        <v>27.4499988555908</v>
      </c>
      <c r="G1279" s="21" t="n">
        <v>0</v>
      </c>
      <c r="H1279" s="22" t="n">
        <f aca="false">F1279+G1279</f>
        <v>27.4499988555908</v>
      </c>
      <c r="I1279" s="13" t="n">
        <f aca="false">INDEX(RM_Rates!$F$5:$F$137,MATCH(C1279,RM_Rates!$A$5:$A$137,0))</f>
        <v>2.86922955513001</v>
      </c>
      <c r="J1279" s="22" t="n">
        <f aca="false">H1279*I1279</f>
        <v>78.7603480047461</v>
      </c>
    </row>
    <row r="1280" customFormat="false" ht="15" hidden="false" customHeight="false" outlineLevel="0" collapsed="false">
      <c r="A1280" s="5" t="s">
        <v>618</v>
      </c>
      <c r="B1280" s="2" t="s">
        <v>731</v>
      </c>
      <c r="C1280" s="5" t="s">
        <v>206</v>
      </c>
      <c r="D1280" s="5" t="s">
        <v>207</v>
      </c>
      <c r="E1280" s="5" t="s">
        <v>72</v>
      </c>
      <c r="F1280" s="21" t="n">
        <v>4.23299980163574</v>
      </c>
      <c r="G1280" s="21" t="n">
        <v>0</v>
      </c>
      <c r="H1280" s="22" t="n">
        <f aca="false">F1280+G1280</f>
        <v>4.23299980163574</v>
      </c>
      <c r="I1280" s="13" t="n">
        <f aca="false">INDEX(RM_Rates!$F$5:$F$137,MATCH(C1280,RM_Rates!$A$5:$A$137,0))</f>
        <v>0.750177025794983</v>
      </c>
      <c r="J1280" s="22" t="n">
        <f aca="false">H1280*I1280</f>
        <v>3.17549920138185</v>
      </c>
    </row>
    <row r="1281" customFormat="false" ht="15" hidden="false" customHeight="false" outlineLevel="0" collapsed="false">
      <c r="A1281" s="5" t="s">
        <v>618</v>
      </c>
      <c r="B1281" s="2" t="s">
        <v>731</v>
      </c>
      <c r="C1281" s="5" t="s">
        <v>216</v>
      </c>
      <c r="D1281" s="5" t="s">
        <v>217</v>
      </c>
      <c r="E1281" s="5" t="s">
        <v>72</v>
      </c>
      <c r="F1281" s="21" t="n">
        <v>1.89999997615814</v>
      </c>
      <c r="G1281" s="21" t="n">
        <v>0</v>
      </c>
      <c r="H1281" s="22" t="n">
        <f aca="false">F1281+G1281</f>
        <v>1.89999997615814</v>
      </c>
      <c r="I1281" s="13" t="n">
        <f aca="false">INDEX(RM_Rates!$F$5:$F$137,MATCH(C1281,RM_Rates!$A$5:$A$137,0))</f>
        <v>0.750177025794983</v>
      </c>
      <c r="J1281" s="22" t="n">
        <f aca="false">H1281*I1281</f>
        <v>1.42533633112485</v>
      </c>
    </row>
    <row r="1282" customFormat="false" ht="15" hidden="false" customHeight="false" outlineLevel="0" collapsed="false">
      <c r="A1282" s="5" t="s">
        <v>618</v>
      </c>
      <c r="B1282" s="2" t="s">
        <v>731</v>
      </c>
      <c r="C1282" s="5" t="s">
        <v>62</v>
      </c>
      <c r="D1282" s="5" t="s">
        <v>63</v>
      </c>
      <c r="E1282" s="5" t="s">
        <v>60</v>
      </c>
      <c r="F1282" s="21" t="n">
        <v>1.5</v>
      </c>
      <c r="G1282" s="21" t="n">
        <v>0.0149999996647239</v>
      </c>
      <c r="H1282" s="22" t="n">
        <f aca="false">F1282+G1282</f>
        <v>1.51499999966472</v>
      </c>
      <c r="I1282" s="13" t="n">
        <f aca="false">INDEX(RM_Rates!$F$5:$F$137,MATCH(C1282,RM_Rates!$A$5:$A$137,0))</f>
        <v>1.83595955371857</v>
      </c>
      <c r="J1282" s="22" t="n">
        <f aca="false">H1282*I1282</f>
        <v>2.78147872326808</v>
      </c>
    </row>
    <row r="1283" customFormat="false" ht="15" hidden="false" customHeight="false" outlineLevel="0" collapsed="false">
      <c r="A1283" s="5" t="s">
        <v>618</v>
      </c>
      <c r="B1283" s="2" t="s">
        <v>731</v>
      </c>
      <c r="C1283" s="5" t="s">
        <v>202</v>
      </c>
      <c r="D1283" s="5" t="s">
        <v>203</v>
      </c>
      <c r="E1283" s="5" t="s">
        <v>72</v>
      </c>
      <c r="F1283" s="21" t="n">
        <v>1.33000004291534</v>
      </c>
      <c r="G1283" s="21" t="n">
        <v>0</v>
      </c>
      <c r="H1283" s="22" t="n">
        <f aca="false">F1283+G1283</f>
        <v>1.33000004291534</v>
      </c>
      <c r="I1283" s="13" t="n">
        <f aca="false">INDEX(RM_Rates!$F$5:$F$137,MATCH(C1283,RM_Rates!$A$5:$A$137,0))</f>
        <v>0.750177025794983</v>
      </c>
      <c r="J1283" s="22" t="n">
        <f aca="false">H1283*I1283</f>
        <v>0.99773547650143</v>
      </c>
    </row>
    <row r="1284" customFormat="false" ht="15" hidden="false" customHeight="false" outlineLevel="0" collapsed="false">
      <c r="A1284" s="5" t="s">
        <v>618</v>
      </c>
      <c r="B1284" s="2" t="s">
        <v>731</v>
      </c>
      <c r="C1284" s="5" t="s">
        <v>244</v>
      </c>
      <c r="D1284" s="5" t="s">
        <v>245</v>
      </c>
      <c r="E1284" s="5" t="s">
        <v>60</v>
      </c>
      <c r="F1284" s="21" t="n">
        <v>205.800003051758</v>
      </c>
      <c r="G1284" s="21" t="n">
        <v>0.514999985694885</v>
      </c>
      <c r="H1284" s="22" t="n">
        <f aca="false">F1284+G1284</f>
        <v>206.315003037453</v>
      </c>
      <c r="I1284" s="13" t="n">
        <f aca="false">INDEX(RM_Rates!$F$5:$F$137,MATCH(C1284,RM_Rates!$A$5:$A$137,0))</f>
        <v>0.648000001907349</v>
      </c>
      <c r="J1284" s="22" t="n">
        <f aca="false">H1284*I1284</f>
        <v>133.692122361784</v>
      </c>
    </row>
    <row r="1285" customFormat="false" ht="15" hidden="false" customHeight="false" outlineLevel="0" collapsed="false">
      <c r="A1285" s="5" t="s">
        <v>618</v>
      </c>
      <c r="B1285" s="2" t="s">
        <v>731</v>
      </c>
      <c r="C1285" s="5" t="s">
        <v>232</v>
      </c>
      <c r="D1285" s="5" t="s">
        <v>233</v>
      </c>
      <c r="E1285" s="5" t="s">
        <v>72</v>
      </c>
      <c r="F1285" s="21" t="n">
        <v>3.292799949646</v>
      </c>
      <c r="G1285" s="21" t="n">
        <v>0.00799999944865704</v>
      </c>
      <c r="H1285" s="22" t="n">
        <f aca="false">F1285+G1285</f>
        <v>3.30079994909466</v>
      </c>
      <c r="I1285" s="13" t="n">
        <f aca="false">INDEX(RM_Rates!$F$5:$F$137,MATCH(C1285,RM_Rates!$A$5:$A$137,0))</f>
        <v>1.45200002193451</v>
      </c>
      <c r="J1285" s="22" t="n">
        <f aca="false">H1285*I1285</f>
        <v>4.79276159848687</v>
      </c>
    </row>
    <row r="1286" customFormat="false" ht="15" hidden="false" customHeight="false" outlineLevel="0" collapsed="false">
      <c r="A1286" s="5" t="s">
        <v>618</v>
      </c>
      <c r="B1286" s="2" t="s">
        <v>731</v>
      </c>
      <c r="C1286" s="5" t="s">
        <v>267</v>
      </c>
      <c r="D1286" s="5" t="s">
        <v>268</v>
      </c>
      <c r="E1286" s="5" t="s">
        <v>72</v>
      </c>
      <c r="F1286" s="21" t="n">
        <v>250</v>
      </c>
      <c r="G1286" s="21" t="n">
        <v>2.5</v>
      </c>
      <c r="H1286" s="22" t="n">
        <f aca="false">F1286+G1286</f>
        <v>252.5</v>
      </c>
      <c r="I1286" s="13" t="n">
        <f aca="false">INDEX(RM_Rates!$F$5:$F$137,MATCH(C1286,RM_Rates!$A$5:$A$137,0))</f>
        <v>0.487615048885345</v>
      </c>
      <c r="J1286" s="22" t="n">
        <f aca="false">H1286*I1286</f>
        <v>123.12279984355</v>
      </c>
    </row>
    <row r="1287" customFormat="false" ht="15" hidden="false" customHeight="false" outlineLevel="0" collapsed="false">
      <c r="A1287" s="5" t="s">
        <v>618</v>
      </c>
      <c r="B1287" s="2" t="s">
        <v>731</v>
      </c>
      <c r="C1287" s="5" t="s">
        <v>281</v>
      </c>
      <c r="D1287" s="5" t="s">
        <v>282</v>
      </c>
      <c r="E1287" s="5" t="s">
        <v>166</v>
      </c>
      <c r="F1287" s="21" t="n">
        <v>1</v>
      </c>
      <c r="G1287" s="21" t="n">
        <v>0</v>
      </c>
      <c r="H1287" s="22" t="n">
        <f aca="false">F1287+G1287</f>
        <v>1</v>
      </c>
      <c r="I1287" s="13" t="n">
        <f aca="false">INDEX(RM_Rates!$F$5:$F$137,MATCH(C1287,RM_Rates!$A$5:$A$137,0))</f>
        <v>31.1947288513184</v>
      </c>
      <c r="J1287" s="22" t="n">
        <f aca="false">H1287*I1287</f>
        <v>31.1947288513184</v>
      </c>
    </row>
    <row r="1288" customFormat="false" ht="15" hidden="false" customHeight="false" outlineLevel="0" collapsed="false">
      <c r="A1288" s="5" t="s">
        <v>618</v>
      </c>
      <c r="B1288" s="2" t="s">
        <v>731</v>
      </c>
      <c r="C1288" s="5" t="s">
        <v>169</v>
      </c>
      <c r="D1288" s="5" t="s">
        <v>170</v>
      </c>
      <c r="E1288" s="5" t="s">
        <v>166</v>
      </c>
      <c r="F1288" s="21" t="n">
        <v>2</v>
      </c>
      <c r="G1288" s="21" t="n">
        <v>0</v>
      </c>
      <c r="H1288" s="22" t="n">
        <f aca="false">F1288+G1288</f>
        <v>2</v>
      </c>
      <c r="I1288" s="13" t="n">
        <f aca="false">INDEX(RM_Rates!$F$5:$F$137,MATCH(C1288,RM_Rates!$A$5:$A$137,0))</f>
        <v>0.124766282737255</v>
      </c>
      <c r="J1288" s="22" t="n">
        <f aca="false">H1288*I1288</f>
        <v>0.24953256547451</v>
      </c>
    </row>
    <row r="1289" customFormat="false" ht="15" hidden="false" customHeight="false" outlineLevel="0" collapsed="false">
      <c r="A1289" s="5" t="s">
        <v>618</v>
      </c>
      <c r="B1289" s="2" t="s">
        <v>731</v>
      </c>
      <c r="C1289" s="5" t="s">
        <v>308</v>
      </c>
      <c r="D1289" s="5" t="s">
        <v>309</v>
      </c>
      <c r="E1289" s="5" t="s">
        <v>297</v>
      </c>
      <c r="F1289" s="21" t="n">
        <v>3.5</v>
      </c>
      <c r="G1289" s="21" t="n">
        <v>0</v>
      </c>
      <c r="H1289" s="22" t="n">
        <f aca="false">F1289+G1289</f>
        <v>3.5</v>
      </c>
      <c r="I1289" s="13" t="n">
        <f aca="false">INDEX(RM_Rates!$F$5:$F$137,MATCH(C1289,RM_Rates!$A$5:$A$137,0))</f>
        <v>1.40752077102661</v>
      </c>
      <c r="J1289" s="22" t="n">
        <f aca="false">H1289*I1289</f>
        <v>4.92632269859314</v>
      </c>
    </row>
    <row r="1290" customFormat="false" ht="15" hidden="false" customHeight="false" outlineLevel="0" collapsed="false">
      <c r="A1290" s="5" t="s">
        <v>618</v>
      </c>
      <c r="B1290" s="2" t="s">
        <v>731</v>
      </c>
      <c r="C1290" s="5" t="s">
        <v>189</v>
      </c>
      <c r="D1290" s="5" t="s">
        <v>190</v>
      </c>
      <c r="E1290" s="5" t="s">
        <v>60</v>
      </c>
      <c r="F1290" s="21" t="n">
        <v>0.349999994039536</v>
      </c>
      <c r="G1290" s="21" t="n">
        <v>0</v>
      </c>
      <c r="H1290" s="22" t="n">
        <f aca="false">F1290+G1290</f>
        <v>0.349999994039536</v>
      </c>
      <c r="I1290" s="13" t="n">
        <f aca="false">INDEX(RM_Rates!$F$5:$F$137,MATCH(C1290,RM_Rates!$A$5:$A$137,0))</f>
        <v>0.568400025367737</v>
      </c>
      <c r="J1290" s="22" t="n">
        <f aca="false">H1290*I1290</f>
        <v>0.19894000549078</v>
      </c>
    </row>
    <row r="1291" customFormat="false" ht="15" hidden="false" customHeight="false" outlineLevel="0" collapsed="false">
      <c r="A1291" s="5" t="s">
        <v>620</v>
      </c>
      <c r="B1291" s="2" t="s">
        <v>732</v>
      </c>
      <c r="C1291" s="5" t="s">
        <v>79</v>
      </c>
      <c r="D1291" s="5" t="s">
        <v>80</v>
      </c>
      <c r="E1291" s="5" t="s">
        <v>72</v>
      </c>
      <c r="F1291" s="21" t="n">
        <v>132.599990844727</v>
      </c>
      <c r="G1291" s="21" t="n">
        <v>0.129999995231628</v>
      </c>
      <c r="H1291" s="22" t="n">
        <f aca="false">F1291+G1291</f>
        <v>132.729990839959</v>
      </c>
      <c r="I1291" s="13" t="n">
        <f aca="false">INDEX(RM_Rates!$F$5:$F$137,MATCH(C1291,RM_Rates!$A$5:$A$137,0))</f>
        <v>1.980566</v>
      </c>
      <c r="J1291" s="22" t="n">
        <f aca="false">H1291*I1291</f>
        <v>262.880507037934</v>
      </c>
    </row>
    <row r="1292" customFormat="false" ht="15" hidden="false" customHeight="false" outlineLevel="0" collapsed="false">
      <c r="A1292" s="5" t="s">
        <v>620</v>
      </c>
      <c r="B1292" s="2" t="s">
        <v>732</v>
      </c>
      <c r="C1292" s="5" t="s">
        <v>197</v>
      </c>
      <c r="D1292" s="5" t="s">
        <v>196</v>
      </c>
      <c r="E1292" s="5" t="s">
        <v>72</v>
      </c>
      <c r="F1292" s="21" t="n">
        <v>35.3940010070801</v>
      </c>
      <c r="G1292" s="21" t="n">
        <v>0</v>
      </c>
      <c r="H1292" s="22" t="n">
        <f aca="false">F1292+G1292</f>
        <v>35.3940010070801</v>
      </c>
      <c r="I1292" s="13" t="n">
        <f aca="false">INDEX(RM_Rates!$F$5:$F$137,MATCH(C1292,RM_Rates!$A$5:$A$137,0))</f>
        <v>5.34994649887085</v>
      </c>
      <c r="J1292" s="22" t="n">
        <f aca="false">H1292*I1292</f>
        <v>189.35601176886</v>
      </c>
    </row>
    <row r="1293" customFormat="false" ht="15" hidden="false" customHeight="false" outlineLevel="0" collapsed="false">
      <c r="A1293" s="5" t="s">
        <v>620</v>
      </c>
      <c r="B1293" s="2" t="s">
        <v>732</v>
      </c>
      <c r="C1293" s="5" t="s">
        <v>326</v>
      </c>
      <c r="D1293" s="5" t="s">
        <v>327</v>
      </c>
      <c r="E1293" s="5" t="s">
        <v>72</v>
      </c>
      <c r="F1293" s="21" t="n">
        <v>56.0999984741211</v>
      </c>
      <c r="G1293" s="21" t="n">
        <v>0.550000011920929</v>
      </c>
      <c r="H1293" s="22" t="n">
        <f aca="false">F1293+G1293</f>
        <v>56.649998486042</v>
      </c>
      <c r="I1293" s="13" t="n">
        <f aca="false">INDEX(RM_Rates!$F$5:$F$137,MATCH(C1293,RM_Rates!$A$5:$A$137,0))</f>
        <v>0.596000015735626</v>
      </c>
      <c r="J1293" s="22" t="n">
        <f aca="false">H1293*I1293</f>
        <v>33.7633999891042</v>
      </c>
    </row>
    <row r="1294" customFormat="false" ht="15" hidden="false" customHeight="false" outlineLevel="0" collapsed="false">
      <c r="A1294" s="5" t="s">
        <v>620</v>
      </c>
      <c r="B1294" s="2" t="s">
        <v>732</v>
      </c>
      <c r="C1294" s="5" t="s">
        <v>324</v>
      </c>
      <c r="D1294" s="5" t="s">
        <v>325</v>
      </c>
      <c r="E1294" s="5" t="s">
        <v>72</v>
      </c>
      <c r="F1294" s="21" t="n">
        <v>3.08550000190735</v>
      </c>
      <c r="G1294" s="21" t="n">
        <v>0.0299999993294477</v>
      </c>
      <c r="H1294" s="22" t="n">
        <f aca="false">F1294+G1294</f>
        <v>3.1155000012368</v>
      </c>
      <c r="I1294" s="13" t="n">
        <f aca="false">INDEX(RM_Rates!$F$5:$F$137,MATCH(C1294,RM_Rates!$A$5:$A$137,0))</f>
        <v>1.35229277610779</v>
      </c>
      <c r="J1294" s="22" t="n">
        <f aca="false">H1294*I1294</f>
        <v>4.21306814563633</v>
      </c>
    </row>
    <row r="1295" customFormat="false" ht="15" hidden="false" customHeight="false" outlineLevel="0" collapsed="false">
      <c r="A1295" s="5" t="s">
        <v>620</v>
      </c>
      <c r="B1295" s="2" t="s">
        <v>732</v>
      </c>
      <c r="C1295" s="5" t="s">
        <v>314</v>
      </c>
      <c r="D1295" s="5" t="s">
        <v>315</v>
      </c>
      <c r="E1295" s="5" t="s">
        <v>72</v>
      </c>
      <c r="F1295" s="21" t="n">
        <v>0.420750021934509</v>
      </c>
      <c r="G1295" s="21" t="n">
        <v>0.00400000018998981</v>
      </c>
      <c r="H1295" s="22" t="n">
        <f aca="false">F1295+G1295</f>
        <v>0.424750022124499</v>
      </c>
      <c r="I1295" s="13" t="n">
        <f aca="false">INDEX(RM_Rates!$F$5:$F$137,MATCH(C1295,RM_Rates!$A$5:$A$137,0))</f>
        <v>1.6441433429718</v>
      </c>
      <c r="J1295" s="22" t="n">
        <f aca="false">H1295*I1295</f>
        <v>0.69834992130312</v>
      </c>
    </row>
    <row r="1296" customFormat="false" ht="15" hidden="false" customHeight="false" outlineLevel="0" collapsed="false">
      <c r="A1296" s="5" t="s">
        <v>620</v>
      </c>
      <c r="B1296" s="2" t="s">
        <v>732</v>
      </c>
      <c r="C1296" s="5" t="s">
        <v>320</v>
      </c>
      <c r="D1296" s="5" t="s">
        <v>321</v>
      </c>
      <c r="E1296" s="5" t="s">
        <v>72</v>
      </c>
      <c r="F1296" s="21" t="n">
        <v>0.420750021934509</v>
      </c>
      <c r="G1296" s="21" t="n">
        <v>0.00400000018998981</v>
      </c>
      <c r="H1296" s="22" t="n">
        <f aca="false">F1296+G1296</f>
        <v>0.424750022124499</v>
      </c>
      <c r="I1296" s="13" t="n">
        <f aca="false">INDEX(RM_Rates!$F$5:$F$137,MATCH(C1296,RM_Rates!$A$5:$A$137,0))</f>
        <v>1.6441433429718</v>
      </c>
      <c r="J1296" s="22" t="n">
        <f aca="false">H1296*I1296</f>
        <v>0.69834992130312</v>
      </c>
    </row>
    <row r="1297" customFormat="false" ht="15" hidden="false" customHeight="false" outlineLevel="0" collapsed="false">
      <c r="A1297" s="5" t="s">
        <v>620</v>
      </c>
      <c r="B1297" s="2" t="s">
        <v>732</v>
      </c>
      <c r="C1297" s="5" t="s">
        <v>202</v>
      </c>
      <c r="D1297" s="5" t="s">
        <v>203</v>
      </c>
      <c r="E1297" s="5" t="s">
        <v>72</v>
      </c>
      <c r="F1297" s="21" t="n">
        <v>7.35099983215332</v>
      </c>
      <c r="G1297" s="21" t="n">
        <v>0</v>
      </c>
      <c r="H1297" s="22" t="n">
        <f aca="false">F1297+G1297</f>
        <v>7.35099983215332</v>
      </c>
      <c r="I1297" s="13" t="n">
        <f aca="false">INDEX(RM_Rates!$F$5:$F$137,MATCH(C1297,RM_Rates!$A$5:$A$137,0))</f>
        <v>0.750177025794983</v>
      </c>
      <c r="J1297" s="22" t="n">
        <f aca="false">H1297*I1297</f>
        <v>5.5145511907042</v>
      </c>
    </row>
    <row r="1298" customFormat="false" ht="15" hidden="false" customHeight="false" outlineLevel="0" collapsed="false">
      <c r="A1298" s="5" t="s">
        <v>620</v>
      </c>
      <c r="B1298" s="2" t="s">
        <v>732</v>
      </c>
      <c r="C1298" s="5" t="s">
        <v>62</v>
      </c>
      <c r="D1298" s="5" t="s">
        <v>63</v>
      </c>
      <c r="E1298" s="5" t="s">
        <v>60</v>
      </c>
      <c r="F1298" s="21" t="n">
        <v>9.14999961853027</v>
      </c>
      <c r="G1298" s="21" t="n">
        <v>0.0299999993294477</v>
      </c>
      <c r="H1298" s="22" t="n">
        <f aca="false">F1298+G1298</f>
        <v>9.17999961785972</v>
      </c>
      <c r="I1298" s="13" t="n">
        <f aca="false">INDEX(RM_Rates!$F$5:$F$137,MATCH(C1298,RM_Rates!$A$5:$A$137,0))</f>
        <v>1.83595955371857</v>
      </c>
      <c r="J1298" s="22" t="n">
        <f aca="false">H1298*I1298</f>
        <v>16.8541080015424</v>
      </c>
    </row>
    <row r="1299" customFormat="false" ht="15" hidden="false" customHeight="false" outlineLevel="0" collapsed="false">
      <c r="A1299" s="5" t="s">
        <v>620</v>
      </c>
      <c r="B1299" s="2" t="s">
        <v>732</v>
      </c>
      <c r="C1299" s="5" t="s">
        <v>70</v>
      </c>
      <c r="D1299" s="5" t="s">
        <v>71</v>
      </c>
      <c r="E1299" s="5" t="s">
        <v>72</v>
      </c>
      <c r="F1299" s="21" t="n">
        <v>27.4499988555908</v>
      </c>
      <c r="G1299" s="21" t="n">
        <v>0</v>
      </c>
      <c r="H1299" s="22" t="n">
        <f aca="false">F1299+G1299</f>
        <v>27.4499988555908</v>
      </c>
      <c r="I1299" s="13" t="n">
        <f aca="false">INDEX(RM_Rates!$F$5:$F$137,MATCH(C1299,RM_Rates!$A$5:$A$137,0))</f>
        <v>2.86922955513001</v>
      </c>
      <c r="J1299" s="22" t="n">
        <f aca="false">H1299*I1299</f>
        <v>78.7603480047461</v>
      </c>
    </row>
    <row r="1300" customFormat="false" ht="15" hidden="false" customHeight="false" outlineLevel="0" collapsed="false">
      <c r="A1300" s="5" t="s">
        <v>620</v>
      </c>
      <c r="B1300" s="2" t="s">
        <v>732</v>
      </c>
      <c r="C1300" s="5" t="s">
        <v>210</v>
      </c>
      <c r="D1300" s="5" t="s">
        <v>211</v>
      </c>
      <c r="E1300" s="5" t="s">
        <v>72</v>
      </c>
      <c r="F1300" s="21" t="n">
        <v>6.06900024414063</v>
      </c>
      <c r="G1300" s="21" t="n">
        <v>0</v>
      </c>
      <c r="H1300" s="22" t="n">
        <f aca="false">F1300+G1300</f>
        <v>6.06900024414063</v>
      </c>
      <c r="I1300" s="13" t="n">
        <f aca="false">INDEX(RM_Rates!$F$5:$F$137,MATCH(C1300,RM_Rates!$A$5:$A$137,0))</f>
        <v>0.750177025794983</v>
      </c>
      <c r="J1300" s="22" t="n">
        <f aca="false">H1300*I1300</f>
        <v>4.55282455269844</v>
      </c>
    </row>
    <row r="1301" customFormat="false" ht="15" hidden="false" customHeight="false" outlineLevel="0" collapsed="false">
      <c r="A1301" s="5" t="s">
        <v>620</v>
      </c>
      <c r="B1301" s="2" t="s">
        <v>732</v>
      </c>
      <c r="C1301" s="5" t="s">
        <v>244</v>
      </c>
      <c r="D1301" s="5" t="s">
        <v>245</v>
      </c>
      <c r="E1301" s="5" t="s">
        <v>60</v>
      </c>
      <c r="F1301" s="21" t="n">
        <v>252.799987792969</v>
      </c>
      <c r="G1301" s="21" t="n">
        <v>0.631999969482422</v>
      </c>
      <c r="H1301" s="22" t="n">
        <f aca="false">F1301+G1301</f>
        <v>253.431987762451</v>
      </c>
      <c r="I1301" s="13" t="n">
        <f aca="false">INDEX(RM_Rates!$F$5:$F$137,MATCH(C1301,RM_Rates!$A$5:$A$137,0))</f>
        <v>0.648000001907349</v>
      </c>
      <c r="J1301" s="22" t="n">
        <f aca="false">H1301*I1301</f>
        <v>164.223928553452</v>
      </c>
    </row>
    <row r="1302" customFormat="false" ht="15" hidden="false" customHeight="false" outlineLevel="0" collapsed="false">
      <c r="A1302" s="5" t="s">
        <v>620</v>
      </c>
      <c r="B1302" s="2" t="s">
        <v>732</v>
      </c>
      <c r="C1302" s="5" t="s">
        <v>232</v>
      </c>
      <c r="D1302" s="5" t="s">
        <v>233</v>
      </c>
      <c r="E1302" s="5" t="s">
        <v>72</v>
      </c>
      <c r="F1302" s="21" t="n">
        <v>4.0447998046875</v>
      </c>
      <c r="G1302" s="21" t="n">
        <v>0.00999999977648258</v>
      </c>
      <c r="H1302" s="22" t="n">
        <f aca="false">F1302+G1302</f>
        <v>4.05479980446398</v>
      </c>
      <c r="I1302" s="13" t="n">
        <f aca="false">INDEX(RM_Rates!$F$5:$F$137,MATCH(C1302,RM_Rates!$A$5:$A$137,0))</f>
        <v>1.45200002193451</v>
      </c>
      <c r="J1302" s="22" t="n">
        <f aca="false">H1302*I1302</f>
        <v>5.88756940502175</v>
      </c>
    </row>
    <row r="1303" customFormat="false" ht="15" hidden="false" customHeight="false" outlineLevel="0" collapsed="false">
      <c r="A1303" s="5" t="s">
        <v>620</v>
      </c>
      <c r="B1303" s="2" t="s">
        <v>732</v>
      </c>
      <c r="C1303" s="5" t="s">
        <v>267</v>
      </c>
      <c r="D1303" s="5" t="s">
        <v>268</v>
      </c>
      <c r="E1303" s="5" t="s">
        <v>72</v>
      </c>
      <c r="F1303" s="21" t="n">
        <v>310</v>
      </c>
      <c r="G1303" s="21" t="n">
        <v>3.09999990463257</v>
      </c>
      <c r="H1303" s="22" t="n">
        <f aca="false">F1303+G1303</f>
        <v>313.099999904633</v>
      </c>
      <c r="I1303" s="13" t="n">
        <f aca="false">INDEX(RM_Rates!$F$5:$F$137,MATCH(C1303,RM_Rates!$A$5:$A$137,0))</f>
        <v>0.487615048885345</v>
      </c>
      <c r="J1303" s="22" t="n">
        <f aca="false">H1303*I1303</f>
        <v>152.672271759499</v>
      </c>
    </row>
    <row r="1304" customFormat="false" ht="15" hidden="false" customHeight="false" outlineLevel="0" collapsed="false">
      <c r="A1304" s="5" t="s">
        <v>620</v>
      </c>
      <c r="B1304" s="2" t="s">
        <v>732</v>
      </c>
      <c r="C1304" s="5" t="s">
        <v>285</v>
      </c>
      <c r="D1304" s="5" t="s">
        <v>286</v>
      </c>
      <c r="E1304" s="5" t="s">
        <v>166</v>
      </c>
      <c r="F1304" s="21" t="n">
        <v>1</v>
      </c>
      <c r="G1304" s="21" t="n">
        <v>0</v>
      </c>
      <c r="H1304" s="22" t="n">
        <f aca="false">F1304+G1304</f>
        <v>1</v>
      </c>
      <c r="I1304" s="13" t="n">
        <f aca="false">INDEX(RM_Rates!$F$5:$F$137,MATCH(C1304,RM_Rates!$A$5:$A$137,0))</f>
        <v>40.09814453125</v>
      </c>
      <c r="J1304" s="22" t="n">
        <f aca="false">H1304*I1304</f>
        <v>40.09814453125</v>
      </c>
    </row>
    <row r="1305" customFormat="false" ht="15" hidden="false" customHeight="false" outlineLevel="0" collapsed="false">
      <c r="A1305" s="5" t="s">
        <v>620</v>
      </c>
      <c r="B1305" s="2" t="s">
        <v>732</v>
      </c>
      <c r="C1305" s="5" t="s">
        <v>169</v>
      </c>
      <c r="D1305" s="5" t="s">
        <v>170</v>
      </c>
      <c r="E1305" s="5" t="s">
        <v>166</v>
      </c>
      <c r="F1305" s="21" t="n">
        <v>2</v>
      </c>
      <c r="G1305" s="21" t="n">
        <v>0</v>
      </c>
      <c r="H1305" s="22" t="n">
        <f aca="false">F1305+G1305</f>
        <v>2</v>
      </c>
      <c r="I1305" s="13" t="n">
        <f aca="false">INDEX(RM_Rates!$F$5:$F$137,MATCH(C1305,RM_Rates!$A$5:$A$137,0))</f>
        <v>0.124766282737255</v>
      </c>
      <c r="J1305" s="22" t="n">
        <f aca="false">H1305*I1305</f>
        <v>0.24953256547451</v>
      </c>
    </row>
    <row r="1306" customFormat="false" ht="15" hidden="false" customHeight="false" outlineLevel="0" collapsed="false">
      <c r="A1306" s="5" t="s">
        <v>620</v>
      </c>
      <c r="B1306" s="2" t="s">
        <v>732</v>
      </c>
      <c r="C1306" s="5" t="s">
        <v>308</v>
      </c>
      <c r="D1306" s="5" t="s">
        <v>309</v>
      </c>
      <c r="E1306" s="5" t="s">
        <v>297</v>
      </c>
      <c r="F1306" s="21" t="n">
        <v>4.40000009536743</v>
      </c>
      <c r="G1306" s="21" t="n">
        <v>0</v>
      </c>
      <c r="H1306" s="22" t="n">
        <f aca="false">F1306+G1306</f>
        <v>4.40000009536743</v>
      </c>
      <c r="I1306" s="13" t="n">
        <f aca="false">INDEX(RM_Rates!$F$5:$F$137,MATCH(C1306,RM_Rates!$A$5:$A$137,0))</f>
        <v>1.40752077102661</v>
      </c>
      <c r="J1306" s="22" t="n">
        <f aca="false">H1306*I1306</f>
        <v>6.19309152674872</v>
      </c>
    </row>
    <row r="1307" customFormat="false" ht="15" hidden="false" customHeight="false" outlineLevel="0" collapsed="false">
      <c r="A1307" s="5" t="s">
        <v>620</v>
      </c>
      <c r="B1307" s="2" t="s">
        <v>732</v>
      </c>
      <c r="C1307" s="5" t="s">
        <v>189</v>
      </c>
      <c r="D1307" s="5" t="s">
        <v>190</v>
      </c>
      <c r="E1307" s="5" t="s">
        <v>60</v>
      </c>
      <c r="F1307" s="21" t="n">
        <v>0.439999997615814</v>
      </c>
      <c r="G1307" s="21" t="n">
        <v>0</v>
      </c>
      <c r="H1307" s="22" t="n">
        <f aca="false">F1307+G1307</f>
        <v>0.439999997615814</v>
      </c>
      <c r="I1307" s="13" t="n">
        <f aca="false">INDEX(RM_Rates!$F$5:$F$137,MATCH(C1307,RM_Rates!$A$5:$A$137,0))</f>
        <v>0.568400025367737</v>
      </c>
      <c r="J1307" s="22" t="n">
        <f aca="false">H1307*I1307</f>
        <v>0.250096009806633</v>
      </c>
    </row>
    <row r="1308" customFormat="false" ht="15" hidden="false" customHeight="false" outlineLevel="0" collapsed="false">
      <c r="A1308" s="5" t="s">
        <v>622</v>
      </c>
      <c r="B1308" s="2" t="s">
        <v>733</v>
      </c>
      <c r="C1308" s="5" t="s">
        <v>90</v>
      </c>
      <c r="D1308" s="5" t="s">
        <v>91</v>
      </c>
      <c r="E1308" s="5" t="s">
        <v>72</v>
      </c>
      <c r="F1308" s="21" t="n">
        <v>51.0999984741211</v>
      </c>
      <c r="G1308" s="21" t="n">
        <v>0.256000012159348</v>
      </c>
      <c r="H1308" s="22" t="n">
        <f aca="false">F1308+G1308</f>
        <v>51.3559984862805</v>
      </c>
      <c r="I1308" s="13" t="n">
        <f aca="false">INDEX(RM_Rates!$F$5:$F$137,MATCH(C1308,RM_Rates!$A$5:$A$137,0))</f>
        <v>2.004884</v>
      </c>
      <c r="J1308" s="22" t="n">
        <f aca="false">H1308*I1308</f>
        <v>102.962819669168</v>
      </c>
    </row>
    <row r="1309" customFormat="false" ht="15" hidden="false" customHeight="false" outlineLevel="0" collapsed="false">
      <c r="A1309" s="5" t="s">
        <v>622</v>
      </c>
      <c r="B1309" s="2" t="s">
        <v>733</v>
      </c>
      <c r="C1309" s="5" t="s">
        <v>248</v>
      </c>
      <c r="D1309" s="5" t="s">
        <v>249</v>
      </c>
      <c r="E1309" s="5" t="s">
        <v>60</v>
      </c>
      <c r="F1309" s="21" t="n">
        <v>16.5</v>
      </c>
      <c r="G1309" s="21" t="n">
        <v>0.330000013113022</v>
      </c>
      <c r="H1309" s="22" t="n">
        <f aca="false">F1309+G1309</f>
        <v>16.830000013113</v>
      </c>
      <c r="I1309" s="13" t="n">
        <f aca="false">INDEX(RM_Rates!$F$5:$F$137,MATCH(C1309,RM_Rates!$A$5:$A$137,0))</f>
        <v>0.402726590633392</v>
      </c>
      <c r="J1309" s="22" t="n">
        <f aca="false">H1309*I1309</f>
        <v>6.77788852564095</v>
      </c>
    </row>
    <row r="1310" customFormat="false" ht="15" hidden="false" customHeight="false" outlineLevel="0" collapsed="false">
      <c r="A1310" s="5" t="s">
        <v>622</v>
      </c>
      <c r="B1310" s="2" t="s">
        <v>733</v>
      </c>
      <c r="C1310" s="5" t="s">
        <v>238</v>
      </c>
      <c r="D1310" s="5" t="s">
        <v>239</v>
      </c>
      <c r="E1310" s="5" t="s">
        <v>60</v>
      </c>
      <c r="F1310" s="21" t="n">
        <v>0.123750001192093</v>
      </c>
      <c r="G1310" s="21" t="n">
        <v>0.0020000000949949</v>
      </c>
      <c r="H1310" s="22" t="n">
        <f aca="false">F1310+G1310</f>
        <v>0.125750001287088</v>
      </c>
      <c r="I1310" s="13" t="n">
        <f aca="false">INDEX(RM_Rates!$F$5:$F$137,MATCH(C1310,RM_Rates!$A$5:$A$137,0))</f>
        <v>1.45200002193451</v>
      </c>
      <c r="J1310" s="22" t="n">
        <f aca="false">H1310*I1310</f>
        <v>0.182589004627116</v>
      </c>
    </row>
    <row r="1311" customFormat="false" ht="15" hidden="false" customHeight="false" outlineLevel="0" collapsed="false">
      <c r="A1311" s="5" t="s">
        <v>622</v>
      </c>
      <c r="B1311" s="2" t="s">
        <v>733</v>
      </c>
      <c r="C1311" s="5" t="s">
        <v>234</v>
      </c>
      <c r="D1311" s="5" t="s">
        <v>235</v>
      </c>
      <c r="E1311" s="5" t="s">
        <v>60</v>
      </c>
      <c r="F1311" s="21" t="n">
        <v>0.123750001192093</v>
      </c>
      <c r="G1311" s="21" t="n">
        <v>0.0020000000949949</v>
      </c>
      <c r="H1311" s="22" t="n">
        <f aca="false">F1311+G1311</f>
        <v>0.125750001287088</v>
      </c>
      <c r="I1311" s="13" t="n">
        <f aca="false">INDEX(RM_Rates!$F$5:$F$137,MATCH(C1311,RM_Rates!$A$5:$A$137,0))</f>
        <v>1.45200002193451</v>
      </c>
      <c r="J1311" s="22" t="n">
        <f aca="false">H1311*I1311</f>
        <v>0.182589004627116</v>
      </c>
    </row>
    <row r="1312" customFormat="false" ht="15" hidden="false" customHeight="false" outlineLevel="0" collapsed="false">
      <c r="A1312" s="5" t="s">
        <v>622</v>
      </c>
      <c r="B1312" s="2" t="s">
        <v>733</v>
      </c>
      <c r="C1312" s="5" t="s">
        <v>265</v>
      </c>
      <c r="D1312" s="5" t="s">
        <v>266</v>
      </c>
      <c r="E1312" s="5" t="s">
        <v>60</v>
      </c>
      <c r="F1312" s="21" t="n">
        <v>0.0179999992251396</v>
      </c>
      <c r="G1312" s="21" t="n">
        <v>0</v>
      </c>
      <c r="H1312" s="22" t="n">
        <f aca="false">F1312+G1312</f>
        <v>0.0179999992251396</v>
      </c>
      <c r="I1312" s="13" t="n">
        <f aca="false">INDEX(RM_Rates!$F$5:$F$137,MATCH(C1312,RM_Rates!$A$5:$A$137,0))</f>
        <v>0.747224986553192</v>
      </c>
      <c r="J1312" s="22" t="n">
        <f aca="false">H1312*I1312</f>
        <v>0.0134500491789624</v>
      </c>
    </row>
    <row r="1313" customFormat="false" ht="15" hidden="false" customHeight="false" outlineLevel="0" collapsed="false">
      <c r="A1313" s="5" t="s">
        <v>622</v>
      </c>
      <c r="B1313" s="2" t="s">
        <v>733</v>
      </c>
      <c r="C1313" s="5" t="s">
        <v>183</v>
      </c>
      <c r="D1313" s="5" t="s">
        <v>184</v>
      </c>
      <c r="E1313" s="5" t="s">
        <v>60</v>
      </c>
      <c r="F1313" s="21" t="n">
        <v>0.0450000017881393</v>
      </c>
      <c r="G1313" s="21" t="n">
        <v>0</v>
      </c>
      <c r="H1313" s="22" t="n">
        <f aca="false">F1313+G1313</f>
        <v>0.0450000017881393</v>
      </c>
      <c r="I1313" s="13" t="n">
        <f aca="false">INDEX(RM_Rates!$F$5:$F$137,MATCH(C1313,RM_Rates!$A$5:$A$137,0))</f>
        <v>0.675000011920929</v>
      </c>
      <c r="J1313" s="22" t="n">
        <f aca="false">H1313*I1313</f>
        <v>0.0303750017434359</v>
      </c>
    </row>
    <row r="1314" customFormat="false" ht="15" hidden="false" customHeight="false" outlineLevel="0" collapsed="false">
      <c r="A1314" s="5" t="s">
        <v>622</v>
      </c>
      <c r="B1314" s="2" t="s">
        <v>733</v>
      </c>
      <c r="C1314" s="5" t="s">
        <v>187</v>
      </c>
      <c r="D1314" s="5" t="s">
        <v>188</v>
      </c>
      <c r="E1314" s="5" t="s">
        <v>60</v>
      </c>
      <c r="F1314" s="21" t="n">
        <v>0.104000002145767</v>
      </c>
      <c r="G1314" s="21" t="n">
        <v>0</v>
      </c>
      <c r="H1314" s="22" t="n">
        <f aca="false">F1314+G1314</f>
        <v>0.104000002145767</v>
      </c>
      <c r="I1314" s="13" t="n">
        <f aca="false">INDEX(RM_Rates!$F$5:$F$137,MATCH(C1314,RM_Rates!$A$5:$A$137,0))</f>
        <v>0.675000011920929</v>
      </c>
      <c r="J1314" s="22" t="n">
        <f aca="false">H1314*I1314</f>
        <v>0.0702000026881694</v>
      </c>
    </row>
    <row r="1315" customFormat="false" ht="15" hidden="false" customHeight="false" outlineLevel="0" collapsed="false">
      <c r="A1315" s="5" t="s">
        <v>622</v>
      </c>
      <c r="B1315" s="2" t="s">
        <v>733</v>
      </c>
      <c r="C1315" s="5" t="s">
        <v>198</v>
      </c>
      <c r="D1315" s="5" t="s">
        <v>199</v>
      </c>
      <c r="E1315" s="5" t="s">
        <v>166</v>
      </c>
      <c r="F1315" s="21" t="n">
        <v>0.046000000089407</v>
      </c>
      <c r="G1315" s="21" t="n">
        <v>0</v>
      </c>
      <c r="H1315" s="22" t="n">
        <f aca="false">F1315+G1315</f>
        <v>0.046000000089407</v>
      </c>
      <c r="I1315" s="13" t="n">
        <f aca="false">INDEX(RM_Rates!$F$5:$F$137,MATCH(C1315,RM_Rates!$A$5:$A$137,0))</f>
        <v>3.43300008773804</v>
      </c>
      <c r="J1315" s="22" t="n">
        <f aca="false">H1315*I1315</f>
        <v>0.157918004342884</v>
      </c>
    </row>
    <row r="1316" customFormat="false" ht="15" hidden="false" customHeight="false" outlineLevel="0" collapsed="false">
      <c r="A1316" s="5" t="s">
        <v>624</v>
      </c>
      <c r="B1316" s="2" t="s">
        <v>734</v>
      </c>
      <c r="C1316" s="5" t="s">
        <v>86</v>
      </c>
      <c r="D1316" s="5" t="s">
        <v>87</v>
      </c>
      <c r="E1316" s="5" t="s">
        <v>72</v>
      </c>
      <c r="F1316" s="21" t="n">
        <v>150.591003417969</v>
      </c>
      <c r="G1316" s="21" t="n">
        <v>0.10700000077486</v>
      </c>
      <c r="H1316" s="22" t="n">
        <f aca="false">F1316+G1316</f>
        <v>150.698003418744</v>
      </c>
      <c r="I1316" s="13" t="n">
        <f aca="false">INDEX(RM_Rates!$F$5:$F$137,MATCH(C1316,RM_Rates!$A$5:$A$137,0))</f>
        <v>1.997936</v>
      </c>
      <c r="J1316" s="22" t="n">
        <f aca="false">H1316*I1316</f>
        <v>301.084966158431</v>
      </c>
    </row>
    <row r="1317" customFormat="false" ht="15" hidden="false" customHeight="false" outlineLevel="0" collapsed="false">
      <c r="A1317" s="5" t="s">
        <v>624</v>
      </c>
      <c r="B1317" s="2" t="s">
        <v>734</v>
      </c>
      <c r="C1317" s="5" t="s">
        <v>326</v>
      </c>
      <c r="D1317" s="5" t="s">
        <v>327</v>
      </c>
      <c r="E1317" s="5" t="s">
        <v>72</v>
      </c>
      <c r="F1317" s="21" t="n">
        <v>43.1269989013672</v>
      </c>
      <c r="G1317" s="21" t="n">
        <v>0.305000007152557</v>
      </c>
      <c r="H1317" s="22" t="n">
        <f aca="false">F1317+G1317</f>
        <v>43.4319989085198</v>
      </c>
      <c r="I1317" s="13" t="n">
        <f aca="false">INDEX(RM_Rates!$F$5:$F$137,MATCH(C1317,RM_Rates!$A$5:$A$137,0))</f>
        <v>0.596000015735626</v>
      </c>
      <c r="J1317" s="22" t="n">
        <f aca="false">H1317*I1317</f>
        <v>25.8854720329075</v>
      </c>
    </row>
    <row r="1318" customFormat="false" ht="15" hidden="false" customHeight="false" outlineLevel="0" collapsed="false">
      <c r="A1318" s="5" t="s">
        <v>624</v>
      </c>
      <c r="B1318" s="2" t="s">
        <v>734</v>
      </c>
      <c r="C1318" s="5" t="s">
        <v>324</v>
      </c>
      <c r="D1318" s="5" t="s">
        <v>325</v>
      </c>
      <c r="E1318" s="5" t="s">
        <v>72</v>
      </c>
      <c r="F1318" s="21" t="n">
        <v>2.37198495864868</v>
      </c>
      <c r="G1318" s="21" t="n">
        <v>0.017000000923872</v>
      </c>
      <c r="H1318" s="22" t="n">
        <f aca="false">F1318+G1318</f>
        <v>2.38898495957255</v>
      </c>
      <c r="I1318" s="13" t="n">
        <f aca="false">INDEX(RM_Rates!$F$5:$F$137,MATCH(C1318,RM_Rates!$A$5:$A$137,0))</f>
        <v>1.35229277610779</v>
      </c>
      <c r="J1318" s="22" t="n">
        <f aca="false">H1318*I1318</f>
        <v>3.23060710306012</v>
      </c>
    </row>
    <row r="1319" customFormat="false" ht="15" hidden="false" customHeight="false" outlineLevel="0" collapsed="false">
      <c r="A1319" s="5" t="s">
        <v>624</v>
      </c>
      <c r="B1319" s="2" t="s">
        <v>734</v>
      </c>
      <c r="C1319" s="5" t="s">
        <v>320</v>
      </c>
      <c r="D1319" s="5" t="s">
        <v>321</v>
      </c>
      <c r="E1319" s="5" t="s">
        <v>72</v>
      </c>
      <c r="F1319" s="21" t="n">
        <v>0.64690500497818</v>
      </c>
      <c r="G1319" s="21" t="n">
        <v>0.00499999988824129</v>
      </c>
      <c r="H1319" s="22" t="n">
        <f aca="false">F1319+G1319</f>
        <v>0.651905004866421</v>
      </c>
      <c r="I1319" s="13" t="n">
        <f aca="false">INDEX(RM_Rates!$F$5:$F$137,MATCH(C1319,RM_Rates!$A$5:$A$137,0))</f>
        <v>1.6441433429718</v>
      </c>
      <c r="J1319" s="22" t="n">
        <f aca="false">H1319*I1319</f>
        <v>1.07182527400113</v>
      </c>
    </row>
    <row r="1320" customFormat="false" ht="15" hidden="false" customHeight="false" outlineLevel="0" collapsed="false">
      <c r="A1320" s="5" t="s">
        <v>624</v>
      </c>
      <c r="B1320" s="2" t="s">
        <v>734</v>
      </c>
      <c r="C1320" s="5" t="s">
        <v>202</v>
      </c>
      <c r="D1320" s="5" t="s">
        <v>203</v>
      </c>
      <c r="E1320" s="5" t="s">
        <v>72</v>
      </c>
      <c r="F1320" s="21" t="n">
        <v>0.899999976158142</v>
      </c>
      <c r="G1320" s="21" t="n">
        <v>0</v>
      </c>
      <c r="H1320" s="22" t="n">
        <f aca="false">F1320+G1320</f>
        <v>0.899999976158142</v>
      </c>
      <c r="I1320" s="13" t="n">
        <f aca="false">INDEX(RM_Rates!$F$5:$F$137,MATCH(C1320,RM_Rates!$A$5:$A$137,0))</f>
        <v>0.750177025794983</v>
      </c>
      <c r="J1320" s="22" t="n">
        <f aca="false">H1320*I1320</f>
        <v>0.675159305329871</v>
      </c>
    </row>
    <row r="1321" customFormat="false" ht="15" hidden="false" customHeight="false" outlineLevel="0" collapsed="false">
      <c r="A1321" s="5" t="s">
        <v>624</v>
      </c>
      <c r="B1321" s="2" t="s">
        <v>734</v>
      </c>
      <c r="C1321" s="5" t="s">
        <v>240</v>
      </c>
      <c r="D1321" s="5" t="s">
        <v>241</v>
      </c>
      <c r="E1321" s="5" t="s">
        <v>72</v>
      </c>
      <c r="F1321" s="21" t="n">
        <v>172.399993896484</v>
      </c>
      <c r="G1321" s="21" t="n">
        <v>3.44799995422363</v>
      </c>
      <c r="H1321" s="22" t="n">
        <f aca="false">F1321+G1321</f>
        <v>175.847993850708</v>
      </c>
      <c r="I1321" s="13" t="n">
        <f aca="false">INDEX(RM_Rates!$F$5:$F$137,MATCH(C1321,RM_Rates!$A$5:$A$137,0))</f>
        <v>0.363999992609024</v>
      </c>
      <c r="J1321" s="22" t="n">
        <f aca="false">H1321*I1321</f>
        <v>64.0086684619693</v>
      </c>
    </row>
    <row r="1322" customFormat="false" ht="15" hidden="false" customHeight="false" outlineLevel="0" collapsed="false">
      <c r="A1322" s="5" t="s">
        <v>624</v>
      </c>
      <c r="B1322" s="2" t="s">
        <v>734</v>
      </c>
      <c r="C1322" s="5" t="s">
        <v>269</v>
      </c>
      <c r="D1322" s="5" t="s">
        <v>270</v>
      </c>
      <c r="E1322" s="5" t="s">
        <v>72</v>
      </c>
      <c r="F1322" s="21" t="n">
        <v>281.299987792969</v>
      </c>
      <c r="G1322" s="21" t="n">
        <v>2.81299996376038</v>
      </c>
      <c r="H1322" s="22" t="n">
        <f aca="false">F1322+G1322</f>
        <v>284.112987756729</v>
      </c>
      <c r="I1322" s="13" t="n">
        <f aca="false">INDEX(RM_Rates!$F$5:$F$137,MATCH(C1322,RM_Rates!$A$5:$A$137,0))</f>
        <v>0.452080339193344</v>
      </c>
      <c r="J1322" s="22" t="n">
        <f aca="false">H1322*I1322</f>
        <v>128.441895874297</v>
      </c>
    </row>
    <row r="1323" customFormat="false" ht="15" hidden="false" customHeight="false" outlineLevel="0" collapsed="false">
      <c r="A1323" s="5" t="s">
        <v>624</v>
      </c>
      <c r="B1323" s="2" t="s">
        <v>734</v>
      </c>
      <c r="C1323" s="5" t="s">
        <v>281</v>
      </c>
      <c r="D1323" s="5" t="s">
        <v>282</v>
      </c>
      <c r="E1323" s="5" t="s">
        <v>166</v>
      </c>
      <c r="F1323" s="21" t="n">
        <v>1</v>
      </c>
      <c r="G1323" s="21" t="n">
        <v>0</v>
      </c>
      <c r="H1323" s="22" t="n">
        <f aca="false">F1323+G1323</f>
        <v>1</v>
      </c>
      <c r="I1323" s="13" t="n">
        <f aca="false">INDEX(RM_Rates!$F$5:$F$137,MATCH(C1323,RM_Rates!$A$5:$A$137,0))</f>
        <v>31.1947288513184</v>
      </c>
      <c r="J1323" s="22" t="n">
        <f aca="false">H1323*I1323</f>
        <v>31.1947288513184</v>
      </c>
    </row>
    <row r="1324" customFormat="false" ht="15" hidden="false" customHeight="false" outlineLevel="0" collapsed="false">
      <c r="A1324" s="5" t="s">
        <v>624</v>
      </c>
      <c r="B1324" s="2" t="s">
        <v>734</v>
      </c>
      <c r="C1324" s="5" t="s">
        <v>169</v>
      </c>
      <c r="D1324" s="5" t="s">
        <v>170</v>
      </c>
      <c r="E1324" s="5" t="s">
        <v>166</v>
      </c>
      <c r="F1324" s="21" t="n">
        <v>2</v>
      </c>
      <c r="G1324" s="21" t="n">
        <v>0</v>
      </c>
      <c r="H1324" s="22" t="n">
        <f aca="false">F1324+G1324</f>
        <v>2</v>
      </c>
      <c r="I1324" s="13" t="n">
        <f aca="false">INDEX(RM_Rates!$F$5:$F$137,MATCH(C1324,RM_Rates!$A$5:$A$137,0))</f>
        <v>0.124766282737255</v>
      </c>
      <c r="J1324" s="22" t="n">
        <f aca="false">H1324*I1324</f>
        <v>0.24953256547451</v>
      </c>
    </row>
    <row r="1325" customFormat="false" ht="15" hidden="false" customHeight="false" outlineLevel="0" collapsed="false">
      <c r="A1325" s="5" t="s">
        <v>624</v>
      </c>
      <c r="B1325" s="2" t="s">
        <v>734</v>
      </c>
      <c r="C1325" s="5" t="s">
        <v>308</v>
      </c>
      <c r="D1325" s="5" t="s">
        <v>309</v>
      </c>
      <c r="E1325" s="5" t="s">
        <v>297</v>
      </c>
      <c r="F1325" s="21" t="n">
        <v>3.5</v>
      </c>
      <c r="G1325" s="21" t="n">
        <v>0</v>
      </c>
      <c r="H1325" s="22" t="n">
        <f aca="false">F1325+G1325</f>
        <v>3.5</v>
      </c>
      <c r="I1325" s="13" t="n">
        <f aca="false">INDEX(RM_Rates!$F$5:$F$137,MATCH(C1325,RM_Rates!$A$5:$A$137,0))</f>
        <v>1.40752077102661</v>
      </c>
      <c r="J1325" s="22" t="n">
        <f aca="false">H1325*I1325</f>
        <v>4.92632269859314</v>
      </c>
    </row>
    <row r="1326" customFormat="false" ht="15" hidden="false" customHeight="false" outlineLevel="0" collapsed="false">
      <c r="A1326" s="5" t="s">
        <v>624</v>
      </c>
      <c r="B1326" s="2" t="s">
        <v>734</v>
      </c>
      <c r="C1326" s="5" t="s">
        <v>189</v>
      </c>
      <c r="D1326" s="5" t="s">
        <v>190</v>
      </c>
      <c r="E1326" s="5" t="s">
        <v>60</v>
      </c>
      <c r="F1326" s="21" t="n">
        <v>0.349999994039536</v>
      </c>
      <c r="G1326" s="21" t="n">
        <v>0</v>
      </c>
      <c r="H1326" s="22" t="n">
        <f aca="false">F1326+G1326</f>
        <v>0.349999994039536</v>
      </c>
      <c r="I1326" s="13" t="n">
        <f aca="false">INDEX(RM_Rates!$F$5:$F$137,MATCH(C1326,RM_Rates!$A$5:$A$137,0))</f>
        <v>0.568400025367737</v>
      </c>
      <c r="J1326" s="22" t="n">
        <f aca="false">H1326*I1326</f>
        <v>0.19894000549078</v>
      </c>
    </row>
    <row r="1327" customFormat="false" ht="15" hidden="false" customHeight="false" outlineLevel="0" collapsed="false">
      <c r="A1327" s="5" t="s">
        <v>626</v>
      </c>
      <c r="B1327" s="2" t="s">
        <v>735</v>
      </c>
      <c r="C1327" s="5" t="s">
        <v>106</v>
      </c>
      <c r="D1327" s="5" t="s">
        <v>107</v>
      </c>
      <c r="E1327" s="5" t="s">
        <v>72</v>
      </c>
      <c r="F1327" s="21" t="n">
        <v>822</v>
      </c>
      <c r="G1327" s="21" t="n">
        <v>4.1100001335144</v>
      </c>
      <c r="H1327" s="22" t="n">
        <f aca="false">F1327+G1327</f>
        <v>826.110000133514</v>
      </c>
      <c r="I1327" s="13" t="n">
        <f aca="false">INDEX(RM_Rates!$F$5:$F$137,MATCH(C1327,RM_Rates!$A$5:$A$137,0))</f>
        <v>1.969372</v>
      </c>
      <c r="J1327" s="22" t="n">
        <f aca="false">H1327*I1327</f>
        <v>1626.91790318294</v>
      </c>
    </row>
    <row r="1328" customFormat="false" ht="15" hidden="false" customHeight="false" outlineLevel="0" collapsed="false">
      <c r="A1328" s="5" t="s">
        <v>626</v>
      </c>
      <c r="B1328" s="2" t="s">
        <v>735</v>
      </c>
      <c r="C1328" s="5" t="s">
        <v>291</v>
      </c>
      <c r="D1328" s="5" t="s">
        <v>292</v>
      </c>
      <c r="E1328" s="5" t="s">
        <v>166</v>
      </c>
      <c r="F1328" s="21" t="n">
        <v>1</v>
      </c>
      <c r="G1328" s="21" t="n">
        <v>0</v>
      </c>
      <c r="H1328" s="22" t="n">
        <f aca="false">F1328+G1328</f>
        <v>1</v>
      </c>
      <c r="I1328" s="13" t="n">
        <f aca="false">INDEX(RM_Rates!$F$5:$F$137,MATCH(C1328,RM_Rates!$A$5:$A$137,0))</f>
        <v>11.2344932556152</v>
      </c>
      <c r="J1328" s="22" t="n">
        <f aca="false">H1328*I1328</f>
        <v>11.2344932556152</v>
      </c>
    </row>
    <row r="1329" customFormat="false" ht="15" hidden="false" customHeight="false" outlineLevel="0" collapsed="false">
      <c r="A1329" s="5" t="s">
        <v>626</v>
      </c>
      <c r="B1329" s="2" t="s">
        <v>735</v>
      </c>
      <c r="C1329" s="5" t="s">
        <v>167</v>
      </c>
      <c r="D1329" s="5" t="s">
        <v>168</v>
      </c>
      <c r="E1329" s="5" t="s">
        <v>166</v>
      </c>
      <c r="F1329" s="21" t="n">
        <v>2</v>
      </c>
      <c r="G1329" s="21" t="n">
        <v>0</v>
      </c>
      <c r="H1329" s="22" t="n">
        <f aca="false">F1329+G1329</f>
        <v>2</v>
      </c>
      <c r="I1329" s="13" t="n">
        <f aca="false">INDEX(RM_Rates!$F$5:$F$137,MATCH(C1329,RM_Rates!$A$5:$A$137,0))</f>
        <v>0.124766282737255</v>
      </c>
      <c r="J1329" s="22" t="n">
        <f aca="false">H1329*I1329</f>
        <v>0.24953256547451</v>
      </c>
    </row>
    <row r="1330" customFormat="false" ht="15" hidden="false" customHeight="false" outlineLevel="0" collapsed="false">
      <c r="A1330" s="5" t="s">
        <v>626</v>
      </c>
      <c r="B1330" s="2" t="s">
        <v>735</v>
      </c>
      <c r="C1330" s="5" t="s">
        <v>306</v>
      </c>
      <c r="D1330" s="5" t="s">
        <v>307</v>
      </c>
      <c r="E1330" s="5" t="s">
        <v>297</v>
      </c>
      <c r="F1330" s="21" t="n">
        <v>2.5</v>
      </c>
      <c r="G1330" s="21" t="n">
        <v>0</v>
      </c>
      <c r="H1330" s="22" t="n">
        <f aca="false">F1330+G1330</f>
        <v>2.5</v>
      </c>
      <c r="I1330" s="13" t="n">
        <f aca="false">INDEX(RM_Rates!$F$5:$F$137,MATCH(C1330,RM_Rates!$A$5:$A$137,0))</f>
        <v>1.40752077102661</v>
      </c>
      <c r="J1330" s="22" t="n">
        <f aca="false">H1330*I1330</f>
        <v>3.51880192756652</v>
      </c>
    </row>
    <row r="1331" customFormat="false" ht="15" hidden="false" customHeight="false" outlineLevel="0" collapsed="false">
      <c r="A1331" s="5" t="s">
        <v>626</v>
      </c>
      <c r="B1331" s="2" t="s">
        <v>735</v>
      </c>
      <c r="C1331" s="5" t="s">
        <v>189</v>
      </c>
      <c r="D1331" s="5" t="s">
        <v>190</v>
      </c>
      <c r="E1331" s="5" t="s">
        <v>60</v>
      </c>
      <c r="F1331" s="21" t="n">
        <v>0.159999996423721</v>
      </c>
      <c r="G1331" s="21" t="n">
        <v>0</v>
      </c>
      <c r="H1331" s="22" t="n">
        <f aca="false">F1331+G1331</f>
        <v>0.159999996423721</v>
      </c>
      <c r="I1331" s="13" t="n">
        <f aca="false">INDEX(RM_Rates!$F$5:$F$137,MATCH(C1331,RM_Rates!$A$5:$A$137,0))</f>
        <v>0.568400025367737</v>
      </c>
      <c r="J1331" s="22" t="n">
        <f aca="false">H1331*I1331</f>
        <v>0.0909440020260809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5"/>
  </cols>
  <sheetData>
    <row r="1" customFormat="false" ht="17.35" hidden="false" customHeight="false" outlineLevel="0" collapsed="false">
      <c r="A1" s="1" t="s">
        <v>736</v>
      </c>
    </row>
    <row r="2" customFormat="false" ht="15" hidden="false" customHeight="false" outlineLevel="0" collapsed="false">
      <c r="A2" s="2" t="s">
        <v>737</v>
      </c>
    </row>
    <row r="4" customFormat="false" ht="15" hidden="false" customHeight="false" outlineLevel="0" collapsed="false">
      <c r="A4" s="7" t="s">
        <v>384</v>
      </c>
      <c r="B4" s="7" t="s">
        <v>631</v>
      </c>
      <c r="C4" s="7" t="s">
        <v>332</v>
      </c>
      <c r="D4" s="7" t="s">
        <v>738</v>
      </c>
      <c r="E4" s="7" t="s">
        <v>387</v>
      </c>
      <c r="F4" s="7" t="s">
        <v>334</v>
      </c>
      <c r="G4" s="7" t="s">
        <v>739</v>
      </c>
    </row>
    <row r="5" customFormat="false" ht="15" hidden="false" customHeight="false" outlineLevel="0" collapsed="false">
      <c r="A5" s="5" t="s">
        <v>406</v>
      </c>
      <c r="B5" s="2" t="s">
        <v>637</v>
      </c>
      <c r="C5" s="5" t="s">
        <v>370</v>
      </c>
      <c r="D5" s="21" t="n">
        <v>0.827</v>
      </c>
      <c r="E5" s="23" t="n">
        <v>1</v>
      </c>
      <c r="F5" s="13" t="n">
        <f aca="false">INDEX(Machine_Rates!$C$5:$C$38,MATCH(C5,Machine_Rates!$A$5:$A$38,0))</f>
        <v>0</v>
      </c>
      <c r="G5" s="22" t="n">
        <f aca="false">D5*E5*F5</f>
        <v>0</v>
      </c>
    </row>
    <row r="6" customFormat="false" ht="15" hidden="false" customHeight="false" outlineLevel="0" collapsed="false">
      <c r="A6" s="5" t="s">
        <v>406</v>
      </c>
      <c r="B6" s="2" t="s">
        <v>637</v>
      </c>
      <c r="C6" s="5" t="s">
        <v>345</v>
      </c>
      <c r="D6" s="21" t="n">
        <v>0.289</v>
      </c>
      <c r="E6" s="23" t="n">
        <v>1</v>
      </c>
      <c r="F6" s="13" t="n">
        <f aca="false">INDEX(Machine_Rates!$C$5:$C$38,MATCH(C6,Machine_Rates!$A$5:$A$38,0))</f>
        <v>4.1336</v>
      </c>
      <c r="G6" s="22" t="n">
        <f aca="false">D6*E6*F6</f>
        <v>1.1946104</v>
      </c>
    </row>
    <row r="7" customFormat="false" ht="15" hidden="false" customHeight="false" outlineLevel="0" collapsed="false">
      <c r="A7" s="5" t="s">
        <v>406</v>
      </c>
      <c r="B7" s="2" t="s">
        <v>637</v>
      </c>
      <c r="C7" s="5" t="s">
        <v>365</v>
      </c>
      <c r="D7" s="21" t="n">
        <v>0.154</v>
      </c>
      <c r="E7" s="23" t="n">
        <v>1</v>
      </c>
      <c r="F7" s="13" t="n">
        <f aca="false">INDEX(Machine_Rates!$C$5:$C$38,MATCH(C7,Machine_Rates!$A$5:$A$38,0))</f>
        <v>10.9057</v>
      </c>
      <c r="G7" s="22" t="n">
        <f aca="false">D7*E7*F7</f>
        <v>1.6794778</v>
      </c>
    </row>
    <row r="8" customFormat="false" ht="15" hidden="false" customHeight="false" outlineLevel="0" collapsed="false">
      <c r="A8" s="5" t="s">
        <v>414</v>
      </c>
      <c r="B8" s="2" t="s">
        <v>638</v>
      </c>
      <c r="C8" s="5" t="s">
        <v>370</v>
      </c>
      <c r="D8" s="21" t="n">
        <v>1.102</v>
      </c>
      <c r="E8" s="23" t="n">
        <v>1</v>
      </c>
      <c r="F8" s="13" t="n">
        <f aca="false">INDEX(Machine_Rates!$C$5:$C$38,MATCH(C8,Machine_Rates!$A$5:$A$38,0))</f>
        <v>0</v>
      </c>
      <c r="G8" s="22" t="n">
        <f aca="false">D8*E8*F8</f>
        <v>0</v>
      </c>
    </row>
    <row r="9" customFormat="false" ht="15" hidden="false" customHeight="false" outlineLevel="0" collapsed="false">
      <c r="A9" s="5" t="s">
        <v>414</v>
      </c>
      <c r="B9" s="2" t="s">
        <v>638</v>
      </c>
      <c r="C9" s="5" t="s">
        <v>345</v>
      </c>
      <c r="D9" s="21" t="n">
        <v>0.254</v>
      </c>
      <c r="E9" s="23" t="n">
        <v>1</v>
      </c>
      <c r="F9" s="13" t="n">
        <f aca="false">INDEX(Machine_Rates!$C$5:$C$38,MATCH(C9,Machine_Rates!$A$5:$A$38,0))</f>
        <v>4.1336</v>
      </c>
      <c r="G9" s="22" t="n">
        <f aca="false">D9*E9*F9</f>
        <v>1.0499344</v>
      </c>
    </row>
    <row r="10" customFormat="false" ht="15" hidden="false" customHeight="false" outlineLevel="0" collapsed="false">
      <c r="A10" s="5" t="s">
        <v>414</v>
      </c>
      <c r="B10" s="2" t="s">
        <v>638</v>
      </c>
      <c r="C10" s="5" t="s">
        <v>365</v>
      </c>
      <c r="D10" s="21" t="n">
        <v>0.178</v>
      </c>
      <c r="E10" s="23" t="n">
        <v>1</v>
      </c>
      <c r="F10" s="13" t="n">
        <f aca="false">INDEX(Machine_Rates!$C$5:$C$38,MATCH(C10,Machine_Rates!$A$5:$A$38,0))</f>
        <v>10.9057</v>
      </c>
      <c r="G10" s="22" t="n">
        <f aca="false">D10*E10*F10</f>
        <v>1.9412146</v>
      </c>
    </row>
    <row r="11" customFormat="false" ht="15" hidden="false" customHeight="false" outlineLevel="0" collapsed="false">
      <c r="A11" s="5" t="s">
        <v>416</v>
      </c>
      <c r="B11" s="2" t="s">
        <v>639</v>
      </c>
      <c r="C11" s="5" t="s">
        <v>372</v>
      </c>
      <c r="D11" s="21" t="n">
        <v>1.102</v>
      </c>
      <c r="E11" s="23" t="n">
        <v>1</v>
      </c>
      <c r="F11" s="13" t="n">
        <f aca="false">INDEX(Machine_Rates!$C$5:$C$38,MATCH(C11,Machine_Rates!$A$5:$A$38,0))</f>
        <v>0</v>
      </c>
      <c r="G11" s="22" t="n">
        <f aca="false">D11*E11*F11</f>
        <v>0</v>
      </c>
    </row>
    <row r="12" customFormat="false" ht="15" hidden="false" customHeight="false" outlineLevel="0" collapsed="false">
      <c r="A12" s="5" t="s">
        <v>416</v>
      </c>
      <c r="B12" s="2" t="s">
        <v>639</v>
      </c>
      <c r="C12" s="5" t="s">
        <v>345</v>
      </c>
      <c r="D12" s="21" t="n">
        <v>0.205</v>
      </c>
      <c r="E12" s="23" t="n">
        <v>1</v>
      </c>
      <c r="F12" s="13" t="n">
        <f aca="false">INDEX(Machine_Rates!$C$5:$C$38,MATCH(C12,Machine_Rates!$A$5:$A$38,0))</f>
        <v>4.1336</v>
      </c>
      <c r="G12" s="22" t="n">
        <f aca="false">D12*E12*F12</f>
        <v>0.847388</v>
      </c>
    </row>
    <row r="13" customFormat="false" ht="15" hidden="false" customHeight="false" outlineLevel="0" collapsed="false">
      <c r="A13" s="5" t="s">
        <v>416</v>
      </c>
      <c r="B13" s="2" t="s">
        <v>639</v>
      </c>
      <c r="C13" s="5" t="s">
        <v>365</v>
      </c>
      <c r="D13" s="21" t="n">
        <v>0.193</v>
      </c>
      <c r="E13" s="23" t="n">
        <v>1</v>
      </c>
      <c r="F13" s="13" t="n">
        <f aca="false">INDEX(Machine_Rates!$C$5:$C$38,MATCH(C13,Machine_Rates!$A$5:$A$38,0))</f>
        <v>10.9057</v>
      </c>
      <c r="G13" s="22" t="n">
        <f aca="false">D13*E13*F13</f>
        <v>2.1048001</v>
      </c>
    </row>
    <row r="14" customFormat="false" ht="15" hidden="false" customHeight="false" outlineLevel="0" collapsed="false">
      <c r="A14" s="5" t="s">
        <v>418</v>
      </c>
      <c r="B14" s="2" t="s">
        <v>640</v>
      </c>
      <c r="C14" s="5" t="s">
        <v>370</v>
      </c>
      <c r="D14" s="21" t="n">
        <v>2.179</v>
      </c>
      <c r="E14" s="23" t="n">
        <v>1</v>
      </c>
      <c r="F14" s="13" t="n">
        <f aca="false">INDEX(Machine_Rates!$C$5:$C$38,MATCH(C14,Machine_Rates!$A$5:$A$38,0))</f>
        <v>0</v>
      </c>
      <c r="G14" s="22" t="n">
        <f aca="false">D14*E14*F14</f>
        <v>0</v>
      </c>
    </row>
    <row r="15" customFormat="false" ht="15" hidden="false" customHeight="false" outlineLevel="0" collapsed="false">
      <c r="A15" s="5" t="s">
        <v>418</v>
      </c>
      <c r="B15" s="2" t="s">
        <v>640</v>
      </c>
      <c r="C15" s="5" t="s">
        <v>345</v>
      </c>
      <c r="D15" s="21" t="n">
        <v>0.176</v>
      </c>
      <c r="E15" s="23" t="n">
        <v>1</v>
      </c>
      <c r="F15" s="13" t="n">
        <f aca="false">INDEX(Machine_Rates!$C$5:$C$38,MATCH(C15,Machine_Rates!$A$5:$A$38,0))</f>
        <v>4.1336</v>
      </c>
      <c r="G15" s="22" t="n">
        <f aca="false">D15*E15*F15</f>
        <v>0.7275136</v>
      </c>
    </row>
    <row r="16" customFormat="false" ht="15" hidden="false" customHeight="false" outlineLevel="0" collapsed="false">
      <c r="A16" s="5" t="s">
        <v>418</v>
      </c>
      <c r="B16" s="2" t="s">
        <v>640</v>
      </c>
      <c r="C16" s="5" t="s">
        <v>365</v>
      </c>
      <c r="D16" s="21" t="n">
        <v>0.247</v>
      </c>
      <c r="E16" s="23" t="n">
        <v>1</v>
      </c>
      <c r="F16" s="13" t="n">
        <f aca="false">INDEX(Machine_Rates!$C$5:$C$38,MATCH(C16,Machine_Rates!$A$5:$A$38,0))</f>
        <v>10.9057</v>
      </c>
      <c r="G16" s="22" t="n">
        <f aca="false">D16*E16*F16</f>
        <v>2.6937079</v>
      </c>
    </row>
    <row r="17" customFormat="false" ht="15" hidden="false" customHeight="false" outlineLevel="0" collapsed="false">
      <c r="A17" s="5" t="s">
        <v>420</v>
      </c>
      <c r="B17" s="2" t="s">
        <v>641</v>
      </c>
      <c r="C17" s="5" t="s">
        <v>370</v>
      </c>
      <c r="D17" s="21" t="n">
        <v>1.102</v>
      </c>
      <c r="E17" s="23" t="n">
        <v>1</v>
      </c>
      <c r="F17" s="13" t="n">
        <f aca="false">INDEX(Machine_Rates!$C$5:$C$38,MATCH(C17,Machine_Rates!$A$5:$A$38,0))</f>
        <v>0</v>
      </c>
      <c r="G17" s="22" t="n">
        <f aca="false">D17*E17*F17</f>
        <v>0</v>
      </c>
    </row>
    <row r="18" customFormat="false" ht="15" hidden="false" customHeight="false" outlineLevel="0" collapsed="false">
      <c r="A18" s="5" t="s">
        <v>420</v>
      </c>
      <c r="B18" s="2" t="s">
        <v>641</v>
      </c>
      <c r="C18" s="5" t="s">
        <v>345</v>
      </c>
      <c r="D18" s="21" t="n">
        <v>0.205</v>
      </c>
      <c r="E18" s="23" t="n">
        <v>1</v>
      </c>
      <c r="F18" s="13" t="n">
        <f aca="false">INDEX(Machine_Rates!$C$5:$C$38,MATCH(C18,Machine_Rates!$A$5:$A$38,0))</f>
        <v>4.1336</v>
      </c>
      <c r="G18" s="22" t="n">
        <f aca="false">D18*E18*F18</f>
        <v>0.847388</v>
      </c>
    </row>
    <row r="19" customFormat="false" ht="15" hidden="false" customHeight="false" outlineLevel="0" collapsed="false">
      <c r="A19" s="5" t="s">
        <v>420</v>
      </c>
      <c r="B19" s="2" t="s">
        <v>641</v>
      </c>
      <c r="C19" s="5" t="s">
        <v>348</v>
      </c>
      <c r="D19" s="21" t="n">
        <v>0.412</v>
      </c>
      <c r="E19" s="23" t="n">
        <v>1</v>
      </c>
      <c r="F19" s="13" t="n">
        <f aca="false">INDEX(Machine_Rates!$C$5:$C$38,MATCH(C19,Machine_Rates!$A$5:$A$38,0))</f>
        <v>4.4599</v>
      </c>
      <c r="G19" s="22" t="n">
        <f aca="false">D19*E19*F19</f>
        <v>1.8374788</v>
      </c>
    </row>
    <row r="20" customFormat="false" ht="15" hidden="false" customHeight="false" outlineLevel="0" collapsed="false">
      <c r="A20" s="5" t="s">
        <v>423</v>
      </c>
      <c r="B20" s="2" t="s">
        <v>642</v>
      </c>
      <c r="C20" s="5" t="s">
        <v>370</v>
      </c>
      <c r="D20" s="21" t="n">
        <v>1.21</v>
      </c>
      <c r="E20" s="23" t="n">
        <v>1</v>
      </c>
      <c r="F20" s="13" t="n">
        <f aca="false">INDEX(Machine_Rates!$C$5:$C$38,MATCH(C20,Machine_Rates!$A$5:$A$38,0))</f>
        <v>0</v>
      </c>
      <c r="G20" s="22" t="n">
        <f aca="false">D20*E20*F20</f>
        <v>0</v>
      </c>
    </row>
    <row r="21" customFormat="false" ht="15" hidden="false" customHeight="false" outlineLevel="0" collapsed="false">
      <c r="A21" s="5" t="s">
        <v>423</v>
      </c>
      <c r="B21" s="2" t="s">
        <v>642</v>
      </c>
      <c r="C21" s="5" t="s">
        <v>375</v>
      </c>
      <c r="D21" s="21" t="n">
        <v>0.871</v>
      </c>
      <c r="E21" s="23" t="n">
        <v>1</v>
      </c>
      <c r="F21" s="13" t="n">
        <f aca="false">INDEX(Machine_Rates!$C$5:$C$38,MATCH(C21,Machine_Rates!$A$5:$A$38,0))</f>
        <v>15.0115</v>
      </c>
      <c r="G21" s="22" t="n">
        <f aca="false">D21*E21*F21</f>
        <v>13.0750165</v>
      </c>
    </row>
    <row r="22" customFormat="false" ht="15" hidden="false" customHeight="false" outlineLevel="0" collapsed="false">
      <c r="A22" s="5" t="s">
        <v>423</v>
      </c>
      <c r="B22" s="2" t="s">
        <v>642</v>
      </c>
      <c r="C22" s="5" t="s">
        <v>365</v>
      </c>
      <c r="D22" s="21" t="n">
        <v>0.353</v>
      </c>
      <c r="E22" s="23" t="n">
        <v>1</v>
      </c>
      <c r="F22" s="13" t="n">
        <f aca="false">INDEX(Machine_Rates!$C$5:$C$38,MATCH(C22,Machine_Rates!$A$5:$A$38,0))</f>
        <v>10.9057</v>
      </c>
      <c r="G22" s="22" t="n">
        <f aca="false">D22*E22*F22</f>
        <v>3.8497121</v>
      </c>
    </row>
    <row r="23" customFormat="false" ht="15" hidden="false" customHeight="false" outlineLevel="0" collapsed="false">
      <c r="A23" s="5" t="s">
        <v>425</v>
      </c>
      <c r="B23" s="2" t="s">
        <v>643</v>
      </c>
      <c r="C23" s="5" t="s">
        <v>370</v>
      </c>
      <c r="D23" s="21" t="n">
        <v>0.723</v>
      </c>
      <c r="E23" s="23" t="n">
        <v>1</v>
      </c>
      <c r="F23" s="13" t="n">
        <f aca="false">INDEX(Machine_Rates!$C$5:$C$38,MATCH(C23,Machine_Rates!$A$5:$A$38,0))</f>
        <v>0</v>
      </c>
      <c r="G23" s="22" t="n">
        <f aca="false">D23*E23*F23</f>
        <v>0</v>
      </c>
    </row>
    <row r="24" customFormat="false" ht="15" hidden="false" customHeight="false" outlineLevel="0" collapsed="false">
      <c r="A24" s="5" t="s">
        <v>425</v>
      </c>
      <c r="B24" s="2" t="s">
        <v>643</v>
      </c>
      <c r="C24" s="5" t="s">
        <v>339</v>
      </c>
      <c r="D24" s="21" t="n">
        <v>0.217</v>
      </c>
      <c r="E24" s="23" t="n">
        <v>1</v>
      </c>
      <c r="F24" s="13" t="n">
        <f aca="false">INDEX(Machine_Rates!$C$5:$C$38,MATCH(C24,Machine_Rates!$A$5:$A$38,0))</f>
        <v>4.129</v>
      </c>
      <c r="G24" s="22" t="n">
        <f aca="false">D24*E24*F24</f>
        <v>0.895993</v>
      </c>
    </row>
    <row r="25" customFormat="false" ht="15" hidden="false" customHeight="false" outlineLevel="0" collapsed="false">
      <c r="A25" s="5" t="s">
        <v>425</v>
      </c>
      <c r="B25" s="2" t="s">
        <v>643</v>
      </c>
      <c r="C25" s="5" t="s">
        <v>364</v>
      </c>
      <c r="D25" s="21" t="n">
        <v>0.116</v>
      </c>
      <c r="E25" s="23" t="n">
        <v>1</v>
      </c>
      <c r="F25" s="13" t="n">
        <f aca="false">INDEX(Machine_Rates!$C$5:$C$38,MATCH(C25,Machine_Rates!$A$5:$A$38,0))</f>
        <v>8.4956</v>
      </c>
      <c r="G25" s="22" t="n">
        <f aca="false">D25*E25*F25</f>
        <v>0.9854896</v>
      </c>
    </row>
    <row r="26" customFormat="false" ht="15" hidden="false" customHeight="false" outlineLevel="0" collapsed="false">
      <c r="A26" s="5" t="s">
        <v>427</v>
      </c>
      <c r="B26" s="2" t="s">
        <v>644</v>
      </c>
      <c r="C26" s="5" t="s">
        <v>370</v>
      </c>
      <c r="D26" s="21" t="n">
        <v>0.01</v>
      </c>
      <c r="E26" s="23" t="n">
        <v>40.7999992370606</v>
      </c>
      <c r="F26" s="13" t="n">
        <f aca="false">INDEX(Machine_Rates!$C$5:$C$38,MATCH(C26,Machine_Rates!$A$5:$A$38,0))</f>
        <v>0</v>
      </c>
      <c r="G26" s="22" t="n">
        <f aca="false">D26*E26*F26</f>
        <v>0</v>
      </c>
    </row>
    <row r="27" customFormat="false" ht="15" hidden="false" customHeight="false" outlineLevel="0" collapsed="false">
      <c r="A27" s="5" t="s">
        <v>427</v>
      </c>
      <c r="B27" s="2" t="s">
        <v>644</v>
      </c>
      <c r="C27" s="5" t="s">
        <v>368</v>
      </c>
      <c r="D27" s="21" t="n">
        <v>0.926</v>
      </c>
      <c r="E27" s="23" t="n">
        <v>50.3999977111816</v>
      </c>
      <c r="F27" s="13" t="n">
        <f aca="false">INDEX(Machine_Rates!$C$5:$C$38,MATCH(C27,Machine_Rates!$A$5:$A$38,0))</f>
        <v>0</v>
      </c>
      <c r="G27" s="22" t="n">
        <f aca="false">D27*E27*F27</f>
        <v>0</v>
      </c>
    </row>
    <row r="28" customFormat="false" ht="15" hidden="false" customHeight="false" outlineLevel="0" collapsed="false">
      <c r="A28" s="5" t="s">
        <v>427</v>
      </c>
      <c r="B28" s="2" t="s">
        <v>644</v>
      </c>
      <c r="C28" s="5" t="s">
        <v>364</v>
      </c>
      <c r="D28" s="21" t="n">
        <v>0.039</v>
      </c>
      <c r="E28" s="23" t="n">
        <v>20.3999996185303</v>
      </c>
      <c r="F28" s="13" t="n">
        <f aca="false">INDEX(Machine_Rates!$C$5:$C$38,MATCH(C28,Machine_Rates!$A$5:$A$38,0))</f>
        <v>8.4956</v>
      </c>
      <c r="G28" s="22" t="n">
        <f aca="false">D28*E28*F28</f>
        <v>6.75909923360825</v>
      </c>
    </row>
    <row r="29" customFormat="false" ht="15" hidden="false" customHeight="false" outlineLevel="0" collapsed="false">
      <c r="A29" s="5" t="s">
        <v>427</v>
      </c>
      <c r="B29" s="2" t="s">
        <v>644</v>
      </c>
      <c r="C29" s="5" t="s">
        <v>342</v>
      </c>
      <c r="D29" s="21" t="n">
        <v>0.617</v>
      </c>
      <c r="E29" s="23" t="n">
        <v>10.1999998092651</v>
      </c>
      <c r="F29" s="13" t="n">
        <f aca="false">INDEX(Machine_Rates!$C$5:$C$38,MATCH(C29,Machine_Rates!$A$5:$A$38,0))</f>
        <v>2.4859</v>
      </c>
      <c r="G29" s="22" t="n">
        <f aca="false">D29*E29*F29</f>
        <v>15.6447627674508</v>
      </c>
    </row>
    <row r="30" customFormat="false" ht="15" hidden="false" customHeight="false" outlineLevel="0" collapsed="false">
      <c r="A30" s="5" t="s">
        <v>427</v>
      </c>
      <c r="B30" s="2" t="s">
        <v>644</v>
      </c>
      <c r="C30" s="5" t="s">
        <v>375</v>
      </c>
      <c r="D30" s="21" t="n">
        <v>2.315</v>
      </c>
      <c r="E30" s="23" t="n">
        <v>1</v>
      </c>
      <c r="F30" s="13" t="n">
        <f aca="false">INDEX(Machine_Rates!$C$5:$C$38,MATCH(C30,Machine_Rates!$A$5:$A$38,0))</f>
        <v>15.0115</v>
      </c>
      <c r="G30" s="22" t="n">
        <f aca="false">D30*E30*F30</f>
        <v>34.7516225</v>
      </c>
    </row>
    <row r="31" customFormat="false" ht="15" hidden="false" customHeight="false" outlineLevel="0" collapsed="false">
      <c r="A31" s="5" t="s">
        <v>427</v>
      </c>
      <c r="B31" s="2" t="s">
        <v>644</v>
      </c>
      <c r="C31" s="5" t="s">
        <v>365</v>
      </c>
      <c r="D31" s="21" t="n">
        <v>1.208</v>
      </c>
      <c r="E31" s="23" t="n">
        <v>1</v>
      </c>
      <c r="F31" s="13" t="n">
        <f aca="false">INDEX(Machine_Rates!$C$5:$C$38,MATCH(C31,Machine_Rates!$A$5:$A$38,0))</f>
        <v>10.9057</v>
      </c>
      <c r="G31" s="22" t="n">
        <f aca="false">D31*E31*F31</f>
        <v>13.1740856</v>
      </c>
    </row>
    <row r="32" customFormat="false" ht="15" hidden="false" customHeight="false" outlineLevel="0" collapsed="false">
      <c r="A32" s="5" t="s">
        <v>427</v>
      </c>
      <c r="B32" s="2" t="s">
        <v>644</v>
      </c>
      <c r="C32" s="5" t="s">
        <v>373</v>
      </c>
      <c r="D32" s="21" t="n">
        <v>2.137</v>
      </c>
      <c r="E32" s="23" t="n">
        <v>1</v>
      </c>
      <c r="F32" s="13" t="n">
        <f aca="false">INDEX(Machine_Rates!$C$5:$C$38,MATCH(C32,Machine_Rates!$A$5:$A$38,0))</f>
        <v>20.293</v>
      </c>
      <c r="G32" s="22" t="n">
        <f aca="false">D32*E32*F32</f>
        <v>43.366141</v>
      </c>
    </row>
    <row r="33" customFormat="false" ht="15" hidden="false" customHeight="false" outlineLevel="0" collapsed="false">
      <c r="A33" s="5" t="s">
        <v>427</v>
      </c>
      <c r="B33" s="2" t="s">
        <v>644</v>
      </c>
      <c r="C33" s="5" t="s">
        <v>360</v>
      </c>
      <c r="D33" s="21" t="n">
        <v>1.389</v>
      </c>
      <c r="E33" s="23" t="n">
        <v>1</v>
      </c>
      <c r="F33" s="13" t="n">
        <f aca="false">INDEX(Machine_Rates!$C$5:$C$38,MATCH(C33,Machine_Rates!$A$5:$A$38,0))</f>
        <v>12.3201</v>
      </c>
      <c r="G33" s="22" t="n">
        <f aca="false">D33*E33*F33</f>
        <v>17.1126189</v>
      </c>
    </row>
    <row r="34" customFormat="false" ht="15" hidden="false" customHeight="false" outlineLevel="0" collapsed="false">
      <c r="A34" s="5" t="s">
        <v>437</v>
      </c>
      <c r="B34" s="2" t="s">
        <v>645</v>
      </c>
      <c r="C34" s="5" t="s">
        <v>370</v>
      </c>
      <c r="D34" s="21" t="n">
        <v>0.01</v>
      </c>
      <c r="E34" s="23" t="n">
        <v>40.7999992370606</v>
      </c>
      <c r="F34" s="13" t="n">
        <f aca="false">INDEX(Machine_Rates!$C$5:$C$38,MATCH(C34,Machine_Rates!$A$5:$A$38,0))</f>
        <v>0</v>
      </c>
      <c r="G34" s="22" t="n">
        <f aca="false">D34*E34*F34</f>
        <v>0</v>
      </c>
    </row>
    <row r="35" customFormat="false" ht="15" hidden="false" customHeight="false" outlineLevel="0" collapsed="false">
      <c r="A35" s="5" t="s">
        <v>437</v>
      </c>
      <c r="B35" s="2" t="s">
        <v>645</v>
      </c>
      <c r="C35" s="5" t="s">
        <v>380</v>
      </c>
      <c r="D35" s="21" t="n">
        <v>2.437</v>
      </c>
      <c r="E35" s="23" t="n">
        <v>20.3999996185303</v>
      </c>
      <c r="F35" s="13" t="n">
        <f aca="false">INDEX(Machine_Rates!$C$5:$C$38,MATCH(C35,Machine_Rates!$A$5:$A$38,0))</f>
        <v>1.771</v>
      </c>
      <c r="G35" s="22" t="n">
        <f aca="false">D35*E35*F35</f>
        <v>88.0449091536046</v>
      </c>
    </row>
    <row r="36" customFormat="false" ht="15" hidden="false" customHeight="false" outlineLevel="0" collapsed="false">
      <c r="A36" s="5" t="s">
        <v>437</v>
      </c>
      <c r="B36" s="2" t="s">
        <v>645</v>
      </c>
      <c r="C36" s="5" t="s">
        <v>368</v>
      </c>
      <c r="D36" s="21" t="n">
        <v>0.926</v>
      </c>
      <c r="E36" s="23" t="n">
        <v>50.3999977111816</v>
      </c>
      <c r="F36" s="13" t="n">
        <f aca="false">INDEX(Machine_Rates!$C$5:$C$38,MATCH(C36,Machine_Rates!$A$5:$A$38,0))</f>
        <v>0</v>
      </c>
      <c r="G36" s="22" t="n">
        <f aca="false">D36*E36*F36</f>
        <v>0</v>
      </c>
    </row>
    <row r="37" customFormat="false" ht="15" hidden="false" customHeight="false" outlineLevel="0" collapsed="false">
      <c r="A37" s="5" t="s">
        <v>437</v>
      </c>
      <c r="B37" s="2" t="s">
        <v>645</v>
      </c>
      <c r="C37" s="5" t="s">
        <v>364</v>
      </c>
      <c r="D37" s="21" t="n">
        <v>0.039</v>
      </c>
      <c r="E37" s="23" t="n">
        <v>20.3999996185303</v>
      </c>
      <c r="F37" s="13" t="n">
        <f aca="false">INDEX(Machine_Rates!$C$5:$C$38,MATCH(C37,Machine_Rates!$A$5:$A$38,0))</f>
        <v>8.4956</v>
      </c>
      <c r="G37" s="22" t="n">
        <f aca="false">D37*E37*F37</f>
        <v>6.75909923360825</v>
      </c>
    </row>
    <row r="38" customFormat="false" ht="15" hidden="false" customHeight="false" outlineLevel="0" collapsed="false">
      <c r="A38" s="5" t="s">
        <v>437</v>
      </c>
      <c r="B38" s="2" t="s">
        <v>645</v>
      </c>
      <c r="C38" s="5" t="s">
        <v>342</v>
      </c>
      <c r="D38" s="21" t="n">
        <v>0.617</v>
      </c>
      <c r="E38" s="23" t="n">
        <v>10.1999998092651</v>
      </c>
      <c r="F38" s="13" t="n">
        <f aca="false">INDEX(Machine_Rates!$C$5:$C$38,MATCH(C38,Machine_Rates!$A$5:$A$38,0))</f>
        <v>2.4859</v>
      </c>
      <c r="G38" s="22" t="n">
        <f aca="false">D38*E38*F38</f>
        <v>15.6447627674508</v>
      </c>
    </row>
    <row r="39" customFormat="false" ht="15" hidden="false" customHeight="false" outlineLevel="0" collapsed="false">
      <c r="A39" s="5" t="s">
        <v>437</v>
      </c>
      <c r="B39" s="2" t="s">
        <v>645</v>
      </c>
      <c r="C39" s="5" t="s">
        <v>375</v>
      </c>
      <c r="D39" s="21" t="n">
        <v>2.315</v>
      </c>
      <c r="E39" s="23" t="n">
        <v>1</v>
      </c>
      <c r="F39" s="13" t="n">
        <f aca="false">INDEX(Machine_Rates!$C$5:$C$38,MATCH(C39,Machine_Rates!$A$5:$A$38,0))</f>
        <v>15.0115</v>
      </c>
      <c r="G39" s="22" t="n">
        <f aca="false">D39*E39*F39</f>
        <v>34.7516225</v>
      </c>
    </row>
    <row r="40" customFormat="false" ht="15" hidden="false" customHeight="false" outlineLevel="0" collapsed="false">
      <c r="A40" s="5" t="s">
        <v>437</v>
      </c>
      <c r="B40" s="2" t="s">
        <v>645</v>
      </c>
      <c r="C40" s="5" t="s">
        <v>365</v>
      </c>
      <c r="D40" s="21" t="n">
        <v>1.208</v>
      </c>
      <c r="E40" s="23" t="n">
        <v>1</v>
      </c>
      <c r="F40" s="13" t="n">
        <f aca="false">INDEX(Machine_Rates!$C$5:$C$38,MATCH(C40,Machine_Rates!$A$5:$A$38,0))</f>
        <v>10.9057</v>
      </c>
      <c r="G40" s="22" t="n">
        <f aca="false">D40*E40*F40</f>
        <v>13.1740856</v>
      </c>
    </row>
    <row r="41" customFormat="false" ht="15" hidden="false" customHeight="false" outlineLevel="0" collapsed="false">
      <c r="A41" s="5" t="s">
        <v>437</v>
      </c>
      <c r="B41" s="2" t="s">
        <v>645</v>
      </c>
      <c r="C41" s="5" t="s">
        <v>373</v>
      </c>
      <c r="D41" s="21" t="n">
        <v>2.137</v>
      </c>
      <c r="E41" s="23" t="n">
        <v>1</v>
      </c>
      <c r="F41" s="13" t="n">
        <f aca="false">INDEX(Machine_Rates!$C$5:$C$38,MATCH(C41,Machine_Rates!$A$5:$A$38,0))</f>
        <v>20.293</v>
      </c>
      <c r="G41" s="22" t="n">
        <f aca="false">D41*E41*F41</f>
        <v>43.366141</v>
      </c>
    </row>
    <row r="42" customFormat="false" ht="15" hidden="false" customHeight="false" outlineLevel="0" collapsed="false">
      <c r="A42" s="5" t="s">
        <v>437</v>
      </c>
      <c r="B42" s="2" t="s">
        <v>645</v>
      </c>
      <c r="C42" s="5" t="s">
        <v>360</v>
      </c>
      <c r="D42" s="21" t="n">
        <v>1.389</v>
      </c>
      <c r="E42" s="23" t="n">
        <v>1</v>
      </c>
      <c r="F42" s="13" t="n">
        <f aca="false">INDEX(Machine_Rates!$C$5:$C$38,MATCH(C42,Machine_Rates!$A$5:$A$38,0))</f>
        <v>12.3201</v>
      </c>
      <c r="G42" s="22" t="n">
        <f aca="false">D42*E42*F42</f>
        <v>17.1126189</v>
      </c>
    </row>
    <row r="43" customFormat="false" ht="15" hidden="false" customHeight="false" outlineLevel="0" collapsed="false">
      <c r="A43" s="5" t="s">
        <v>439</v>
      </c>
      <c r="B43" s="2" t="s">
        <v>646</v>
      </c>
      <c r="C43" s="5" t="s">
        <v>370</v>
      </c>
      <c r="D43" s="21" t="n">
        <v>0.01</v>
      </c>
      <c r="E43" s="23" t="n">
        <v>40.7999992370606</v>
      </c>
      <c r="F43" s="13" t="n">
        <f aca="false">INDEX(Machine_Rates!$C$5:$C$38,MATCH(C43,Machine_Rates!$A$5:$A$38,0))</f>
        <v>0</v>
      </c>
      <c r="G43" s="22" t="n">
        <f aca="false">D43*E43*F43</f>
        <v>0</v>
      </c>
    </row>
    <row r="44" customFormat="false" ht="15" hidden="false" customHeight="false" outlineLevel="0" collapsed="false">
      <c r="A44" s="5" t="s">
        <v>439</v>
      </c>
      <c r="B44" s="2" t="s">
        <v>646</v>
      </c>
      <c r="C44" s="5" t="s">
        <v>368</v>
      </c>
      <c r="D44" s="21" t="n">
        <v>0.926</v>
      </c>
      <c r="E44" s="23" t="n">
        <v>50.3999977111816</v>
      </c>
      <c r="F44" s="13" t="n">
        <f aca="false">INDEX(Machine_Rates!$C$5:$C$38,MATCH(C44,Machine_Rates!$A$5:$A$38,0))</f>
        <v>0</v>
      </c>
      <c r="G44" s="22" t="n">
        <f aca="false">D44*E44*F44</f>
        <v>0</v>
      </c>
    </row>
    <row r="45" customFormat="false" ht="15" hidden="false" customHeight="false" outlineLevel="0" collapsed="false">
      <c r="A45" s="5" t="s">
        <v>439</v>
      </c>
      <c r="B45" s="2" t="s">
        <v>646</v>
      </c>
      <c r="C45" s="5" t="s">
        <v>364</v>
      </c>
      <c r="D45" s="21" t="n">
        <v>0.044</v>
      </c>
      <c r="E45" s="23" t="n">
        <v>20.3999996185303</v>
      </c>
      <c r="F45" s="13" t="n">
        <f aca="false">INDEX(Machine_Rates!$C$5:$C$38,MATCH(C45,Machine_Rates!$A$5:$A$38,0))</f>
        <v>8.4956</v>
      </c>
      <c r="G45" s="22" t="n">
        <f aca="false">D45*E45*F45</f>
        <v>7.62565041740418</v>
      </c>
    </row>
    <row r="46" customFormat="false" ht="15" hidden="false" customHeight="false" outlineLevel="0" collapsed="false">
      <c r="A46" s="5" t="s">
        <v>439</v>
      </c>
      <c r="B46" s="2" t="s">
        <v>646</v>
      </c>
      <c r="C46" s="5" t="s">
        <v>342</v>
      </c>
      <c r="D46" s="21" t="n">
        <v>0.93</v>
      </c>
      <c r="E46" s="23" t="n">
        <v>10.1999998092651</v>
      </c>
      <c r="F46" s="13" t="n">
        <f aca="false">INDEX(Machine_Rates!$C$5:$C$38,MATCH(C46,Machine_Rates!$A$5:$A$38,0))</f>
        <v>2.4859</v>
      </c>
      <c r="G46" s="22" t="n">
        <f aca="false">D46*E46*F46</f>
        <v>23.5812469590425</v>
      </c>
    </row>
    <row r="47" customFormat="false" ht="15" hidden="false" customHeight="false" outlineLevel="0" collapsed="false">
      <c r="A47" s="5" t="s">
        <v>439</v>
      </c>
      <c r="B47" s="2" t="s">
        <v>646</v>
      </c>
      <c r="C47" s="5" t="s">
        <v>375</v>
      </c>
      <c r="D47" s="21" t="n">
        <v>2.48</v>
      </c>
      <c r="E47" s="23" t="n">
        <v>1</v>
      </c>
      <c r="F47" s="13" t="n">
        <f aca="false">INDEX(Machine_Rates!$C$5:$C$38,MATCH(C47,Machine_Rates!$A$5:$A$38,0))</f>
        <v>15.0115</v>
      </c>
      <c r="G47" s="22" t="n">
        <f aca="false">D47*E47*F47</f>
        <v>37.22852</v>
      </c>
    </row>
    <row r="48" customFormat="false" ht="15" hidden="false" customHeight="false" outlineLevel="0" collapsed="false">
      <c r="A48" s="5" t="s">
        <v>439</v>
      </c>
      <c r="B48" s="2" t="s">
        <v>646</v>
      </c>
      <c r="C48" s="5" t="s">
        <v>365</v>
      </c>
      <c r="D48" s="21" t="n">
        <v>1.208</v>
      </c>
      <c r="E48" s="23" t="n">
        <v>1</v>
      </c>
      <c r="F48" s="13" t="n">
        <f aca="false">INDEX(Machine_Rates!$C$5:$C$38,MATCH(C48,Machine_Rates!$A$5:$A$38,0))</f>
        <v>10.9057</v>
      </c>
      <c r="G48" s="22" t="n">
        <f aca="false">D48*E48*F48</f>
        <v>13.1740856</v>
      </c>
    </row>
    <row r="49" customFormat="false" ht="15" hidden="false" customHeight="false" outlineLevel="0" collapsed="false">
      <c r="A49" s="5" t="s">
        <v>439</v>
      </c>
      <c r="B49" s="2" t="s">
        <v>646</v>
      </c>
      <c r="C49" s="5" t="s">
        <v>351</v>
      </c>
      <c r="D49" s="21" t="n">
        <v>1.852</v>
      </c>
      <c r="E49" s="23" t="n">
        <v>1</v>
      </c>
      <c r="F49" s="13" t="n">
        <f aca="false">INDEX(Machine_Rates!$C$5:$C$38,MATCH(C49,Machine_Rates!$A$5:$A$38,0))</f>
        <v>12.2442</v>
      </c>
      <c r="G49" s="22" t="n">
        <f aca="false">D49*E49*F49</f>
        <v>22.6762584</v>
      </c>
    </row>
    <row r="50" customFormat="false" ht="15" hidden="false" customHeight="false" outlineLevel="0" collapsed="false">
      <c r="A50" s="5" t="s">
        <v>439</v>
      </c>
      <c r="B50" s="2" t="s">
        <v>646</v>
      </c>
      <c r="C50" s="5" t="s">
        <v>360</v>
      </c>
      <c r="D50" s="21" t="n">
        <v>1.389</v>
      </c>
      <c r="E50" s="23" t="n">
        <v>1</v>
      </c>
      <c r="F50" s="13" t="n">
        <f aca="false">INDEX(Machine_Rates!$C$5:$C$38,MATCH(C50,Machine_Rates!$A$5:$A$38,0))</f>
        <v>12.3201</v>
      </c>
      <c r="G50" s="22" t="n">
        <f aca="false">D50*E50*F50</f>
        <v>17.1126189</v>
      </c>
    </row>
    <row r="51" customFormat="false" ht="15" hidden="false" customHeight="false" outlineLevel="0" collapsed="false">
      <c r="A51" s="5" t="s">
        <v>441</v>
      </c>
      <c r="B51" s="2" t="s">
        <v>647</v>
      </c>
      <c r="C51" s="5" t="s">
        <v>370</v>
      </c>
      <c r="D51" s="21" t="n">
        <v>2.179</v>
      </c>
      <c r="E51" s="23" t="n">
        <v>1</v>
      </c>
      <c r="F51" s="13" t="n">
        <f aca="false">INDEX(Machine_Rates!$C$5:$C$38,MATCH(C51,Machine_Rates!$A$5:$A$38,0))</f>
        <v>0</v>
      </c>
      <c r="G51" s="22" t="n">
        <f aca="false">D51*E51*F51</f>
        <v>0</v>
      </c>
    </row>
    <row r="52" customFormat="false" ht="15" hidden="false" customHeight="false" outlineLevel="0" collapsed="false">
      <c r="A52" s="5" t="s">
        <v>441</v>
      </c>
      <c r="B52" s="2" t="s">
        <v>647</v>
      </c>
      <c r="C52" s="5" t="s">
        <v>375</v>
      </c>
      <c r="D52" s="21" t="n">
        <v>0.735</v>
      </c>
      <c r="E52" s="23" t="n">
        <v>1</v>
      </c>
      <c r="F52" s="13" t="n">
        <f aca="false">INDEX(Machine_Rates!$C$5:$C$38,MATCH(C52,Machine_Rates!$A$5:$A$38,0))</f>
        <v>15.0115</v>
      </c>
      <c r="G52" s="22" t="n">
        <f aca="false">D52*E52*F52</f>
        <v>11.0334525</v>
      </c>
    </row>
    <row r="53" customFormat="false" ht="15" hidden="false" customHeight="false" outlineLevel="0" collapsed="false">
      <c r="A53" s="5" t="s">
        <v>441</v>
      </c>
      <c r="B53" s="2" t="s">
        <v>647</v>
      </c>
      <c r="C53" s="5" t="s">
        <v>350</v>
      </c>
      <c r="D53" s="21" t="n">
        <v>0.588</v>
      </c>
      <c r="E53" s="23" t="n">
        <v>1</v>
      </c>
      <c r="F53" s="13" t="n">
        <f aca="false">INDEX(Machine_Rates!$C$5:$C$38,MATCH(C53,Machine_Rates!$A$5:$A$38,0))</f>
        <v>4.4609</v>
      </c>
      <c r="G53" s="22" t="n">
        <f aca="false">D53*E53*F53</f>
        <v>2.6230092</v>
      </c>
    </row>
    <row r="54" customFormat="false" ht="15" hidden="false" customHeight="false" outlineLevel="0" collapsed="false">
      <c r="A54" s="5" t="s">
        <v>442</v>
      </c>
      <c r="B54" s="2" t="s">
        <v>648</v>
      </c>
      <c r="C54" s="5" t="s">
        <v>372</v>
      </c>
      <c r="D54" s="21" t="n">
        <v>1.102</v>
      </c>
      <c r="E54" s="23" t="n">
        <v>12.2399997711182</v>
      </c>
      <c r="F54" s="13" t="n">
        <f aca="false">INDEX(Machine_Rates!$C$5:$C$38,MATCH(C54,Machine_Rates!$A$5:$A$38,0))</f>
        <v>0</v>
      </c>
      <c r="G54" s="22" t="n">
        <f aca="false">D54*E54*F54</f>
        <v>0</v>
      </c>
    </row>
    <row r="55" customFormat="false" ht="15" hidden="false" customHeight="false" outlineLevel="0" collapsed="false">
      <c r="A55" s="5" t="s">
        <v>442</v>
      </c>
      <c r="B55" s="2" t="s">
        <v>648</v>
      </c>
      <c r="C55" s="5" t="s">
        <v>368</v>
      </c>
      <c r="D55" s="21" t="n">
        <v>2.058</v>
      </c>
      <c r="E55" s="23" t="n">
        <v>12.2399997711182</v>
      </c>
      <c r="F55" s="13" t="n">
        <f aca="false">INDEX(Machine_Rates!$C$5:$C$38,MATCH(C55,Machine_Rates!$A$5:$A$38,0))</f>
        <v>0</v>
      </c>
      <c r="G55" s="22" t="n">
        <f aca="false">D55*E55*F55</f>
        <v>0</v>
      </c>
    </row>
    <row r="56" customFormat="false" ht="15" hidden="false" customHeight="false" outlineLevel="0" collapsed="false">
      <c r="A56" s="5" t="s">
        <v>442</v>
      </c>
      <c r="B56" s="2" t="s">
        <v>648</v>
      </c>
      <c r="C56" s="5" t="s">
        <v>343</v>
      </c>
      <c r="D56" s="21" t="n">
        <v>0.13</v>
      </c>
      <c r="E56" s="23" t="n">
        <v>12.2399997711182</v>
      </c>
      <c r="F56" s="13" t="n">
        <f aca="false">INDEX(Machine_Rates!$C$5:$C$38,MATCH(C56,Machine_Rates!$A$5:$A$38,0))</f>
        <v>1.716</v>
      </c>
      <c r="G56" s="22" t="n">
        <f aca="false">D56*E56*F56</f>
        <v>2.73049914894105</v>
      </c>
    </row>
    <row r="57" customFormat="false" ht="15" hidden="false" customHeight="false" outlineLevel="0" collapsed="false">
      <c r="A57" s="5" t="s">
        <v>442</v>
      </c>
      <c r="B57" s="2" t="s">
        <v>648</v>
      </c>
      <c r="C57" s="5" t="s">
        <v>368</v>
      </c>
      <c r="D57" s="21" t="n">
        <v>0.926</v>
      </c>
      <c r="E57" s="23" t="n">
        <v>4.5</v>
      </c>
      <c r="F57" s="13" t="n">
        <f aca="false">INDEX(Machine_Rates!$C$5:$C$38,MATCH(C57,Machine_Rates!$A$5:$A$38,0))</f>
        <v>0</v>
      </c>
      <c r="G57" s="22" t="n">
        <f aca="false">D57*E57*F57</f>
        <v>0</v>
      </c>
    </row>
    <row r="58" customFormat="false" ht="15" hidden="false" customHeight="false" outlineLevel="0" collapsed="false">
      <c r="A58" s="5" t="s">
        <v>442</v>
      </c>
      <c r="B58" s="2" t="s">
        <v>648</v>
      </c>
      <c r="C58" s="5" t="s">
        <v>364</v>
      </c>
      <c r="D58" s="21" t="n">
        <v>0.044</v>
      </c>
      <c r="E58" s="23" t="n">
        <v>12.2399997711182</v>
      </c>
      <c r="F58" s="13" t="n">
        <f aca="false">INDEX(Machine_Rates!$C$5:$C$38,MATCH(C58,Machine_Rates!$A$5:$A$38,0))</f>
        <v>8.4956</v>
      </c>
      <c r="G58" s="22" t="n">
        <f aca="false">D58*E58*F58</f>
        <v>4.57539025044252</v>
      </c>
    </row>
    <row r="59" customFormat="false" ht="15" hidden="false" customHeight="false" outlineLevel="0" collapsed="false">
      <c r="A59" s="5" t="s">
        <v>442</v>
      </c>
      <c r="B59" s="2" t="s">
        <v>648</v>
      </c>
      <c r="C59" s="5" t="s">
        <v>375</v>
      </c>
      <c r="D59" s="21" t="n">
        <v>2.48</v>
      </c>
      <c r="E59" s="23" t="n">
        <v>1</v>
      </c>
      <c r="F59" s="13" t="n">
        <f aca="false">INDEX(Machine_Rates!$C$5:$C$38,MATCH(C59,Machine_Rates!$A$5:$A$38,0))</f>
        <v>15.0115</v>
      </c>
      <c r="G59" s="22" t="n">
        <f aca="false">D59*E59*F59</f>
        <v>37.22852</v>
      </c>
    </row>
    <row r="60" customFormat="false" ht="15" hidden="false" customHeight="false" outlineLevel="0" collapsed="false">
      <c r="A60" s="5" t="s">
        <v>442</v>
      </c>
      <c r="B60" s="2" t="s">
        <v>648</v>
      </c>
      <c r="C60" s="5" t="s">
        <v>365</v>
      </c>
      <c r="D60" s="21" t="n">
        <v>0.796</v>
      </c>
      <c r="E60" s="23" t="n">
        <v>1</v>
      </c>
      <c r="F60" s="13" t="n">
        <f aca="false">INDEX(Machine_Rates!$C$5:$C$38,MATCH(C60,Machine_Rates!$A$5:$A$38,0))</f>
        <v>10.9057</v>
      </c>
      <c r="G60" s="22" t="n">
        <f aca="false">D60*E60*F60</f>
        <v>8.6809372</v>
      </c>
    </row>
    <row r="61" customFormat="false" ht="15" hidden="false" customHeight="false" outlineLevel="0" collapsed="false">
      <c r="A61" s="5" t="s">
        <v>442</v>
      </c>
      <c r="B61" s="2" t="s">
        <v>648</v>
      </c>
      <c r="C61" s="5" t="s">
        <v>373</v>
      </c>
      <c r="D61" s="21" t="n">
        <v>1.052</v>
      </c>
      <c r="E61" s="23" t="n">
        <v>1</v>
      </c>
      <c r="F61" s="13" t="n">
        <f aca="false">INDEX(Machine_Rates!$C$5:$C$38,MATCH(C61,Machine_Rates!$A$5:$A$38,0))</f>
        <v>20.293</v>
      </c>
      <c r="G61" s="22" t="n">
        <f aca="false">D61*E61*F61</f>
        <v>21.348236</v>
      </c>
    </row>
    <row r="62" customFormat="false" ht="15" hidden="false" customHeight="false" outlineLevel="0" collapsed="false">
      <c r="A62" s="5" t="s">
        <v>442</v>
      </c>
      <c r="B62" s="2" t="s">
        <v>648</v>
      </c>
      <c r="C62" s="5" t="s">
        <v>360</v>
      </c>
      <c r="D62" s="21" t="n">
        <v>0.943</v>
      </c>
      <c r="E62" s="23" t="n">
        <v>1</v>
      </c>
      <c r="F62" s="13" t="n">
        <f aca="false">INDEX(Machine_Rates!$C$5:$C$38,MATCH(C62,Machine_Rates!$A$5:$A$38,0))</f>
        <v>12.3201</v>
      </c>
      <c r="G62" s="22" t="n">
        <f aca="false">D62*E62*F62</f>
        <v>11.6178543</v>
      </c>
    </row>
    <row r="63" customFormat="false" ht="15" hidden="false" customHeight="false" outlineLevel="0" collapsed="false">
      <c r="A63" s="5" t="s">
        <v>449</v>
      </c>
      <c r="B63" s="2" t="s">
        <v>649</v>
      </c>
      <c r="C63" s="5" t="s">
        <v>372</v>
      </c>
      <c r="D63" s="21" t="n">
        <v>1.102</v>
      </c>
      <c r="E63" s="23" t="n">
        <v>12.2399997711182</v>
      </c>
      <c r="F63" s="13" t="n">
        <f aca="false">INDEX(Machine_Rates!$C$5:$C$38,MATCH(C63,Machine_Rates!$A$5:$A$38,0))</f>
        <v>0</v>
      </c>
      <c r="G63" s="22" t="n">
        <f aca="false">D63*E63*F63</f>
        <v>0</v>
      </c>
    </row>
    <row r="64" customFormat="false" ht="15" hidden="false" customHeight="false" outlineLevel="0" collapsed="false">
      <c r="A64" s="5" t="s">
        <v>449</v>
      </c>
      <c r="B64" s="2" t="s">
        <v>649</v>
      </c>
      <c r="C64" s="5" t="s">
        <v>368</v>
      </c>
      <c r="D64" s="21" t="n">
        <v>2.058</v>
      </c>
      <c r="E64" s="23" t="n">
        <v>12.2399997711182</v>
      </c>
      <c r="F64" s="13" t="n">
        <f aca="false">INDEX(Machine_Rates!$C$5:$C$38,MATCH(C64,Machine_Rates!$A$5:$A$38,0))</f>
        <v>0</v>
      </c>
      <c r="G64" s="22" t="n">
        <f aca="false">D64*E64*F64</f>
        <v>0</v>
      </c>
    </row>
    <row r="65" customFormat="false" ht="15" hidden="false" customHeight="false" outlineLevel="0" collapsed="false">
      <c r="A65" s="5" t="s">
        <v>449</v>
      </c>
      <c r="B65" s="2" t="s">
        <v>649</v>
      </c>
      <c r="C65" s="5" t="s">
        <v>343</v>
      </c>
      <c r="D65" s="21" t="n">
        <v>0.13</v>
      </c>
      <c r="E65" s="23" t="n">
        <v>12.2399997711182</v>
      </c>
      <c r="F65" s="13" t="n">
        <f aca="false">INDEX(Machine_Rates!$C$5:$C$38,MATCH(C65,Machine_Rates!$A$5:$A$38,0))</f>
        <v>1.716</v>
      </c>
      <c r="G65" s="22" t="n">
        <f aca="false">D65*E65*F65</f>
        <v>2.73049914894105</v>
      </c>
    </row>
    <row r="66" customFormat="false" ht="15" hidden="false" customHeight="false" outlineLevel="0" collapsed="false">
      <c r="A66" s="5" t="s">
        <v>449</v>
      </c>
      <c r="B66" s="2" t="s">
        <v>649</v>
      </c>
      <c r="C66" s="5" t="s">
        <v>380</v>
      </c>
      <c r="D66" s="21" t="n">
        <v>2.437</v>
      </c>
      <c r="E66" s="23" t="n">
        <v>12.2399997711182</v>
      </c>
      <c r="F66" s="13" t="n">
        <f aca="false">INDEX(Machine_Rates!$C$5:$C$38,MATCH(C66,Machine_Rates!$A$5:$A$38,0))</f>
        <v>1.771</v>
      </c>
      <c r="G66" s="22" t="n">
        <f aca="false">D66*E66*F66</f>
        <v>52.8269454921629</v>
      </c>
    </row>
    <row r="67" customFormat="false" ht="15" hidden="false" customHeight="false" outlineLevel="0" collapsed="false">
      <c r="A67" s="5" t="s">
        <v>449</v>
      </c>
      <c r="B67" s="2" t="s">
        <v>649</v>
      </c>
      <c r="C67" s="5" t="s">
        <v>368</v>
      </c>
      <c r="D67" s="21" t="n">
        <v>0.926</v>
      </c>
      <c r="E67" s="23" t="n">
        <v>4.5</v>
      </c>
      <c r="F67" s="13" t="n">
        <f aca="false">INDEX(Machine_Rates!$C$5:$C$38,MATCH(C67,Machine_Rates!$A$5:$A$38,0))</f>
        <v>0</v>
      </c>
      <c r="G67" s="22" t="n">
        <f aca="false">D67*E67*F67</f>
        <v>0</v>
      </c>
    </row>
    <row r="68" customFormat="false" ht="15" hidden="false" customHeight="false" outlineLevel="0" collapsed="false">
      <c r="A68" s="5" t="s">
        <v>449</v>
      </c>
      <c r="B68" s="2" t="s">
        <v>649</v>
      </c>
      <c r="C68" s="5" t="s">
        <v>364</v>
      </c>
      <c r="D68" s="21" t="n">
        <v>0.044</v>
      </c>
      <c r="E68" s="23" t="n">
        <v>12.2399997711182</v>
      </c>
      <c r="F68" s="13" t="n">
        <f aca="false">INDEX(Machine_Rates!$C$5:$C$38,MATCH(C68,Machine_Rates!$A$5:$A$38,0))</f>
        <v>8.4956</v>
      </c>
      <c r="G68" s="22" t="n">
        <f aca="false">D68*E68*F68</f>
        <v>4.57539025044252</v>
      </c>
    </row>
    <row r="69" customFormat="false" ht="15" hidden="false" customHeight="false" outlineLevel="0" collapsed="false">
      <c r="A69" s="5" t="s">
        <v>449</v>
      </c>
      <c r="B69" s="2" t="s">
        <v>649</v>
      </c>
      <c r="C69" s="5" t="s">
        <v>375</v>
      </c>
      <c r="D69" s="21" t="n">
        <v>2.48</v>
      </c>
      <c r="E69" s="23" t="n">
        <v>1</v>
      </c>
      <c r="F69" s="13" t="n">
        <f aca="false">INDEX(Machine_Rates!$C$5:$C$38,MATCH(C69,Machine_Rates!$A$5:$A$38,0))</f>
        <v>15.0115</v>
      </c>
      <c r="G69" s="22" t="n">
        <f aca="false">D69*E69*F69</f>
        <v>37.22852</v>
      </c>
    </row>
    <row r="70" customFormat="false" ht="15" hidden="false" customHeight="false" outlineLevel="0" collapsed="false">
      <c r="A70" s="5" t="s">
        <v>449</v>
      </c>
      <c r="B70" s="2" t="s">
        <v>649</v>
      </c>
      <c r="C70" s="5" t="s">
        <v>365</v>
      </c>
      <c r="D70" s="21" t="n">
        <v>0.796</v>
      </c>
      <c r="E70" s="23" t="n">
        <v>1</v>
      </c>
      <c r="F70" s="13" t="n">
        <f aca="false">INDEX(Machine_Rates!$C$5:$C$38,MATCH(C70,Machine_Rates!$A$5:$A$38,0))</f>
        <v>10.9057</v>
      </c>
      <c r="G70" s="22" t="n">
        <f aca="false">D70*E70*F70</f>
        <v>8.6809372</v>
      </c>
    </row>
    <row r="71" customFormat="false" ht="15" hidden="false" customHeight="false" outlineLevel="0" collapsed="false">
      <c r="A71" s="5" t="s">
        <v>449</v>
      </c>
      <c r="B71" s="2" t="s">
        <v>649</v>
      </c>
      <c r="C71" s="5" t="s">
        <v>373</v>
      </c>
      <c r="D71" s="21" t="n">
        <v>1.089</v>
      </c>
      <c r="E71" s="23" t="n">
        <v>1</v>
      </c>
      <c r="F71" s="13" t="n">
        <f aca="false">INDEX(Machine_Rates!$C$5:$C$38,MATCH(C71,Machine_Rates!$A$5:$A$38,0))</f>
        <v>20.293</v>
      </c>
      <c r="G71" s="22" t="n">
        <f aca="false">D71*E71*F71</f>
        <v>22.099077</v>
      </c>
    </row>
    <row r="72" customFormat="false" ht="15" hidden="false" customHeight="false" outlineLevel="0" collapsed="false">
      <c r="A72" s="5" t="s">
        <v>449</v>
      </c>
      <c r="B72" s="2" t="s">
        <v>649</v>
      </c>
      <c r="C72" s="5" t="s">
        <v>360</v>
      </c>
      <c r="D72" s="21" t="n">
        <v>1.129</v>
      </c>
      <c r="E72" s="23" t="n">
        <v>1</v>
      </c>
      <c r="F72" s="13" t="n">
        <f aca="false">INDEX(Machine_Rates!$C$5:$C$38,MATCH(C72,Machine_Rates!$A$5:$A$38,0))</f>
        <v>12.3201</v>
      </c>
      <c r="G72" s="22" t="n">
        <f aca="false">D72*E72*F72</f>
        <v>13.9093929</v>
      </c>
    </row>
    <row r="73" customFormat="false" ht="15" hidden="false" customHeight="false" outlineLevel="0" collapsed="false">
      <c r="A73" s="5" t="s">
        <v>451</v>
      </c>
      <c r="B73" s="2" t="s">
        <v>650</v>
      </c>
      <c r="C73" s="5" t="s">
        <v>370</v>
      </c>
      <c r="D73" s="21" t="n">
        <v>2.179</v>
      </c>
      <c r="E73" s="23" t="n">
        <v>1</v>
      </c>
      <c r="F73" s="13" t="n">
        <f aca="false">INDEX(Machine_Rates!$C$5:$C$38,MATCH(C73,Machine_Rates!$A$5:$A$38,0))</f>
        <v>0</v>
      </c>
      <c r="G73" s="22" t="n">
        <f aca="false">D73*E73*F73</f>
        <v>0</v>
      </c>
    </row>
    <row r="74" customFormat="false" ht="15" hidden="false" customHeight="false" outlineLevel="0" collapsed="false">
      <c r="A74" s="5" t="s">
        <v>451</v>
      </c>
      <c r="B74" s="2" t="s">
        <v>650</v>
      </c>
      <c r="C74" s="5" t="s">
        <v>376</v>
      </c>
      <c r="D74" s="21" t="n">
        <v>0.701</v>
      </c>
      <c r="E74" s="23" t="n">
        <v>1</v>
      </c>
      <c r="F74" s="13" t="n">
        <f aca="false">INDEX(Machine_Rates!$C$5:$C$38,MATCH(C74,Machine_Rates!$A$5:$A$38,0))</f>
        <v>15.0109</v>
      </c>
      <c r="G74" s="22" t="n">
        <f aca="false">D74*E74*F74</f>
        <v>10.5226409</v>
      </c>
    </row>
    <row r="75" customFormat="false" ht="15" hidden="false" customHeight="false" outlineLevel="0" collapsed="false">
      <c r="A75" s="5" t="s">
        <v>451</v>
      </c>
      <c r="B75" s="2" t="s">
        <v>650</v>
      </c>
      <c r="C75" s="5" t="s">
        <v>361</v>
      </c>
      <c r="D75" s="21" t="n">
        <v>0.7</v>
      </c>
      <c r="E75" s="23" t="n">
        <v>1</v>
      </c>
      <c r="F75" s="13" t="n">
        <f aca="false">INDEX(Machine_Rates!$C$5:$C$38,MATCH(C75,Machine_Rates!$A$5:$A$38,0))</f>
        <v>18.7972</v>
      </c>
      <c r="G75" s="22" t="n">
        <f aca="false">D75*E75*F75</f>
        <v>13.15804</v>
      </c>
    </row>
    <row r="76" customFormat="false" ht="15" hidden="false" customHeight="false" outlineLevel="0" collapsed="false">
      <c r="A76" s="5" t="s">
        <v>451</v>
      </c>
      <c r="B76" s="2" t="s">
        <v>650</v>
      </c>
      <c r="C76" s="5" t="s">
        <v>363</v>
      </c>
      <c r="D76" s="21" t="n">
        <v>1.532</v>
      </c>
      <c r="E76" s="23" t="n">
        <v>1</v>
      </c>
      <c r="F76" s="13" t="n">
        <f aca="false">INDEX(Machine_Rates!$C$5:$C$38,MATCH(C76,Machine_Rates!$A$5:$A$38,0))</f>
        <v>18.7974</v>
      </c>
      <c r="G76" s="22" t="n">
        <f aca="false">D76*E76*F76</f>
        <v>28.7976168</v>
      </c>
    </row>
    <row r="77" customFormat="false" ht="15" hidden="false" customHeight="false" outlineLevel="0" collapsed="false">
      <c r="A77" s="5" t="s">
        <v>451</v>
      </c>
      <c r="B77" s="2" t="s">
        <v>650</v>
      </c>
      <c r="C77" s="5" t="s">
        <v>351</v>
      </c>
      <c r="D77" s="21" t="n">
        <v>1.362</v>
      </c>
      <c r="E77" s="23" t="n">
        <v>1</v>
      </c>
      <c r="F77" s="13" t="n">
        <f aca="false">INDEX(Machine_Rates!$C$5:$C$38,MATCH(C77,Machine_Rates!$A$5:$A$38,0))</f>
        <v>12.2442</v>
      </c>
      <c r="G77" s="22" t="n">
        <f aca="false">D77*E77*F77</f>
        <v>16.6766004</v>
      </c>
    </row>
    <row r="78" customFormat="false" ht="15" hidden="false" customHeight="false" outlineLevel="0" collapsed="false">
      <c r="A78" s="5" t="s">
        <v>451</v>
      </c>
      <c r="B78" s="2" t="s">
        <v>650</v>
      </c>
      <c r="C78" s="5" t="s">
        <v>361</v>
      </c>
      <c r="D78" s="21" t="n">
        <v>1.543</v>
      </c>
      <c r="E78" s="23" t="n">
        <v>1</v>
      </c>
      <c r="F78" s="13" t="n">
        <f aca="false">INDEX(Machine_Rates!$C$5:$C$38,MATCH(C78,Machine_Rates!$A$5:$A$38,0))</f>
        <v>18.7972</v>
      </c>
      <c r="G78" s="22" t="n">
        <f aca="false">D78*E78*F78</f>
        <v>29.0040796</v>
      </c>
    </row>
    <row r="79" customFormat="false" ht="15" hidden="false" customHeight="false" outlineLevel="0" collapsed="false">
      <c r="A79" s="5" t="s">
        <v>455</v>
      </c>
      <c r="B79" s="2" t="s">
        <v>651</v>
      </c>
      <c r="C79" s="5" t="s">
        <v>370</v>
      </c>
      <c r="D79" s="21" t="n">
        <v>1.21</v>
      </c>
      <c r="E79" s="23" t="n">
        <v>1</v>
      </c>
      <c r="F79" s="13" t="n">
        <f aca="false">INDEX(Machine_Rates!$C$5:$C$38,MATCH(C79,Machine_Rates!$A$5:$A$38,0))</f>
        <v>0</v>
      </c>
      <c r="G79" s="22" t="n">
        <f aca="false">D79*E79*F79</f>
        <v>0</v>
      </c>
    </row>
    <row r="80" customFormat="false" ht="15" hidden="false" customHeight="false" outlineLevel="0" collapsed="false">
      <c r="A80" s="5" t="s">
        <v>455</v>
      </c>
      <c r="B80" s="2" t="s">
        <v>651</v>
      </c>
      <c r="C80" s="5" t="s">
        <v>376</v>
      </c>
      <c r="D80" s="21" t="n">
        <v>1.307</v>
      </c>
      <c r="E80" s="23" t="n">
        <v>1</v>
      </c>
      <c r="F80" s="13" t="n">
        <f aca="false">INDEX(Machine_Rates!$C$5:$C$38,MATCH(C80,Machine_Rates!$A$5:$A$38,0))</f>
        <v>15.0109</v>
      </c>
      <c r="G80" s="22" t="n">
        <f aca="false">D80*E80*F80</f>
        <v>19.6192463</v>
      </c>
    </row>
    <row r="81" customFormat="false" ht="15" hidden="false" customHeight="false" outlineLevel="0" collapsed="false">
      <c r="A81" s="5" t="s">
        <v>455</v>
      </c>
      <c r="B81" s="2" t="s">
        <v>651</v>
      </c>
      <c r="C81" s="5" t="s">
        <v>361</v>
      </c>
      <c r="D81" s="21" t="n">
        <v>1.218</v>
      </c>
      <c r="E81" s="23" t="n">
        <v>1</v>
      </c>
      <c r="F81" s="13" t="n">
        <f aca="false">INDEX(Machine_Rates!$C$5:$C$38,MATCH(C81,Machine_Rates!$A$5:$A$38,0))</f>
        <v>18.7972</v>
      </c>
      <c r="G81" s="22" t="n">
        <f aca="false">D81*E81*F81</f>
        <v>22.8949896</v>
      </c>
    </row>
    <row r="82" customFormat="false" ht="15" hidden="false" customHeight="false" outlineLevel="0" collapsed="false">
      <c r="A82" s="5" t="s">
        <v>455</v>
      </c>
      <c r="B82" s="2" t="s">
        <v>651</v>
      </c>
      <c r="C82" s="5" t="s">
        <v>363</v>
      </c>
      <c r="D82" s="21" t="n">
        <v>1.815</v>
      </c>
      <c r="E82" s="23" t="n">
        <v>1</v>
      </c>
      <c r="F82" s="13" t="n">
        <f aca="false">INDEX(Machine_Rates!$C$5:$C$38,MATCH(C82,Machine_Rates!$A$5:$A$38,0))</f>
        <v>18.7974</v>
      </c>
      <c r="G82" s="22" t="n">
        <f aca="false">D82*E82*F82</f>
        <v>34.117281</v>
      </c>
    </row>
    <row r="83" customFormat="false" ht="15" hidden="false" customHeight="false" outlineLevel="0" collapsed="false">
      <c r="A83" s="5" t="s">
        <v>455</v>
      </c>
      <c r="B83" s="2" t="s">
        <v>651</v>
      </c>
      <c r="C83" s="5" t="s">
        <v>351</v>
      </c>
      <c r="D83" s="21" t="n">
        <v>1.588</v>
      </c>
      <c r="E83" s="23" t="n">
        <v>1</v>
      </c>
      <c r="F83" s="13" t="n">
        <f aca="false">INDEX(Machine_Rates!$C$5:$C$38,MATCH(C83,Machine_Rates!$A$5:$A$38,0))</f>
        <v>12.2442</v>
      </c>
      <c r="G83" s="22" t="n">
        <f aca="false">D83*E83*F83</f>
        <v>19.4437896</v>
      </c>
    </row>
    <row r="84" customFormat="false" ht="15" hidden="false" customHeight="false" outlineLevel="0" collapsed="false">
      <c r="A84" s="5" t="s">
        <v>455</v>
      </c>
      <c r="B84" s="2" t="s">
        <v>651</v>
      </c>
      <c r="C84" s="5" t="s">
        <v>361</v>
      </c>
      <c r="D84" s="21" t="n">
        <v>1.852</v>
      </c>
      <c r="E84" s="23" t="n">
        <v>1</v>
      </c>
      <c r="F84" s="13" t="n">
        <f aca="false">INDEX(Machine_Rates!$C$5:$C$38,MATCH(C84,Machine_Rates!$A$5:$A$38,0))</f>
        <v>18.7972</v>
      </c>
      <c r="G84" s="22" t="n">
        <f aca="false">D84*E84*F84</f>
        <v>34.8124144</v>
      </c>
    </row>
    <row r="85" customFormat="false" ht="15" hidden="false" customHeight="false" outlineLevel="0" collapsed="false">
      <c r="A85" s="5" t="s">
        <v>457</v>
      </c>
      <c r="B85" s="2" t="s">
        <v>652</v>
      </c>
      <c r="C85" s="5" t="s">
        <v>370</v>
      </c>
      <c r="D85" s="21" t="n">
        <v>2.179</v>
      </c>
      <c r="E85" s="23" t="n">
        <v>1</v>
      </c>
      <c r="F85" s="13" t="n">
        <f aca="false">INDEX(Machine_Rates!$C$5:$C$38,MATCH(C85,Machine_Rates!$A$5:$A$38,0))</f>
        <v>0</v>
      </c>
      <c r="G85" s="22" t="n">
        <f aca="false">D85*E85*F85</f>
        <v>0</v>
      </c>
    </row>
    <row r="86" customFormat="false" ht="15" hidden="false" customHeight="false" outlineLevel="0" collapsed="false">
      <c r="A86" s="5" t="s">
        <v>457</v>
      </c>
      <c r="B86" s="2" t="s">
        <v>652</v>
      </c>
      <c r="C86" s="5" t="s">
        <v>376</v>
      </c>
      <c r="D86" s="21" t="n">
        <v>1.089</v>
      </c>
      <c r="E86" s="23" t="n">
        <v>1</v>
      </c>
      <c r="F86" s="13" t="n">
        <f aca="false">INDEX(Machine_Rates!$C$5:$C$38,MATCH(C86,Machine_Rates!$A$5:$A$38,0))</f>
        <v>15.0109</v>
      </c>
      <c r="G86" s="22" t="n">
        <f aca="false">D86*E86*F86</f>
        <v>16.3468701</v>
      </c>
    </row>
    <row r="87" customFormat="false" ht="15" hidden="false" customHeight="false" outlineLevel="0" collapsed="false">
      <c r="A87" s="5" t="s">
        <v>457</v>
      </c>
      <c r="B87" s="2" t="s">
        <v>652</v>
      </c>
      <c r="C87" s="5" t="s">
        <v>361</v>
      </c>
      <c r="D87" s="21" t="n">
        <v>1.262</v>
      </c>
      <c r="E87" s="23" t="n">
        <v>1</v>
      </c>
      <c r="F87" s="13" t="n">
        <f aca="false">INDEX(Machine_Rates!$C$5:$C$38,MATCH(C87,Machine_Rates!$A$5:$A$38,0))</f>
        <v>18.7972</v>
      </c>
      <c r="G87" s="22" t="n">
        <f aca="false">D87*E87*F87</f>
        <v>23.7220664</v>
      </c>
    </row>
    <row r="88" customFormat="false" ht="15" hidden="false" customHeight="false" outlineLevel="0" collapsed="false">
      <c r="A88" s="5" t="s">
        <v>457</v>
      </c>
      <c r="B88" s="2" t="s">
        <v>652</v>
      </c>
      <c r="C88" s="5" t="s">
        <v>363</v>
      </c>
      <c r="D88" s="21" t="n">
        <v>2.117</v>
      </c>
      <c r="E88" s="23" t="n">
        <v>1</v>
      </c>
      <c r="F88" s="13" t="n">
        <f aca="false">INDEX(Machine_Rates!$C$5:$C$38,MATCH(C88,Machine_Rates!$A$5:$A$38,0))</f>
        <v>18.7974</v>
      </c>
      <c r="G88" s="22" t="n">
        <f aca="false">D88*E88*F88</f>
        <v>39.7940958</v>
      </c>
    </row>
    <row r="89" customFormat="false" ht="15" hidden="false" customHeight="false" outlineLevel="0" collapsed="false">
      <c r="A89" s="5" t="s">
        <v>457</v>
      </c>
      <c r="B89" s="2" t="s">
        <v>652</v>
      </c>
      <c r="C89" s="5" t="s">
        <v>353</v>
      </c>
      <c r="D89" s="21" t="n">
        <v>2.003</v>
      </c>
      <c r="E89" s="23" t="n">
        <v>1</v>
      </c>
      <c r="F89" s="13" t="n">
        <f aca="false">INDEX(Machine_Rates!$C$5:$C$38,MATCH(C89,Machine_Rates!$A$5:$A$38,0))</f>
        <v>16.82</v>
      </c>
      <c r="G89" s="22" t="n">
        <f aca="false">D89*E89*F89</f>
        <v>33.69046</v>
      </c>
    </row>
    <row r="90" customFormat="false" ht="15" hidden="false" customHeight="false" outlineLevel="0" collapsed="false">
      <c r="A90" s="5" t="s">
        <v>457</v>
      </c>
      <c r="B90" s="2" t="s">
        <v>652</v>
      </c>
      <c r="C90" s="5" t="s">
        <v>361</v>
      </c>
      <c r="D90" s="21" t="n">
        <v>1.975</v>
      </c>
      <c r="E90" s="23" t="n">
        <v>1</v>
      </c>
      <c r="F90" s="13" t="n">
        <f aca="false">INDEX(Machine_Rates!$C$5:$C$38,MATCH(C90,Machine_Rates!$A$5:$A$38,0))</f>
        <v>18.7972</v>
      </c>
      <c r="G90" s="22" t="n">
        <f aca="false">D90*E90*F90</f>
        <v>37.12447</v>
      </c>
    </row>
    <row r="91" customFormat="false" ht="15" hidden="false" customHeight="false" outlineLevel="0" collapsed="false">
      <c r="A91" s="5" t="s">
        <v>459</v>
      </c>
      <c r="B91" s="2" t="s">
        <v>653</v>
      </c>
      <c r="C91" s="5" t="s">
        <v>370</v>
      </c>
      <c r="D91" s="21" t="n">
        <v>2.572</v>
      </c>
      <c r="E91" s="23" t="n">
        <v>1</v>
      </c>
      <c r="F91" s="13" t="n">
        <f aca="false">INDEX(Machine_Rates!$C$5:$C$38,MATCH(C91,Machine_Rates!$A$5:$A$38,0))</f>
        <v>0</v>
      </c>
      <c r="G91" s="22" t="n">
        <f aca="false">D91*E91*F91</f>
        <v>0</v>
      </c>
    </row>
    <row r="92" customFormat="false" ht="15" hidden="false" customHeight="false" outlineLevel="0" collapsed="false">
      <c r="A92" s="5" t="s">
        <v>459</v>
      </c>
      <c r="B92" s="2" t="s">
        <v>653</v>
      </c>
      <c r="C92" s="5" t="s">
        <v>376</v>
      </c>
      <c r="D92" s="21" t="n">
        <v>1.783</v>
      </c>
      <c r="E92" s="23" t="n">
        <v>1</v>
      </c>
      <c r="F92" s="13" t="n">
        <f aca="false">INDEX(Machine_Rates!$C$5:$C$38,MATCH(C92,Machine_Rates!$A$5:$A$38,0))</f>
        <v>15.0109</v>
      </c>
      <c r="G92" s="22" t="n">
        <f aca="false">D92*E92*F92</f>
        <v>26.7644347</v>
      </c>
    </row>
    <row r="93" customFormat="false" ht="15" hidden="false" customHeight="false" outlineLevel="0" collapsed="false">
      <c r="A93" s="5" t="s">
        <v>459</v>
      </c>
      <c r="B93" s="2" t="s">
        <v>653</v>
      </c>
      <c r="C93" s="5" t="s">
        <v>361</v>
      </c>
      <c r="D93" s="21" t="n">
        <v>1.19</v>
      </c>
      <c r="E93" s="23" t="n">
        <v>1</v>
      </c>
      <c r="F93" s="13" t="n">
        <f aca="false">INDEX(Machine_Rates!$C$5:$C$38,MATCH(C93,Machine_Rates!$A$5:$A$38,0))</f>
        <v>18.7972</v>
      </c>
      <c r="G93" s="22" t="n">
        <f aca="false">D93*E93*F93</f>
        <v>22.368668</v>
      </c>
    </row>
    <row r="94" customFormat="false" ht="15" hidden="false" customHeight="false" outlineLevel="0" collapsed="false">
      <c r="A94" s="5" t="s">
        <v>459</v>
      </c>
      <c r="B94" s="2" t="s">
        <v>653</v>
      </c>
      <c r="C94" s="5" t="s">
        <v>363</v>
      </c>
      <c r="D94" s="21" t="n">
        <v>2.315</v>
      </c>
      <c r="E94" s="23" t="n">
        <v>1</v>
      </c>
      <c r="F94" s="13" t="n">
        <f aca="false">INDEX(Machine_Rates!$C$5:$C$38,MATCH(C94,Machine_Rates!$A$5:$A$38,0))</f>
        <v>18.7974</v>
      </c>
      <c r="G94" s="22" t="n">
        <f aca="false">D94*E94*F94</f>
        <v>43.515981</v>
      </c>
    </row>
    <row r="95" customFormat="false" ht="15" hidden="false" customHeight="false" outlineLevel="0" collapsed="false">
      <c r="A95" s="5" t="s">
        <v>459</v>
      </c>
      <c r="B95" s="2" t="s">
        <v>653</v>
      </c>
      <c r="C95" s="5" t="s">
        <v>353</v>
      </c>
      <c r="D95" s="21" t="n">
        <v>2.315</v>
      </c>
      <c r="E95" s="23" t="n">
        <v>1</v>
      </c>
      <c r="F95" s="13" t="n">
        <f aca="false">INDEX(Machine_Rates!$C$5:$C$38,MATCH(C95,Machine_Rates!$A$5:$A$38,0))</f>
        <v>16.82</v>
      </c>
      <c r="G95" s="22" t="n">
        <f aca="false">D95*E95*F95</f>
        <v>38.9383</v>
      </c>
    </row>
    <row r="96" customFormat="false" ht="15" hidden="false" customHeight="false" outlineLevel="0" collapsed="false">
      <c r="A96" s="5" t="s">
        <v>459</v>
      </c>
      <c r="B96" s="2" t="s">
        <v>653</v>
      </c>
      <c r="C96" s="5" t="s">
        <v>361</v>
      </c>
      <c r="D96" s="21" t="n">
        <v>2.43</v>
      </c>
      <c r="E96" s="23" t="n">
        <v>1</v>
      </c>
      <c r="F96" s="13" t="n">
        <f aca="false">INDEX(Machine_Rates!$C$5:$C$38,MATCH(C96,Machine_Rates!$A$5:$A$38,0))</f>
        <v>18.7972</v>
      </c>
      <c r="G96" s="22" t="n">
        <f aca="false">D96*E96*F96</f>
        <v>45.677196</v>
      </c>
    </row>
    <row r="97" customFormat="false" ht="15" hidden="false" customHeight="false" outlineLevel="0" collapsed="false">
      <c r="A97" s="5" t="s">
        <v>461</v>
      </c>
      <c r="B97" s="2" t="s">
        <v>654</v>
      </c>
      <c r="C97" s="5" t="s">
        <v>370</v>
      </c>
      <c r="D97" s="21" t="n">
        <v>2.179</v>
      </c>
      <c r="E97" s="23" t="n">
        <v>1</v>
      </c>
      <c r="F97" s="13" t="n">
        <f aca="false">INDEX(Machine_Rates!$C$5:$C$38,MATCH(C97,Machine_Rates!$A$5:$A$38,0))</f>
        <v>0</v>
      </c>
      <c r="G97" s="22" t="n">
        <f aca="false">D97*E97*F97</f>
        <v>0</v>
      </c>
    </row>
    <row r="98" customFormat="false" ht="15" hidden="false" customHeight="false" outlineLevel="0" collapsed="false">
      <c r="A98" s="5" t="s">
        <v>461</v>
      </c>
      <c r="B98" s="2" t="s">
        <v>654</v>
      </c>
      <c r="C98" s="5" t="s">
        <v>376</v>
      </c>
      <c r="D98" s="21" t="n">
        <v>1.089</v>
      </c>
      <c r="E98" s="23" t="n">
        <v>1</v>
      </c>
      <c r="F98" s="13" t="n">
        <f aca="false">INDEX(Machine_Rates!$C$5:$C$38,MATCH(C98,Machine_Rates!$A$5:$A$38,0))</f>
        <v>15.0109</v>
      </c>
      <c r="G98" s="22" t="n">
        <f aca="false">D98*E98*F98</f>
        <v>16.3468701</v>
      </c>
    </row>
    <row r="99" customFormat="false" ht="15" hidden="false" customHeight="false" outlineLevel="0" collapsed="false">
      <c r="A99" s="5" t="s">
        <v>461</v>
      </c>
      <c r="B99" s="2" t="s">
        <v>654</v>
      </c>
      <c r="C99" s="5" t="s">
        <v>379</v>
      </c>
      <c r="D99" s="21" t="n">
        <v>1.751</v>
      </c>
      <c r="E99" s="23" t="n">
        <v>1</v>
      </c>
      <c r="F99" s="13" t="n">
        <f aca="false">INDEX(Machine_Rates!$C$5:$C$38,MATCH(C99,Machine_Rates!$A$5:$A$38,0))</f>
        <v>5.317</v>
      </c>
      <c r="G99" s="22" t="n">
        <f aca="false">D99*E99*F99</f>
        <v>9.310067</v>
      </c>
    </row>
    <row r="100" customFormat="false" ht="15" hidden="false" customHeight="false" outlineLevel="0" collapsed="false">
      <c r="A100" s="5" t="s">
        <v>461</v>
      </c>
      <c r="B100" s="2" t="s">
        <v>654</v>
      </c>
      <c r="C100" s="5" t="s">
        <v>366</v>
      </c>
      <c r="D100" s="21" t="n">
        <v>3.922</v>
      </c>
      <c r="E100" s="23" t="n">
        <v>1</v>
      </c>
      <c r="F100" s="13" t="n">
        <f aca="false">INDEX(Machine_Rates!$C$5:$C$38,MATCH(C100,Machine_Rates!$A$5:$A$38,0))</f>
        <v>37.161</v>
      </c>
      <c r="G100" s="22" t="n">
        <f aca="false">D100*E100*F100</f>
        <v>145.745442</v>
      </c>
    </row>
    <row r="101" customFormat="false" ht="15" hidden="false" customHeight="false" outlineLevel="0" collapsed="false">
      <c r="A101" s="5" t="s">
        <v>461</v>
      </c>
      <c r="B101" s="2" t="s">
        <v>654</v>
      </c>
      <c r="C101" s="5" t="s">
        <v>379</v>
      </c>
      <c r="D101" s="21" t="n">
        <v>2.778</v>
      </c>
      <c r="E101" s="23" t="n">
        <v>1</v>
      </c>
      <c r="F101" s="13" t="n">
        <f aca="false">INDEX(Machine_Rates!$C$5:$C$38,MATCH(C101,Machine_Rates!$A$5:$A$38,0))</f>
        <v>5.317</v>
      </c>
      <c r="G101" s="22" t="n">
        <f aca="false">D101*E101*F101</f>
        <v>14.770626</v>
      </c>
    </row>
    <row r="102" customFormat="false" ht="15" hidden="false" customHeight="false" outlineLevel="0" collapsed="false">
      <c r="A102" s="5" t="s">
        <v>461</v>
      </c>
      <c r="B102" s="2" t="s">
        <v>654</v>
      </c>
      <c r="C102" s="5" t="s">
        <v>362</v>
      </c>
      <c r="D102" s="21" t="n">
        <v>2.268</v>
      </c>
      <c r="E102" s="23" t="n">
        <v>1</v>
      </c>
      <c r="F102" s="13" t="n">
        <f aca="false">INDEX(Machine_Rates!$C$5:$C$38,MATCH(C102,Machine_Rates!$A$5:$A$38,0))</f>
        <v>18.797</v>
      </c>
      <c r="G102" s="22" t="n">
        <f aca="false">D102*E102*F102</f>
        <v>42.631596</v>
      </c>
    </row>
    <row r="103" customFormat="false" ht="15" hidden="false" customHeight="false" outlineLevel="0" collapsed="false">
      <c r="A103" s="5" t="s">
        <v>461</v>
      </c>
      <c r="B103" s="2" t="s">
        <v>654</v>
      </c>
      <c r="C103" s="5" t="s">
        <v>356</v>
      </c>
      <c r="D103" s="21" t="n">
        <v>4.07</v>
      </c>
      <c r="E103" s="23" t="n">
        <v>1</v>
      </c>
      <c r="F103" s="13" t="n">
        <f aca="false">INDEX(Machine_Rates!$C$5:$C$38,MATCH(C103,Machine_Rates!$A$5:$A$38,0))</f>
        <v>16.82</v>
      </c>
      <c r="G103" s="22" t="n">
        <f aca="false">D103*E103*F103</f>
        <v>68.4574</v>
      </c>
    </row>
    <row r="104" customFormat="false" ht="15" hidden="false" customHeight="false" outlineLevel="0" collapsed="false">
      <c r="A104" s="5" t="s">
        <v>461</v>
      </c>
      <c r="B104" s="2" t="s">
        <v>654</v>
      </c>
      <c r="C104" s="5" t="s">
        <v>362</v>
      </c>
      <c r="D104" s="21" t="n">
        <v>3.33</v>
      </c>
      <c r="E104" s="23" t="n">
        <v>1</v>
      </c>
      <c r="F104" s="13" t="n">
        <f aca="false">INDEX(Machine_Rates!$C$5:$C$38,MATCH(C104,Machine_Rates!$A$5:$A$38,0))</f>
        <v>18.797</v>
      </c>
      <c r="G104" s="22" t="n">
        <f aca="false">D104*E104*F104</f>
        <v>62.59401</v>
      </c>
    </row>
    <row r="105" customFormat="false" ht="15" hidden="false" customHeight="false" outlineLevel="0" collapsed="false">
      <c r="A105" s="5" t="s">
        <v>467</v>
      </c>
      <c r="B105" s="2" t="s">
        <v>655</v>
      </c>
      <c r="C105" s="5" t="s">
        <v>370</v>
      </c>
      <c r="D105" s="21" t="n">
        <v>2.572</v>
      </c>
      <c r="E105" s="23" t="n">
        <v>1</v>
      </c>
      <c r="F105" s="13" t="n">
        <f aca="false">INDEX(Machine_Rates!$C$5:$C$38,MATCH(C105,Machine_Rates!$A$5:$A$38,0))</f>
        <v>0</v>
      </c>
      <c r="G105" s="22" t="n">
        <f aca="false">D105*E105*F105</f>
        <v>0</v>
      </c>
    </row>
    <row r="106" customFormat="false" ht="15" hidden="false" customHeight="false" outlineLevel="0" collapsed="false">
      <c r="A106" s="5" t="s">
        <v>467</v>
      </c>
      <c r="B106" s="2" t="s">
        <v>655</v>
      </c>
      <c r="C106" s="5" t="s">
        <v>376</v>
      </c>
      <c r="D106" s="21" t="n">
        <v>1.783</v>
      </c>
      <c r="E106" s="23" t="n">
        <v>1</v>
      </c>
      <c r="F106" s="13" t="n">
        <f aca="false">INDEX(Machine_Rates!$C$5:$C$38,MATCH(C106,Machine_Rates!$A$5:$A$38,0))</f>
        <v>15.0109</v>
      </c>
      <c r="G106" s="22" t="n">
        <f aca="false">D106*E106*F106</f>
        <v>26.7644347</v>
      </c>
    </row>
    <row r="107" customFormat="false" ht="15" hidden="false" customHeight="false" outlineLevel="0" collapsed="false">
      <c r="A107" s="5" t="s">
        <v>467</v>
      </c>
      <c r="B107" s="2" t="s">
        <v>655</v>
      </c>
      <c r="C107" s="5" t="s">
        <v>377</v>
      </c>
      <c r="D107" s="21" t="n">
        <v>1.543</v>
      </c>
      <c r="E107" s="23" t="n">
        <v>1</v>
      </c>
      <c r="F107" s="13" t="n">
        <f aca="false">INDEX(Machine_Rates!$C$5:$C$38,MATCH(C107,Machine_Rates!$A$5:$A$38,0))</f>
        <v>5.3171</v>
      </c>
      <c r="G107" s="22" t="n">
        <f aca="false">D107*E107*F107</f>
        <v>8.2042853</v>
      </c>
    </row>
    <row r="108" customFormat="false" ht="15" hidden="false" customHeight="false" outlineLevel="0" collapsed="false">
      <c r="A108" s="5" t="s">
        <v>467</v>
      </c>
      <c r="B108" s="2" t="s">
        <v>655</v>
      </c>
      <c r="C108" s="5" t="s">
        <v>366</v>
      </c>
      <c r="D108" s="21" t="n">
        <v>5.157</v>
      </c>
      <c r="E108" s="23" t="n">
        <v>1</v>
      </c>
      <c r="F108" s="13" t="n">
        <f aca="false">INDEX(Machine_Rates!$C$5:$C$38,MATCH(C108,Machine_Rates!$A$5:$A$38,0))</f>
        <v>37.161</v>
      </c>
      <c r="G108" s="22" t="n">
        <f aca="false">D108*E108*F108</f>
        <v>191.639277</v>
      </c>
    </row>
    <row r="109" customFormat="false" ht="15" hidden="false" customHeight="false" outlineLevel="0" collapsed="false">
      <c r="A109" s="5" t="s">
        <v>467</v>
      </c>
      <c r="B109" s="2" t="s">
        <v>655</v>
      </c>
      <c r="C109" s="5" t="s">
        <v>379</v>
      </c>
      <c r="D109" s="21" t="n">
        <v>2.976</v>
      </c>
      <c r="E109" s="23" t="n">
        <v>1</v>
      </c>
      <c r="F109" s="13" t="n">
        <f aca="false">INDEX(Machine_Rates!$C$5:$C$38,MATCH(C109,Machine_Rates!$A$5:$A$38,0))</f>
        <v>5.317</v>
      </c>
      <c r="G109" s="22" t="n">
        <f aca="false">D109*E109*F109</f>
        <v>15.823392</v>
      </c>
    </row>
    <row r="110" customFormat="false" ht="15" hidden="false" customHeight="false" outlineLevel="0" collapsed="false">
      <c r="A110" s="5" t="s">
        <v>467</v>
      </c>
      <c r="B110" s="2" t="s">
        <v>655</v>
      </c>
      <c r="C110" s="5" t="s">
        <v>362</v>
      </c>
      <c r="D110" s="21" t="n">
        <v>2.886</v>
      </c>
      <c r="E110" s="23" t="n">
        <v>1</v>
      </c>
      <c r="F110" s="13" t="n">
        <f aca="false">INDEX(Machine_Rates!$C$5:$C$38,MATCH(C110,Machine_Rates!$A$5:$A$38,0))</f>
        <v>18.797</v>
      </c>
      <c r="G110" s="22" t="n">
        <f aca="false">D110*E110*F110</f>
        <v>54.248142</v>
      </c>
    </row>
    <row r="111" customFormat="false" ht="15" hidden="false" customHeight="false" outlineLevel="0" collapsed="false">
      <c r="A111" s="5" t="s">
        <v>467</v>
      </c>
      <c r="B111" s="2" t="s">
        <v>655</v>
      </c>
      <c r="C111" s="5" t="s">
        <v>356</v>
      </c>
      <c r="D111" s="21" t="n">
        <v>4.579</v>
      </c>
      <c r="E111" s="23" t="n">
        <v>1</v>
      </c>
      <c r="F111" s="13" t="n">
        <f aca="false">INDEX(Machine_Rates!$C$5:$C$38,MATCH(C111,Machine_Rates!$A$5:$A$38,0))</f>
        <v>16.82</v>
      </c>
      <c r="G111" s="22" t="n">
        <f aca="false">D111*E111*F111</f>
        <v>77.01878</v>
      </c>
    </row>
    <row r="112" customFormat="false" ht="15" hidden="false" customHeight="false" outlineLevel="0" collapsed="false">
      <c r="A112" s="5" t="s">
        <v>467</v>
      </c>
      <c r="B112" s="2" t="s">
        <v>655</v>
      </c>
      <c r="C112" s="5" t="s">
        <v>362</v>
      </c>
      <c r="D112" s="21" t="n">
        <v>4.07</v>
      </c>
      <c r="E112" s="23" t="n">
        <v>1</v>
      </c>
      <c r="F112" s="13" t="n">
        <f aca="false">INDEX(Machine_Rates!$C$5:$C$38,MATCH(C112,Machine_Rates!$A$5:$A$38,0))</f>
        <v>18.797</v>
      </c>
      <c r="G112" s="22" t="n">
        <f aca="false">D112*E112*F112</f>
        <v>76.50379</v>
      </c>
    </row>
    <row r="113" customFormat="false" ht="15" hidden="false" customHeight="false" outlineLevel="0" collapsed="false">
      <c r="A113" s="5" t="s">
        <v>469</v>
      </c>
      <c r="B113" s="2" t="s">
        <v>656</v>
      </c>
      <c r="C113" s="5" t="s">
        <v>370</v>
      </c>
      <c r="D113" s="21" t="n">
        <v>0.01</v>
      </c>
      <c r="E113" s="23" t="n">
        <v>4</v>
      </c>
      <c r="F113" s="13" t="n">
        <f aca="false">INDEX(Machine_Rates!$C$5:$C$38,MATCH(C113,Machine_Rates!$A$5:$A$38,0))</f>
        <v>0</v>
      </c>
      <c r="G113" s="22" t="n">
        <f aca="false">D113*E113*F113</f>
        <v>0</v>
      </c>
    </row>
    <row r="114" customFormat="false" ht="15" hidden="false" customHeight="false" outlineLevel="0" collapsed="false">
      <c r="A114" s="5" t="s">
        <v>469</v>
      </c>
      <c r="B114" s="2" t="s">
        <v>656</v>
      </c>
      <c r="C114" s="5" t="s">
        <v>368</v>
      </c>
      <c r="D114" s="21" t="n">
        <v>0.926</v>
      </c>
      <c r="E114" s="23" t="n">
        <v>4.5</v>
      </c>
      <c r="F114" s="13" t="n">
        <f aca="false">INDEX(Machine_Rates!$C$5:$C$38,MATCH(C114,Machine_Rates!$A$5:$A$38,0))</f>
        <v>0</v>
      </c>
      <c r="G114" s="22" t="n">
        <f aca="false">D114*E114*F114</f>
        <v>0</v>
      </c>
    </row>
    <row r="115" customFormat="false" ht="15" hidden="false" customHeight="false" outlineLevel="0" collapsed="false">
      <c r="A115" s="5" t="s">
        <v>469</v>
      </c>
      <c r="B115" s="2" t="s">
        <v>656</v>
      </c>
      <c r="C115" s="5" t="s">
        <v>364</v>
      </c>
      <c r="D115" s="21" t="n">
        <v>0.039</v>
      </c>
      <c r="E115" s="23" t="n">
        <v>2</v>
      </c>
      <c r="F115" s="13" t="n">
        <f aca="false">INDEX(Machine_Rates!$C$5:$C$38,MATCH(C115,Machine_Rates!$A$5:$A$38,0))</f>
        <v>8.4956</v>
      </c>
      <c r="G115" s="22" t="n">
        <f aca="false">D115*E115*F115</f>
        <v>0.6626568</v>
      </c>
    </row>
    <row r="116" customFormat="false" ht="15" hidden="false" customHeight="false" outlineLevel="0" collapsed="false">
      <c r="A116" s="5" t="s">
        <v>469</v>
      </c>
      <c r="B116" s="2" t="s">
        <v>656</v>
      </c>
      <c r="C116" s="5" t="s">
        <v>342</v>
      </c>
      <c r="D116" s="21" t="n">
        <v>0.617</v>
      </c>
      <c r="E116" s="23" t="n">
        <v>1</v>
      </c>
      <c r="F116" s="13" t="n">
        <f aca="false">INDEX(Machine_Rates!$C$5:$C$38,MATCH(C116,Machine_Rates!$A$5:$A$38,0))</f>
        <v>2.4859</v>
      </c>
      <c r="G116" s="22" t="n">
        <f aca="false">D116*E116*F116</f>
        <v>1.5338003</v>
      </c>
    </row>
    <row r="117" customFormat="false" ht="15" hidden="false" customHeight="false" outlineLevel="0" collapsed="false">
      <c r="A117" s="5" t="s">
        <v>469</v>
      </c>
      <c r="B117" s="2" t="s">
        <v>656</v>
      </c>
      <c r="C117" s="5" t="s">
        <v>364</v>
      </c>
      <c r="D117" s="21" t="n">
        <v>0.772</v>
      </c>
      <c r="E117" s="23" t="n">
        <v>1</v>
      </c>
      <c r="F117" s="13" t="n">
        <f aca="false">INDEX(Machine_Rates!$C$5:$C$38,MATCH(C117,Machine_Rates!$A$5:$A$38,0))</f>
        <v>8.4956</v>
      </c>
      <c r="G117" s="22" t="n">
        <f aca="false">D117*E117*F117</f>
        <v>6.5586032</v>
      </c>
    </row>
    <row r="118" customFormat="false" ht="15" hidden="false" customHeight="false" outlineLevel="0" collapsed="false">
      <c r="A118" s="5" t="s">
        <v>469</v>
      </c>
      <c r="B118" s="2" t="s">
        <v>656</v>
      </c>
      <c r="C118" s="5" t="s">
        <v>337</v>
      </c>
      <c r="D118" s="21" t="n">
        <v>2.315</v>
      </c>
      <c r="E118" s="23" t="n">
        <v>1</v>
      </c>
      <c r="F118" s="13" t="n">
        <f aca="false">INDEX(Machine_Rates!$C$5:$C$38,MATCH(C118,Machine_Rates!$A$5:$A$38,0))</f>
        <v>4.3539</v>
      </c>
      <c r="G118" s="22" t="n">
        <f aca="false">D118*E118*F118</f>
        <v>10.0792785</v>
      </c>
    </row>
    <row r="119" customFormat="false" ht="15" hidden="false" customHeight="false" outlineLevel="0" collapsed="false">
      <c r="A119" s="5" t="s">
        <v>469</v>
      </c>
      <c r="B119" s="2" t="s">
        <v>656</v>
      </c>
      <c r="C119" s="5" t="s">
        <v>360</v>
      </c>
      <c r="D119" s="21" t="n">
        <v>0.926</v>
      </c>
      <c r="E119" s="23" t="n">
        <v>1</v>
      </c>
      <c r="F119" s="13" t="n">
        <f aca="false">INDEX(Machine_Rates!$C$5:$C$38,MATCH(C119,Machine_Rates!$A$5:$A$38,0))</f>
        <v>12.3201</v>
      </c>
      <c r="G119" s="22" t="n">
        <f aca="false">D119*E119*F119</f>
        <v>11.4084126</v>
      </c>
    </row>
    <row r="120" customFormat="false" ht="15" hidden="false" customHeight="false" outlineLevel="0" collapsed="false">
      <c r="A120" s="5" t="s">
        <v>471</v>
      </c>
      <c r="B120" s="2" t="s">
        <v>657</v>
      </c>
      <c r="C120" s="5" t="s">
        <v>370</v>
      </c>
      <c r="D120" s="21" t="n">
        <v>0.01</v>
      </c>
      <c r="E120" s="23" t="n">
        <v>4</v>
      </c>
      <c r="F120" s="13" t="n">
        <f aca="false">INDEX(Machine_Rates!$C$5:$C$38,MATCH(C120,Machine_Rates!$A$5:$A$38,0))</f>
        <v>0</v>
      </c>
      <c r="G120" s="22" t="n">
        <f aca="false">D120*E120*F120</f>
        <v>0</v>
      </c>
    </row>
    <row r="121" customFormat="false" ht="15" hidden="false" customHeight="false" outlineLevel="0" collapsed="false">
      <c r="A121" s="5" t="s">
        <v>471</v>
      </c>
      <c r="B121" s="2" t="s">
        <v>657</v>
      </c>
      <c r="C121" s="5" t="s">
        <v>380</v>
      </c>
      <c r="D121" s="21" t="n">
        <v>2.437</v>
      </c>
      <c r="E121" s="23" t="n">
        <v>2</v>
      </c>
      <c r="F121" s="13" t="n">
        <f aca="false">INDEX(Machine_Rates!$C$5:$C$38,MATCH(C121,Machine_Rates!$A$5:$A$38,0))</f>
        <v>1.771</v>
      </c>
      <c r="G121" s="22" t="n">
        <f aca="false">D121*E121*F121</f>
        <v>8.631854</v>
      </c>
    </row>
    <row r="122" customFormat="false" ht="15" hidden="false" customHeight="false" outlineLevel="0" collapsed="false">
      <c r="A122" s="5" t="s">
        <v>471</v>
      </c>
      <c r="B122" s="2" t="s">
        <v>657</v>
      </c>
      <c r="C122" s="5" t="s">
        <v>368</v>
      </c>
      <c r="D122" s="21" t="n">
        <v>0.926</v>
      </c>
      <c r="E122" s="23" t="n">
        <v>4.5</v>
      </c>
      <c r="F122" s="13" t="n">
        <f aca="false">INDEX(Machine_Rates!$C$5:$C$38,MATCH(C122,Machine_Rates!$A$5:$A$38,0))</f>
        <v>0</v>
      </c>
      <c r="G122" s="22" t="n">
        <f aca="false">D122*E122*F122</f>
        <v>0</v>
      </c>
    </row>
    <row r="123" customFormat="false" ht="15" hidden="false" customHeight="false" outlineLevel="0" collapsed="false">
      <c r="A123" s="5" t="s">
        <v>471</v>
      </c>
      <c r="B123" s="2" t="s">
        <v>657</v>
      </c>
      <c r="C123" s="5" t="s">
        <v>364</v>
      </c>
      <c r="D123" s="21" t="n">
        <v>0.039</v>
      </c>
      <c r="E123" s="23" t="n">
        <v>2</v>
      </c>
      <c r="F123" s="13" t="n">
        <f aca="false">INDEX(Machine_Rates!$C$5:$C$38,MATCH(C123,Machine_Rates!$A$5:$A$38,0))</f>
        <v>8.4956</v>
      </c>
      <c r="G123" s="22" t="n">
        <f aca="false">D123*E123*F123</f>
        <v>0.6626568</v>
      </c>
    </row>
    <row r="124" customFormat="false" ht="15" hidden="false" customHeight="false" outlineLevel="0" collapsed="false">
      <c r="A124" s="5" t="s">
        <v>471</v>
      </c>
      <c r="B124" s="2" t="s">
        <v>657</v>
      </c>
      <c r="C124" s="5" t="s">
        <v>342</v>
      </c>
      <c r="D124" s="21" t="n">
        <v>0.617</v>
      </c>
      <c r="E124" s="23" t="n">
        <v>1</v>
      </c>
      <c r="F124" s="13" t="n">
        <f aca="false">INDEX(Machine_Rates!$C$5:$C$38,MATCH(C124,Machine_Rates!$A$5:$A$38,0))</f>
        <v>2.4859</v>
      </c>
      <c r="G124" s="22" t="n">
        <f aca="false">D124*E124*F124</f>
        <v>1.5338003</v>
      </c>
    </row>
    <row r="125" customFormat="false" ht="15" hidden="false" customHeight="false" outlineLevel="0" collapsed="false">
      <c r="A125" s="5" t="s">
        <v>471</v>
      </c>
      <c r="B125" s="2" t="s">
        <v>657</v>
      </c>
      <c r="C125" s="5" t="s">
        <v>364</v>
      </c>
      <c r="D125" s="21" t="n">
        <v>0.772</v>
      </c>
      <c r="E125" s="23" t="n">
        <v>1</v>
      </c>
      <c r="F125" s="13" t="n">
        <f aca="false">INDEX(Machine_Rates!$C$5:$C$38,MATCH(C125,Machine_Rates!$A$5:$A$38,0))</f>
        <v>8.4956</v>
      </c>
      <c r="G125" s="22" t="n">
        <f aca="false">D125*E125*F125</f>
        <v>6.5586032</v>
      </c>
    </row>
    <row r="126" customFormat="false" ht="15" hidden="false" customHeight="false" outlineLevel="0" collapsed="false">
      <c r="A126" s="5" t="s">
        <v>471</v>
      </c>
      <c r="B126" s="2" t="s">
        <v>657</v>
      </c>
      <c r="C126" s="5" t="s">
        <v>337</v>
      </c>
      <c r="D126" s="21" t="n">
        <v>2.315</v>
      </c>
      <c r="E126" s="23" t="n">
        <v>1</v>
      </c>
      <c r="F126" s="13" t="n">
        <f aca="false">INDEX(Machine_Rates!$C$5:$C$38,MATCH(C126,Machine_Rates!$A$5:$A$38,0))</f>
        <v>4.3539</v>
      </c>
      <c r="G126" s="22" t="n">
        <f aca="false">D126*E126*F126</f>
        <v>10.0792785</v>
      </c>
    </row>
    <row r="127" customFormat="false" ht="15" hidden="false" customHeight="false" outlineLevel="0" collapsed="false">
      <c r="A127" s="5" t="s">
        <v>471</v>
      </c>
      <c r="B127" s="2" t="s">
        <v>657</v>
      </c>
      <c r="C127" s="5" t="s">
        <v>360</v>
      </c>
      <c r="D127" s="21" t="n">
        <v>0.926</v>
      </c>
      <c r="E127" s="23" t="n">
        <v>1</v>
      </c>
      <c r="F127" s="13" t="n">
        <f aca="false">INDEX(Machine_Rates!$C$5:$C$38,MATCH(C127,Machine_Rates!$A$5:$A$38,0))</f>
        <v>12.3201</v>
      </c>
      <c r="G127" s="22" t="n">
        <f aca="false">D127*E127*F127</f>
        <v>11.4084126</v>
      </c>
    </row>
    <row r="128" customFormat="false" ht="15" hidden="false" customHeight="false" outlineLevel="0" collapsed="false">
      <c r="A128" s="5" t="s">
        <v>473</v>
      </c>
      <c r="B128" s="2" t="s">
        <v>658</v>
      </c>
      <c r="C128" s="5" t="s">
        <v>370</v>
      </c>
      <c r="D128" s="21" t="n">
        <v>2.179</v>
      </c>
      <c r="E128" s="23" t="n">
        <v>1</v>
      </c>
      <c r="F128" s="13" t="n">
        <f aca="false">INDEX(Machine_Rates!$C$5:$C$38,MATCH(C128,Machine_Rates!$A$5:$A$38,0))</f>
        <v>0</v>
      </c>
      <c r="G128" s="22" t="n">
        <f aca="false">D128*E128*F128</f>
        <v>0</v>
      </c>
    </row>
    <row r="129" customFormat="false" ht="15" hidden="false" customHeight="false" outlineLevel="0" collapsed="false">
      <c r="A129" s="5" t="s">
        <v>473</v>
      </c>
      <c r="B129" s="2" t="s">
        <v>658</v>
      </c>
      <c r="C129" s="5" t="s">
        <v>375</v>
      </c>
      <c r="D129" s="21" t="n">
        <v>0.735</v>
      </c>
      <c r="E129" s="23" t="n">
        <v>1</v>
      </c>
      <c r="F129" s="13" t="n">
        <f aca="false">INDEX(Machine_Rates!$C$5:$C$38,MATCH(C129,Machine_Rates!$A$5:$A$38,0))</f>
        <v>15.0115</v>
      </c>
      <c r="G129" s="22" t="n">
        <f aca="false">D129*E129*F129</f>
        <v>11.0334525</v>
      </c>
    </row>
    <row r="130" customFormat="false" ht="15" hidden="false" customHeight="false" outlineLevel="0" collapsed="false">
      <c r="A130" s="5" t="s">
        <v>473</v>
      </c>
      <c r="B130" s="2" t="s">
        <v>658</v>
      </c>
      <c r="C130" s="5" t="s">
        <v>365</v>
      </c>
      <c r="D130" s="21" t="n">
        <v>0.473</v>
      </c>
      <c r="E130" s="23" t="n">
        <v>1</v>
      </c>
      <c r="F130" s="13" t="n">
        <f aca="false">INDEX(Machine_Rates!$C$5:$C$38,MATCH(C130,Machine_Rates!$A$5:$A$38,0))</f>
        <v>10.9057</v>
      </c>
      <c r="G130" s="22" t="n">
        <f aca="false">D130*E130*F130</f>
        <v>5.1583961</v>
      </c>
    </row>
    <row r="131" customFormat="false" ht="15" hidden="false" customHeight="false" outlineLevel="0" collapsed="false">
      <c r="A131" s="5" t="s">
        <v>475</v>
      </c>
      <c r="B131" s="2" t="s">
        <v>659</v>
      </c>
      <c r="C131" s="5" t="s">
        <v>370</v>
      </c>
      <c r="D131" s="21" t="n">
        <v>2.179</v>
      </c>
      <c r="E131" s="23" t="n">
        <v>1</v>
      </c>
      <c r="F131" s="13" t="n">
        <f aca="false">INDEX(Machine_Rates!$C$5:$C$38,MATCH(C131,Machine_Rates!$A$5:$A$38,0))</f>
        <v>0</v>
      </c>
      <c r="G131" s="22" t="n">
        <f aca="false">D131*E131*F131</f>
        <v>0</v>
      </c>
    </row>
    <row r="132" customFormat="false" ht="15" hidden="false" customHeight="false" outlineLevel="0" collapsed="false">
      <c r="A132" s="5" t="s">
        <v>475</v>
      </c>
      <c r="B132" s="2" t="s">
        <v>659</v>
      </c>
      <c r="C132" s="5" t="s">
        <v>376</v>
      </c>
      <c r="D132" s="21" t="n">
        <v>1.089</v>
      </c>
      <c r="E132" s="23" t="n">
        <v>1</v>
      </c>
      <c r="F132" s="13" t="n">
        <f aca="false">INDEX(Machine_Rates!$C$5:$C$38,MATCH(C132,Machine_Rates!$A$5:$A$38,0))</f>
        <v>15.0109</v>
      </c>
      <c r="G132" s="22" t="n">
        <f aca="false">D132*E132*F132</f>
        <v>16.3468701</v>
      </c>
    </row>
    <row r="133" customFormat="false" ht="15" hidden="false" customHeight="false" outlineLevel="0" collapsed="false">
      <c r="A133" s="5" t="s">
        <v>475</v>
      </c>
      <c r="B133" s="2" t="s">
        <v>659</v>
      </c>
      <c r="C133" s="5" t="s">
        <v>379</v>
      </c>
      <c r="D133" s="21" t="n">
        <v>1.751</v>
      </c>
      <c r="E133" s="23" t="n">
        <v>1</v>
      </c>
      <c r="F133" s="13" t="n">
        <f aca="false">INDEX(Machine_Rates!$C$5:$C$38,MATCH(C133,Machine_Rates!$A$5:$A$38,0))</f>
        <v>5.317</v>
      </c>
      <c r="G133" s="22" t="n">
        <f aca="false">D133*E133*F133</f>
        <v>9.310067</v>
      </c>
    </row>
    <row r="134" customFormat="false" ht="15" hidden="false" customHeight="false" outlineLevel="0" collapsed="false">
      <c r="A134" s="5" t="s">
        <v>475</v>
      </c>
      <c r="B134" s="2" t="s">
        <v>659</v>
      </c>
      <c r="C134" s="5" t="s">
        <v>366</v>
      </c>
      <c r="D134" s="21" t="n">
        <v>2.99</v>
      </c>
      <c r="E134" s="23" t="n">
        <v>1</v>
      </c>
      <c r="F134" s="13" t="n">
        <f aca="false">INDEX(Machine_Rates!$C$5:$C$38,MATCH(C134,Machine_Rates!$A$5:$A$38,0))</f>
        <v>37.161</v>
      </c>
      <c r="G134" s="22" t="n">
        <f aca="false">D134*E134*F134</f>
        <v>111.11139</v>
      </c>
    </row>
    <row r="135" customFormat="false" ht="15" hidden="false" customHeight="false" outlineLevel="0" collapsed="false">
      <c r="A135" s="5" t="s">
        <v>475</v>
      </c>
      <c r="B135" s="2" t="s">
        <v>659</v>
      </c>
      <c r="C135" s="5" t="s">
        <v>379</v>
      </c>
      <c r="D135" s="21" t="n">
        <v>2.058</v>
      </c>
      <c r="E135" s="23" t="n">
        <v>1</v>
      </c>
      <c r="F135" s="13" t="n">
        <f aca="false">INDEX(Machine_Rates!$C$5:$C$38,MATCH(C135,Machine_Rates!$A$5:$A$38,0))</f>
        <v>5.317</v>
      </c>
      <c r="G135" s="22" t="n">
        <f aca="false">D135*E135*F135</f>
        <v>10.942386</v>
      </c>
    </row>
    <row r="136" customFormat="false" ht="15" hidden="false" customHeight="false" outlineLevel="0" collapsed="false">
      <c r="A136" s="5" t="s">
        <v>475</v>
      </c>
      <c r="B136" s="2" t="s">
        <v>659</v>
      </c>
      <c r="C136" s="5" t="s">
        <v>362</v>
      </c>
      <c r="D136" s="21" t="n">
        <v>2.469</v>
      </c>
      <c r="E136" s="23" t="n">
        <v>1</v>
      </c>
      <c r="F136" s="13" t="n">
        <f aca="false">INDEX(Machine_Rates!$C$5:$C$38,MATCH(C136,Machine_Rates!$A$5:$A$38,0))</f>
        <v>18.797</v>
      </c>
      <c r="G136" s="22" t="n">
        <f aca="false">D136*E136*F136</f>
        <v>46.409793</v>
      </c>
    </row>
    <row r="137" customFormat="false" ht="15" hidden="false" customHeight="false" outlineLevel="0" collapsed="false">
      <c r="A137" s="5" t="s">
        <v>475</v>
      </c>
      <c r="B137" s="2" t="s">
        <v>659</v>
      </c>
      <c r="C137" s="5" t="s">
        <v>354</v>
      </c>
      <c r="D137" s="21" t="n">
        <v>4.535</v>
      </c>
      <c r="E137" s="23" t="n">
        <v>1</v>
      </c>
      <c r="F137" s="13" t="n">
        <f aca="false">INDEX(Machine_Rates!$C$5:$C$38,MATCH(C137,Machine_Rates!$A$5:$A$38,0))</f>
        <v>16.8199</v>
      </c>
      <c r="G137" s="22" t="n">
        <f aca="false">D137*E137*F137</f>
        <v>76.2782465</v>
      </c>
    </row>
    <row r="138" customFormat="false" ht="15" hidden="false" customHeight="false" outlineLevel="0" collapsed="false">
      <c r="A138" s="5" t="s">
        <v>475</v>
      </c>
      <c r="B138" s="2" t="s">
        <v>659</v>
      </c>
      <c r="C138" s="5" t="s">
        <v>362</v>
      </c>
      <c r="D138" s="21" t="n">
        <v>4.07</v>
      </c>
      <c r="E138" s="23" t="n">
        <v>1</v>
      </c>
      <c r="F138" s="13" t="n">
        <f aca="false">INDEX(Machine_Rates!$C$5:$C$38,MATCH(C138,Machine_Rates!$A$5:$A$38,0))</f>
        <v>18.797</v>
      </c>
      <c r="G138" s="22" t="n">
        <f aca="false">D138*E138*F138</f>
        <v>76.50379</v>
      </c>
    </row>
    <row r="139" customFormat="false" ht="15" hidden="false" customHeight="false" outlineLevel="0" collapsed="false">
      <c r="A139" s="5" t="s">
        <v>478</v>
      </c>
      <c r="B139" s="2" t="s">
        <v>660</v>
      </c>
      <c r="C139" s="5" t="s">
        <v>370</v>
      </c>
      <c r="D139" s="21" t="n">
        <v>2.572</v>
      </c>
      <c r="E139" s="23" t="n">
        <v>1</v>
      </c>
      <c r="F139" s="13" t="n">
        <f aca="false">INDEX(Machine_Rates!$C$5:$C$38,MATCH(C139,Machine_Rates!$A$5:$A$38,0))</f>
        <v>0</v>
      </c>
      <c r="G139" s="22" t="n">
        <f aca="false">D139*E139*F139</f>
        <v>0</v>
      </c>
    </row>
    <row r="140" customFormat="false" ht="15" hidden="false" customHeight="false" outlineLevel="0" collapsed="false">
      <c r="A140" s="5" t="s">
        <v>478</v>
      </c>
      <c r="B140" s="2" t="s">
        <v>660</v>
      </c>
      <c r="C140" s="5" t="s">
        <v>376</v>
      </c>
      <c r="D140" s="21" t="n">
        <v>1.783</v>
      </c>
      <c r="E140" s="23" t="n">
        <v>1</v>
      </c>
      <c r="F140" s="13" t="n">
        <f aca="false">INDEX(Machine_Rates!$C$5:$C$38,MATCH(C140,Machine_Rates!$A$5:$A$38,0))</f>
        <v>15.0109</v>
      </c>
      <c r="G140" s="22" t="n">
        <f aca="false">D140*E140*F140</f>
        <v>26.7644347</v>
      </c>
    </row>
    <row r="141" customFormat="false" ht="15" hidden="false" customHeight="false" outlineLevel="0" collapsed="false">
      <c r="A141" s="5" t="s">
        <v>478</v>
      </c>
      <c r="B141" s="2" t="s">
        <v>660</v>
      </c>
      <c r="C141" s="5" t="s">
        <v>377</v>
      </c>
      <c r="D141" s="21" t="n">
        <v>1.543</v>
      </c>
      <c r="E141" s="23" t="n">
        <v>1</v>
      </c>
      <c r="F141" s="13" t="n">
        <f aca="false">INDEX(Machine_Rates!$C$5:$C$38,MATCH(C141,Machine_Rates!$A$5:$A$38,0))</f>
        <v>5.3171</v>
      </c>
      <c r="G141" s="22" t="n">
        <f aca="false">D141*E141*F141</f>
        <v>8.2042853</v>
      </c>
    </row>
    <row r="142" customFormat="false" ht="15" hidden="false" customHeight="false" outlineLevel="0" collapsed="false">
      <c r="A142" s="5" t="s">
        <v>478</v>
      </c>
      <c r="B142" s="2" t="s">
        <v>660</v>
      </c>
      <c r="C142" s="5" t="s">
        <v>366</v>
      </c>
      <c r="D142" s="21" t="n">
        <v>2.99</v>
      </c>
      <c r="E142" s="23" t="n">
        <v>1</v>
      </c>
      <c r="F142" s="13" t="n">
        <f aca="false">INDEX(Machine_Rates!$C$5:$C$38,MATCH(C142,Machine_Rates!$A$5:$A$38,0))</f>
        <v>37.161</v>
      </c>
      <c r="G142" s="22" t="n">
        <f aca="false">D142*E142*F142</f>
        <v>111.11139</v>
      </c>
    </row>
    <row r="143" customFormat="false" ht="15" hidden="false" customHeight="false" outlineLevel="0" collapsed="false">
      <c r="A143" s="5" t="s">
        <v>478</v>
      </c>
      <c r="B143" s="2" t="s">
        <v>660</v>
      </c>
      <c r="C143" s="5" t="s">
        <v>377</v>
      </c>
      <c r="D143" s="21" t="n">
        <v>1.852</v>
      </c>
      <c r="E143" s="23" t="n">
        <v>1</v>
      </c>
      <c r="F143" s="13" t="n">
        <f aca="false">INDEX(Machine_Rates!$C$5:$C$38,MATCH(C143,Machine_Rates!$A$5:$A$38,0))</f>
        <v>5.3171</v>
      </c>
      <c r="G143" s="22" t="n">
        <f aca="false">D143*E143*F143</f>
        <v>9.8472692</v>
      </c>
    </row>
    <row r="144" customFormat="false" ht="15" hidden="false" customHeight="false" outlineLevel="0" collapsed="false">
      <c r="A144" s="5" t="s">
        <v>478</v>
      </c>
      <c r="B144" s="2" t="s">
        <v>660</v>
      </c>
      <c r="C144" s="5" t="s">
        <v>362</v>
      </c>
      <c r="D144" s="21" t="n">
        <v>2.469</v>
      </c>
      <c r="E144" s="23" t="n">
        <v>1</v>
      </c>
      <c r="F144" s="13" t="n">
        <f aca="false">INDEX(Machine_Rates!$C$5:$C$38,MATCH(C144,Machine_Rates!$A$5:$A$38,0))</f>
        <v>18.797</v>
      </c>
      <c r="G144" s="22" t="n">
        <f aca="false">D144*E144*F144</f>
        <v>46.409793</v>
      </c>
    </row>
    <row r="145" customFormat="false" ht="15" hidden="false" customHeight="false" outlineLevel="0" collapsed="false">
      <c r="A145" s="5" t="s">
        <v>478</v>
      </c>
      <c r="B145" s="2" t="s">
        <v>660</v>
      </c>
      <c r="C145" s="5" t="s">
        <v>354</v>
      </c>
      <c r="D145" s="21" t="n">
        <v>4.859</v>
      </c>
      <c r="E145" s="23" t="n">
        <v>1</v>
      </c>
      <c r="F145" s="13" t="n">
        <f aca="false">INDEX(Machine_Rates!$C$5:$C$38,MATCH(C145,Machine_Rates!$A$5:$A$38,0))</f>
        <v>16.8199</v>
      </c>
      <c r="G145" s="22" t="n">
        <f aca="false">D145*E145*F145</f>
        <v>81.7278941</v>
      </c>
    </row>
    <row r="146" customFormat="false" ht="15" hidden="false" customHeight="false" outlineLevel="0" collapsed="false">
      <c r="A146" s="5" t="s">
        <v>478</v>
      </c>
      <c r="B146" s="2" t="s">
        <v>660</v>
      </c>
      <c r="C146" s="5" t="s">
        <v>362</v>
      </c>
      <c r="D146" s="21" t="n">
        <v>4.07</v>
      </c>
      <c r="E146" s="23" t="n">
        <v>1</v>
      </c>
      <c r="F146" s="13" t="n">
        <f aca="false">INDEX(Machine_Rates!$C$5:$C$38,MATCH(C146,Machine_Rates!$A$5:$A$38,0))</f>
        <v>18.797</v>
      </c>
      <c r="G146" s="22" t="n">
        <f aca="false">D146*E146*F146</f>
        <v>76.50379</v>
      </c>
    </row>
    <row r="147" customFormat="false" ht="15" hidden="false" customHeight="false" outlineLevel="0" collapsed="false">
      <c r="A147" s="5" t="s">
        <v>480</v>
      </c>
      <c r="B147" s="2" t="s">
        <v>661</v>
      </c>
      <c r="C147" s="5" t="s">
        <v>370</v>
      </c>
      <c r="D147" s="21" t="n">
        <v>2.572</v>
      </c>
      <c r="E147" s="23" t="n">
        <v>1</v>
      </c>
      <c r="F147" s="13" t="n">
        <f aca="false">INDEX(Machine_Rates!$C$5:$C$38,MATCH(C147,Machine_Rates!$A$5:$A$38,0))</f>
        <v>0</v>
      </c>
      <c r="G147" s="22" t="n">
        <f aca="false">D147*E147*F147</f>
        <v>0</v>
      </c>
    </row>
    <row r="148" customFormat="false" ht="15" hidden="false" customHeight="false" outlineLevel="0" collapsed="false">
      <c r="A148" s="5" t="s">
        <v>480</v>
      </c>
      <c r="B148" s="2" t="s">
        <v>661</v>
      </c>
      <c r="C148" s="5" t="s">
        <v>376</v>
      </c>
      <c r="D148" s="21" t="n">
        <v>1.783</v>
      </c>
      <c r="E148" s="23" t="n">
        <v>1</v>
      </c>
      <c r="F148" s="13" t="n">
        <f aca="false">INDEX(Machine_Rates!$C$5:$C$38,MATCH(C148,Machine_Rates!$A$5:$A$38,0))</f>
        <v>15.0109</v>
      </c>
      <c r="G148" s="22" t="n">
        <f aca="false">D148*E148*F148</f>
        <v>26.7644347</v>
      </c>
    </row>
    <row r="149" customFormat="false" ht="15" hidden="false" customHeight="false" outlineLevel="0" collapsed="false">
      <c r="A149" s="5" t="s">
        <v>480</v>
      </c>
      <c r="B149" s="2" t="s">
        <v>661</v>
      </c>
      <c r="C149" s="5" t="s">
        <v>377</v>
      </c>
      <c r="D149" s="21" t="n">
        <v>1.543</v>
      </c>
      <c r="E149" s="23" t="n">
        <v>1</v>
      </c>
      <c r="F149" s="13" t="n">
        <f aca="false">INDEX(Machine_Rates!$C$5:$C$38,MATCH(C149,Machine_Rates!$A$5:$A$38,0))</f>
        <v>5.3171</v>
      </c>
      <c r="G149" s="22" t="n">
        <f aca="false">D149*E149*F149</f>
        <v>8.2042853</v>
      </c>
    </row>
    <row r="150" customFormat="false" ht="15" hidden="false" customHeight="false" outlineLevel="0" collapsed="false">
      <c r="A150" s="5" t="s">
        <v>480</v>
      </c>
      <c r="B150" s="2" t="s">
        <v>661</v>
      </c>
      <c r="C150" s="5" t="s">
        <v>366</v>
      </c>
      <c r="D150" s="21" t="n">
        <v>1.953</v>
      </c>
      <c r="E150" s="23" t="n">
        <v>1</v>
      </c>
      <c r="F150" s="13" t="n">
        <f aca="false">INDEX(Machine_Rates!$C$5:$C$38,MATCH(C150,Machine_Rates!$A$5:$A$38,0))</f>
        <v>37.161</v>
      </c>
      <c r="G150" s="22" t="n">
        <f aca="false">D150*E150*F150</f>
        <v>72.575433</v>
      </c>
    </row>
    <row r="151" customFormat="false" ht="15" hidden="false" customHeight="false" outlineLevel="0" collapsed="false">
      <c r="A151" s="5" t="s">
        <v>480</v>
      </c>
      <c r="B151" s="2" t="s">
        <v>661</v>
      </c>
      <c r="C151" s="5" t="s">
        <v>379</v>
      </c>
      <c r="D151" s="21" t="n">
        <v>2.058</v>
      </c>
      <c r="E151" s="23" t="n">
        <v>1</v>
      </c>
      <c r="F151" s="13" t="n">
        <f aca="false">INDEX(Machine_Rates!$C$5:$C$38,MATCH(C151,Machine_Rates!$A$5:$A$38,0))</f>
        <v>5.317</v>
      </c>
      <c r="G151" s="22" t="n">
        <f aca="false">D151*E151*F151</f>
        <v>10.942386</v>
      </c>
    </row>
    <row r="152" customFormat="false" ht="15" hidden="false" customHeight="false" outlineLevel="0" collapsed="false">
      <c r="A152" s="5" t="s">
        <v>480</v>
      </c>
      <c r="B152" s="2" t="s">
        <v>661</v>
      </c>
      <c r="C152" s="5" t="s">
        <v>362</v>
      </c>
      <c r="D152" s="21" t="n">
        <v>2.469</v>
      </c>
      <c r="E152" s="23" t="n">
        <v>1</v>
      </c>
      <c r="F152" s="13" t="n">
        <f aca="false">INDEX(Machine_Rates!$C$5:$C$38,MATCH(C152,Machine_Rates!$A$5:$A$38,0))</f>
        <v>18.797</v>
      </c>
      <c r="G152" s="22" t="n">
        <f aca="false">D152*E152*F152</f>
        <v>46.409793</v>
      </c>
    </row>
    <row r="153" customFormat="false" ht="15" hidden="false" customHeight="false" outlineLevel="0" collapsed="false">
      <c r="A153" s="5" t="s">
        <v>480</v>
      </c>
      <c r="B153" s="2" t="s">
        <v>661</v>
      </c>
      <c r="C153" s="5" t="s">
        <v>356</v>
      </c>
      <c r="D153" s="21" t="n">
        <v>3.72</v>
      </c>
      <c r="E153" s="23" t="n">
        <v>1</v>
      </c>
      <c r="F153" s="13" t="n">
        <f aca="false">INDEX(Machine_Rates!$C$5:$C$38,MATCH(C153,Machine_Rates!$A$5:$A$38,0))</f>
        <v>16.82</v>
      </c>
      <c r="G153" s="22" t="n">
        <f aca="false">D153*E153*F153</f>
        <v>62.5704</v>
      </c>
    </row>
    <row r="154" customFormat="false" ht="15" hidden="false" customHeight="false" outlineLevel="0" collapsed="false">
      <c r="A154" s="5" t="s">
        <v>480</v>
      </c>
      <c r="B154" s="2" t="s">
        <v>661</v>
      </c>
      <c r="C154" s="5" t="s">
        <v>362</v>
      </c>
      <c r="D154" s="21" t="n">
        <v>3.663</v>
      </c>
      <c r="E154" s="23" t="n">
        <v>1</v>
      </c>
      <c r="F154" s="13" t="n">
        <f aca="false">INDEX(Machine_Rates!$C$5:$C$38,MATCH(C154,Machine_Rates!$A$5:$A$38,0))</f>
        <v>18.797</v>
      </c>
      <c r="G154" s="22" t="n">
        <f aca="false">D154*E154*F154</f>
        <v>68.853411</v>
      </c>
    </row>
    <row r="155" customFormat="false" ht="15" hidden="false" customHeight="false" outlineLevel="0" collapsed="false">
      <c r="A155" s="5" t="s">
        <v>483</v>
      </c>
      <c r="B155" s="2" t="s">
        <v>662</v>
      </c>
      <c r="C155" s="5" t="s">
        <v>372</v>
      </c>
      <c r="D155" s="21" t="n">
        <v>1.102</v>
      </c>
      <c r="E155" s="23" t="n">
        <v>1</v>
      </c>
      <c r="F155" s="13" t="n">
        <f aca="false">INDEX(Machine_Rates!$C$5:$C$38,MATCH(C155,Machine_Rates!$A$5:$A$38,0))</f>
        <v>0</v>
      </c>
      <c r="G155" s="22" t="n">
        <f aca="false">D155*E155*F155</f>
        <v>0</v>
      </c>
    </row>
    <row r="156" customFormat="false" ht="15" hidden="false" customHeight="false" outlineLevel="0" collapsed="false">
      <c r="A156" s="5" t="s">
        <v>483</v>
      </c>
      <c r="B156" s="2" t="s">
        <v>662</v>
      </c>
      <c r="C156" s="5" t="s">
        <v>368</v>
      </c>
      <c r="D156" s="21" t="n">
        <v>2.058</v>
      </c>
      <c r="E156" s="23" t="n">
        <v>1</v>
      </c>
      <c r="F156" s="13" t="n">
        <f aca="false">INDEX(Machine_Rates!$C$5:$C$38,MATCH(C156,Machine_Rates!$A$5:$A$38,0))</f>
        <v>0</v>
      </c>
      <c r="G156" s="22" t="n">
        <f aca="false">D156*E156*F156</f>
        <v>0</v>
      </c>
    </row>
    <row r="157" customFormat="false" ht="15" hidden="false" customHeight="false" outlineLevel="0" collapsed="false">
      <c r="A157" s="5" t="s">
        <v>483</v>
      </c>
      <c r="B157" s="2" t="s">
        <v>662</v>
      </c>
      <c r="C157" s="5" t="s">
        <v>343</v>
      </c>
      <c r="D157" s="21" t="n">
        <v>0.13</v>
      </c>
      <c r="E157" s="23" t="n">
        <v>1</v>
      </c>
      <c r="F157" s="13" t="n">
        <f aca="false">INDEX(Machine_Rates!$C$5:$C$38,MATCH(C157,Machine_Rates!$A$5:$A$38,0))</f>
        <v>1.716</v>
      </c>
      <c r="G157" s="22" t="n">
        <f aca="false">D157*E157*F157</f>
        <v>0.22308</v>
      </c>
    </row>
    <row r="158" customFormat="false" ht="15" hidden="false" customHeight="false" outlineLevel="0" collapsed="false">
      <c r="A158" s="5" t="s">
        <v>483</v>
      </c>
      <c r="B158" s="2" t="s">
        <v>662</v>
      </c>
      <c r="C158" s="5" t="s">
        <v>357</v>
      </c>
      <c r="D158" s="21" t="n">
        <v>0.033</v>
      </c>
      <c r="E158" s="23" t="n">
        <v>1</v>
      </c>
      <c r="F158" s="13" t="n">
        <f aca="false">INDEX(Machine_Rates!$C$5:$C$38,MATCH(C158,Machine_Rates!$A$5:$A$38,0))</f>
        <v>13.1447</v>
      </c>
      <c r="G158" s="22" t="n">
        <f aca="false">D158*E158*F158</f>
        <v>0.4337751</v>
      </c>
    </row>
    <row r="159" customFormat="false" ht="15" hidden="false" customHeight="false" outlineLevel="0" collapsed="false">
      <c r="A159" s="5" t="s">
        <v>483</v>
      </c>
      <c r="B159" s="2" t="s">
        <v>662</v>
      </c>
      <c r="C159" s="5" t="s">
        <v>346</v>
      </c>
      <c r="D159" s="21" t="n">
        <v>0.072</v>
      </c>
      <c r="E159" s="23" t="n">
        <v>1</v>
      </c>
      <c r="F159" s="13" t="n">
        <f aca="false">INDEX(Machine_Rates!$C$5:$C$38,MATCH(C159,Machine_Rates!$A$5:$A$38,0))</f>
        <v>5.1042</v>
      </c>
      <c r="G159" s="22" t="n">
        <f aca="false">D159*E159*F159</f>
        <v>0.3675024</v>
      </c>
    </row>
    <row r="160" customFormat="false" ht="15" hidden="false" customHeight="false" outlineLevel="0" collapsed="false">
      <c r="A160" s="5" t="s">
        <v>485</v>
      </c>
      <c r="B160" s="2" t="s">
        <v>663</v>
      </c>
      <c r="C160" s="5" t="s">
        <v>370</v>
      </c>
      <c r="D160" s="21" t="n">
        <v>0.01</v>
      </c>
      <c r="E160" s="23" t="n">
        <v>82.4000015258789</v>
      </c>
      <c r="F160" s="13" t="n">
        <f aca="false">INDEX(Machine_Rates!$C$5:$C$38,MATCH(C160,Machine_Rates!$A$5:$A$38,0))</f>
        <v>0</v>
      </c>
      <c r="G160" s="22" t="n">
        <f aca="false">D160*E160*F160</f>
        <v>0</v>
      </c>
    </row>
    <row r="161" customFormat="false" ht="15" hidden="false" customHeight="false" outlineLevel="0" collapsed="false">
      <c r="A161" s="5" t="s">
        <v>485</v>
      </c>
      <c r="B161" s="2" t="s">
        <v>663</v>
      </c>
      <c r="C161" s="5" t="s">
        <v>380</v>
      </c>
      <c r="D161" s="21" t="n">
        <v>2.437</v>
      </c>
      <c r="E161" s="23" t="n">
        <v>41.2000007629395</v>
      </c>
      <c r="F161" s="13" t="n">
        <f aca="false">INDEX(Machine_Rates!$C$5:$C$38,MATCH(C161,Machine_Rates!$A$5:$A$38,0))</f>
        <v>1.771</v>
      </c>
      <c r="G161" s="22" t="n">
        <f aca="false">D161*E161*F161</f>
        <v>177.816195692791</v>
      </c>
    </row>
    <row r="162" customFormat="false" ht="15" hidden="false" customHeight="false" outlineLevel="0" collapsed="false">
      <c r="A162" s="5" t="s">
        <v>485</v>
      </c>
      <c r="B162" s="2" t="s">
        <v>663</v>
      </c>
      <c r="C162" s="5" t="s">
        <v>368</v>
      </c>
      <c r="D162" s="21" t="n">
        <v>0.926</v>
      </c>
      <c r="E162" s="23" t="n">
        <v>97.2000045776367</v>
      </c>
      <c r="F162" s="13" t="n">
        <f aca="false">INDEX(Machine_Rates!$C$5:$C$38,MATCH(C162,Machine_Rates!$A$5:$A$38,0))</f>
        <v>0</v>
      </c>
      <c r="G162" s="22" t="n">
        <f aca="false">D162*E162*F162</f>
        <v>0</v>
      </c>
    </row>
    <row r="163" customFormat="false" ht="15" hidden="false" customHeight="false" outlineLevel="0" collapsed="false">
      <c r="A163" s="5" t="s">
        <v>485</v>
      </c>
      <c r="B163" s="2" t="s">
        <v>663</v>
      </c>
      <c r="C163" s="5" t="s">
        <v>364</v>
      </c>
      <c r="D163" s="21" t="n">
        <v>0.039</v>
      </c>
      <c r="E163" s="23" t="n">
        <v>41.2000007629395</v>
      </c>
      <c r="F163" s="13" t="n">
        <f aca="false">INDEX(Machine_Rates!$C$5:$C$38,MATCH(C163,Machine_Rates!$A$5:$A$38,0))</f>
        <v>8.4956</v>
      </c>
      <c r="G163" s="22" t="n">
        <f aca="false">D163*E163*F163</f>
        <v>13.6507303327835</v>
      </c>
    </row>
    <row r="164" customFormat="false" ht="15" hidden="false" customHeight="false" outlineLevel="0" collapsed="false">
      <c r="A164" s="5" t="s">
        <v>485</v>
      </c>
      <c r="B164" s="2" t="s">
        <v>663</v>
      </c>
      <c r="C164" s="5" t="s">
        <v>342</v>
      </c>
      <c r="D164" s="21" t="n">
        <v>0.617</v>
      </c>
      <c r="E164" s="23" t="n">
        <v>20.6000003814697</v>
      </c>
      <c r="F164" s="13" t="n">
        <f aca="false">INDEX(Machine_Rates!$C$5:$C$38,MATCH(C164,Machine_Rates!$A$5:$A$38,0))</f>
        <v>2.4859</v>
      </c>
      <c r="G164" s="22" t="n">
        <f aca="false">D164*E164*F164</f>
        <v>31.5962867650983</v>
      </c>
    </row>
    <row r="165" customFormat="false" ht="15" hidden="false" customHeight="false" outlineLevel="0" collapsed="false">
      <c r="A165" s="5" t="s">
        <v>485</v>
      </c>
      <c r="B165" s="2" t="s">
        <v>663</v>
      </c>
      <c r="C165" s="5" t="s">
        <v>375</v>
      </c>
      <c r="D165" s="21" t="n">
        <v>2.834</v>
      </c>
      <c r="E165" s="23" t="n">
        <v>1</v>
      </c>
      <c r="F165" s="13" t="n">
        <f aca="false">INDEX(Machine_Rates!$C$5:$C$38,MATCH(C165,Machine_Rates!$A$5:$A$38,0))</f>
        <v>15.0115</v>
      </c>
      <c r="G165" s="22" t="n">
        <f aca="false">D165*E165*F165</f>
        <v>42.542591</v>
      </c>
    </row>
    <row r="166" customFormat="false" ht="15" hidden="false" customHeight="false" outlineLevel="0" collapsed="false">
      <c r="A166" s="5" t="s">
        <v>485</v>
      </c>
      <c r="B166" s="2" t="s">
        <v>663</v>
      </c>
      <c r="C166" s="5" t="s">
        <v>360</v>
      </c>
      <c r="D166" s="21" t="n">
        <v>1.353</v>
      </c>
      <c r="E166" s="23" t="n">
        <v>1</v>
      </c>
      <c r="F166" s="13" t="n">
        <f aca="false">INDEX(Machine_Rates!$C$5:$C$38,MATCH(C166,Machine_Rates!$A$5:$A$38,0))</f>
        <v>12.3201</v>
      </c>
      <c r="G166" s="22" t="n">
        <f aca="false">D166*E166*F166</f>
        <v>16.6690953</v>
      </c>
    </row>
    <row r="167" customFormat="false" ht="15" hidden="false" customHeight="false" outlineLevel="0" collapsed="false">
      <c r="A167" s="5" t="s">
        <v>485</v>
      </c>
      <c r="B167" s="2" t="s">
        <v>663</v>
      </c>
      <c r="C167" s="5" t="s">
        <v>351</v>
      </c>
      <c r="D167" s="21" t="n">
        <v>1.188</v>
      </c>
      <c r="E167" s="23" t="n">
        <v>1</v>
      </c>
      <c r="F167" s="13" t="n">
        <f aca="false">INDEX(Machine_Rates!$C$5:$C$38,MATCH(C167,Machine_Rates!$A$5:$A$38,0))</f>
        <v>12.2442</v>
      </c>
      <c r="G167" s="22" t="n">
        <f aca="false">D167*E167*F167</f>
        <v>14.5461096</v>
      </c>
    </row>
    <row r="168" customFormat="false" ht="15" hidden="false" customHeight="false" outlineLevel="0" collapsed="false">
      <c r="A168" s="5" t="s">
        <v>485</v>
      </c>
      <c r="B168" s="2" t="s">
        <v>663</v>
      </c>
      <c r="C168" s="5" t="s">
        <v>363</v>
      </c>
      <c r="D168" s="21" t="n">
        <v>1.488</v>
      </c>
      <c r="E168" s="23" t="n">
        <v>1</v>
      </c>
      <c r="F168" s="13" t="n">
        <f aca="false">INDEX(Machine_Rates!$C$5:$C$38,MATCH(C168,Machine_Rates!$A$5:$A$38,0))</f>
        <v>18.7974</v>
      </c>
      <c r="G168" s="22" t="n">
        <f aca="false">D168*E168*F168</f>
        <v>27.9705312</v>
      </c>
    </row>
    <row r="169" customFormat="false" ht="15" hidden="false" customHeight="false" outlineLevel="0" collapsed="false">
      <c r="A169" s="5" t="s">
        <v>487</v>
      </c>
      <c r="B169" s="2" t="s">
        <v>664</v>
      </c>
      <c r="C169" s="5" t="s">
        <v>370</v>
      </c>
      <c r="D169" s="21" t="n">
        <v>0.01</v>
      </c>
      <c r="E169" s="23" t="n">
        <v>82.4000015258789</v>
      </c>
      <c r="F169" s="13" t="n">
        <f aca="false">INDEX(Machine_Rates!$C$5:$C$38,MATCH(C169,Machine_Rates!$A$5:$A$38,0))</f>
        <v>0</v>
      </c>
      <c r="G169" s="22" t="n">
        <f aca="false">D169*E169*F169</f>
        <v>0</v>
      </c>
    </row>
    <row r="170" customFormat="false" ht="15" hidden="false" customHeight="false" outlineLevel="0" collapsed="false">
      <c r="A170" s="5" t="s">
        <v>487</v>
      </c>
      <c r="B170" s="2" t="s">
        <v>664</v>
      </c>
      <c r="C170" s="5" t="s">
        <v>368</v>
      </c>
      <c r="D170" s="21" t="n">
        <v>0.926</v>
      </c>
      <c r="E170" s="23" t="n">
        <v>97.2000045776367</v>
      </c>
      <c r="F170" s="13" t="n">
        <f aca="false">INDEX(Machine_Rates!$C$5:$C$38,MATCH(C170,Machine_Rates!$A$5:$A$38,0))</f>
        <v>0</v>
      </c>
      <c r="G170" s="22" t="n">
        <f aca="false">D170*E170*F170</f>
        <v>0</v>
      </c>
    </row>
    <row r="171" customFormat="false" ht="15" hidden="false" customHeight="false" outlineLevel="0" collapsed="false">
      <c r="A171" s="5" t="s">
        <v>487</v>
      </c>
      <c r="B171" s="2" t="s">
        <v>664</v>
      </c>
      <c r="C171" s="5" t="s">
        <v>364</v>
      </c>
      <c r="D171" s="21" t="n">
        <v>0.039</v>
      </c>
      <c r="E171" s="23" t="n">
        <v>41.2000007629395</v>
      </c>
      <c r="F171" s="13" t="n">
        <f aca="false">INDEX(Machine_Rates!$C$5:$C$38,MATCH(C171,Machine_Rates!$A$5:$A$38,0))</f>
        <v>8.4956</v>
      </c>
      <c r="G171" s="22" t="n">
        <f aca="false">D171*E171*F171</f>
        <v>13.6507303327835</v>
      </c>
    </row>
    <row r="172" customFormat="false" ht="15" hidden="false" customHeight="false" outlineLevel="0" collapsed="false">
      <c r="A172" s="5" t="s">
        <v>487</v>
      </c>
      <c r="B172" s="2" t="s">
        <v>664</v>
      </c>
      <c r="C172" s="5" t="s">
        <v>342</v>
      </c>
      <c r="D172" s="21" t="n">
        <v>0.617</v>
      </c>
      <c r="E172" s="23" t="n">
        <v>20.6000003814697</v>
      </c>
      <c r="F172" s="13" t="n">
        <f aca="false">INDEX(Machine_Rates!$C$5:$C$38,MATCH(C172,Machine_Rates!$A$5:$A$38,0))</f>
        <v>2.4859</v>
      </c>
      <c r="G172" s="22" t="n">
        <f aca="false">D172*E172*F172</f>
        <v>31.5962867650983</v>
      </c>
    </row>
    <row r="173" customFormat="false" ht="15" hidden="false" customHeight="false" outlineLevel="0" collapsed="false">
      <c r="A173" s="5" t="s">
        <v>487</v>
      </c>
      <c r="B173" s="2" t="s">
        <v>664</v>
      </c>
      <c r="C173" s="5" t="s">
        <v>375</v>
      </c>
      <c r="D173" s="21" t="n">
        <v>2.834</v>
      </c>
      <c r="E173" s="23" t="n">
        <v>1</v>
      </c>
      <c r="F173" s="13" t="n">
        <f aca="false">INDEX(Machine_Rates!$C$5:$C$38,MATCH(C173,Machine_Rates!$A$5:$A$38,0))</f>
        <v>15.0115</v>
      </c>
      <c r="G173" s="22" t="n">
        <f aca="false">D173*E173*F173</f>
        <v>42.542591</v>
      </c>
    </row>
    <row r="174" customFormat="false" ht="15" hidden="false" customHeight="false" outlineLevel="0" collapsed="false">
      <c r="A174" s="5" t="s">
        <v>487</v>
      </c>
      <c r="B174" s="2" t="s">
        <v>664</v>
      </c>
      <c r="C174" s="5" t="s">
        <v>360</v>
      </c>
      <c r="D174" s="21" t="n">
        <v>1.353</v>
      </c>
      <c r="E174" s="23" t="n">
        <v>1</v>
      </c>
      <c r="F174" s="13" t="n">
        <f aca="false">INDEX(Machine_Rates!$C$5:$C$38,MATCH(C174,Machine_Rates!$A$5:$A$38,0))</f>
        <v>12.3201</v>
      </c>
      <c r="G174" s="22" t="n">
        <f aca="false">D174*E174*F174</f>
        <v>16.6690953</v>
      </c>
    </row>
    <row r="175" customFormat="false" ht="15" hidden="false" customHeight="false" outlineLevel="0" collapsed="false">
      <c r="A175" s="5" t="s">
        <v>487</v>
      </c>
      <c r="B175" s="2" t="s">
        <v>664</v>
      </c>
      <c r="C175" s="5" t="s">
        <v>351</v>
      </c>
      <c r="D175" s="21" t="n">
        <v>1.488</v>
      </c>
      <c r="E175" s="23" t="n">
        <v>1</v>
      </c>
      <c r="F175" s="13" t="n">
        <f aca="false">INDEX(Machine_Rates!$C$5:$C$38,MATCH(C175,Machine_Rates!$A$5:$A$38,0))</f>
        <v>12.2442</v>
      </c>
      <c r="G175" s="22" t="n">
        <f aca="false">D175*E175*F175</f>
        <v>18.2193696</v>
      </c>
    </row>
    <row r="176" customFormat="false" ht="15" hidden="false" customHeight="false" outlineLevel="0" collapsed="false">
      <c r="A176" s="5" t="s">
        <v>487</v>
      </c>
      <c r="B176" s="2" t="s">
        <v>664</v>
      </c>
      <c r="C176" s="5" t="s">
        <v>363</v>
      </c>
      <c r="D176" s="21" t="n">
        <v>1.488</v>
      </c>
      <c r="E176" s="23" t="n">
        <v>1</v>
      </c>
      <c r="F176" s="13" t="n">
        <f aca="false">INDEX(Machine_Rates!$C$5:$C$38,MATCH(C176,Machine_Rates!$A$5:$A$38,0))</f>
        <v>18.7974</v>
      </c>
      <c r="G176" s="22" t="n">
        <f aca="false">D176*E176*F176</f>
        <v>27.9705312</v>
      </c>
    </row>
    <row r="177" customFormat="false" ht="15" hidden="false" customHeight="false" outlineLevel="0" collapsed="false">
      <c r="A177" s="5" t="s">
        <v>489</v>
      </c>
      <c r="B177" s="2" t="s">
        <v>665</v>
      </c>
      <c r="C177" s="5" t="s">
        <v>370</v>
      </c>
      <c r="D177" s="21" t="n">
        <v>0.01</v>
      </c>
      <c r="E177" s="23" t="n">
        <v>82.4000015258789</v>
      </c>
      <c r="F177" s="13" t="n">
        <f aca="false">INDEX(Machine_Rates!$C$5:$C$38,MATCH(C177,Machine_Rates!$A$5:$A$38,0))</f>
        <v>0</v>
      </c>
      <c r="G177" s="22" t="n">
        <f aca="false">D177*E177*F177</f>
        <v>0</v>
      </c>
    </row>
    <row r="178" customFormat="false" ht="15" hidden="false" customHeight="false" outlineLevel="0" collapsed="false">
      <c r="A178" s="5" t="s">
        <v>489</v>
      </c>
      <c r="B178" s="2" t="s">
        <v>665</v>
      </c>
      <c r="C178" s="5" t="s">
        <v>368</v>
      </c>
      <c r="D178" s="21" t="n">
        <v>0.926</v>
      </c>
      <c r="E178" s="23" t="n">
        <v>97.2000045776367</v>
      </c>
      <c r="F178" s="13" t="n">
        <f aca="false">INDEX(Machine_Rates!$C$5:$C$38,MATCH(C178,Machine_Rates!$A$5:$A$38,0))</f>
        <v>0</v>
      </c>
      <c r="G178" s="22" t="n">
        <f aca="false">D178*E178*F178</f>
        <v>0</v>
      </c>
    </row>
    <row r="179" customFormat="false" ht="15" hidden="false" customHeight="false" outlineLevel="0" collapsed="false">
      <c r="A179" s="5" t="s">
        <v>489</v>
      </c>
      <c r="B179" s="2" t="s">
        <v>665</v>
      </c>
      <c r="C179" s="5" t="s">
        <v>364</v>
      </c>
      <c r="D179" s="21" t="n">
        <v>0.044</v>
      </c>
      <c r="E179" s="23" t="n">
        <v>41.2000007629395</v>
      </c>
      <c r="F179" s="13" t="n">
        <f aca="false">INDEX(Machine_Rates!$C$5:$C$38,MATCH(C179,Machine_Rates!$A$5:$A$38,0))</f>
        <v>8.4956</v>
      </c>
      <c r="G179" s="22" t="n">
        <f aca="false">D179*E179*F179</f>
        <v>15.4008239651917</v>
      </c>
    </row>
    <row r="180" customFormat="false" ht="15" hidden="false" customHeight="false" outlineLevel="0" collapsed="false">
      <c r="A180" s="5" t="s">
        <v>489</v>
      </c>
      <c r="B180" s="2" t="s">
        <v>665</v>
      </c>
      <c r="C180" s="5" t="s">
        <v>342</v>
      </c>
      <c r="D180" s="21" t="n">
        <v>0.93</v>
      </c>
      <c r="E180" s="23" t="n">
        <v>20.6000003814697</v>
      </c>
      <c r="F180" s="13" t="n">
        <f aca="false">INDEX(Machine_Rates!$C$5:$C$38,MATCH(C180,Machine_Rates!$A$5:$A$38,0))</f>
        <v>2.4859</v>
      </c>
      <c r="G180" s="22" t="n">
        <f aca="false">D180*E180*F180</f>
        <v>47.6248730819149</v>
      </c>
    </row>
    <row r="181" customFormat="false" ht="15" hidden="false" customHeight="false" outlineLevel="0" collapsed="false">
      <c r="A181" s="5" t="s">
        <v>489</v>
      </c>
      <c r="B181" s="2" t="s">
        <v>665</v>
      </c>
      <c r="C181" s="5" t="s">
        <v>375</v>
      </c>
      <c r="D181" s="21" t="n">
        <v>3.053</v>
      </c>
      <c r="E181" s="23" t="n">
        <v>1</v>
      </c>
      <c r="F181" s="13" t="n">
        <f aca="false">INDEX(Machine_Rates!$C$5:$C$38,MATCH(C181,Machine_Rates!$A$5:$A$38,0))</f>
        <v>15.0115</v>
      </c>
      <c r="G181" s="22" t="n">
        <f aca="false">D181*E181*F181</f>
        <v>45.8301095</v>
      </c>
    </row>
    <row r="182" customFormat="false" ht="15" hidden="false" customHeight="false" outlineLevel="0" collapsed="false">
      <c r="A182" s="5" t="s">
        <v>489</v>
      </c>
      <c r="B182" s="2" t="s">
        <v>665</v>
      </c>
      <c r="C182" s="5" t="s">
        <v>360</v>
      </c>
      <c r="D182" s="21" t="n">
        <v>1.417</v>
      </c>
      <c r="E182" s="23" t="n">
        <v>1</v>
      </c>
      <c r="F182" s="13" t="n">
        <f aca="false">INDEX(Machine_Rates!$C$5:$C$38,MATCH(C182,Machine_Rates!$A$5:$A$38,0))</f>
        <v>12.3201</v>
      </c>
      <c r="G182" s="22" t="n">
        <f aca="false">D182*E182*F182</f>
        <v>17.4575817</v>
      </c>
    </row>
    <row r="183" customFormat="false" ht="15" hidden="false" customHeight="false" outlineLevel="0" collapsed="false">
      <c r="A183" s="5" t="s">
        <v>489</v>
      </c>
      <c r="B183" s="2" t="s">
        <v>665</v>
      </c>
      <c r="C183" s="5" t="s">
        <v>351</v>
      </c>
      <c r="D183" s="21" t="n">
        <v>1.488</v>
      </c>
      <c r="E183" s="23" t="n">
        <v>1</v>
      </c>
      <c r="F183" s="13" t="n">
        <f aca="false">INDEX(Machine_Rates!$C$5:$C$38,MATCH(C183,Machine_Rates!$A$5:$A$38,0))</f>
        <v>12.2442</v>
      </c>
      <c r="G183" s="22" t="n">
        <f aca="false">D183*E183*F183</f>
        <v>18.2193696</v>
      </c>
    </row>
    <row r="184" customFormat="false" ht="15" hidden="false" customHeight="false" outlineLevel="0" collapsed="false">
      <c r="A184" s="5" t="s">
        <v>489</v>
      </c>
      <c r="B184" s="2" t="s">
        <v>665</v>
      </c>
      <c r="C184" s="5" t="s">
        <v>363</v>
      </c>
      <c r="D184" s="21" t="n">
        <v>1.566</v>
      </c>
      <c r="E184" s="23" t="n">
        <v>1</v>
      </c>
      <c r="F184" s="13" t="n">
        <f aca="false">INDEX(Machine_Rates!$C$5:$C$38,MATCH(C184,Machine_Rates!$A$5:$A$38,0))</f>
        <v>18.7974</v>
      </c>
      <c r="G184" s="22" t="n">
        <f aca="false">D184*E184*F184</f>
        <v>29.4367284</v>
      </c>
    </row>
    <row r="185" customFormat="false" ht="15" hidden="false" customHeight="false" outlineLevel="0" collapsed="false">
      <c r="A185" s="5" t="s">
        <v>491</v>
      </c>
      <c r="B185" s="2" t="s">
        <v>666</v>
      </c>
      <c r="C185" s="5" t="s">
        <v>372</v>
      </c>
      <c r="D185" s="21" t="n">
        <v>1.102</v>
      </c>
      <c r="E185" s="23" t="n">
        <v>24.7199993133545</v>
      </c>
      <c r="F185" s="13" t="n">
        <f aca="false">INDEX(Machine_Rates!$C$5:$C$38,MATCH(C185,Machine_Rates!$A$5:$A$38,0))</f>
        <v>0</v>
      </c>
      <c r="G185" s="22" t="n">
        <f aca="false">D185*E185*F185</f>
        <v>0</v>
      </c>
    </row>
    <row r="186" customFormat="false" ht="15" hidden="false" customHeight="false" outlineLevel="0" collapsed="false">
      <c r="A186" s="5" t="s">
        <v>491</v>
      </c>
      <c r="B186" s="2" t="s">
        <v>666</v>
      </c>
      <c r="C186" s="5" t="s">
        <v>368</v>
      </c>
      <c r="D186" s="21" t="n">
        <v>1.157</v>
      </c>
      <c r="E186" s="23" t="n">
        <v>24.7199993133545</v>
      </c>
      <c r="F186" s="13" t="n">
        <f aca="false">INDEX(Machine_Rates!$C$5:$C$38,MATCH(C186,Machine_Rates!$A$5:$A$38,0))</f>
        <v>0</v>
      </c>
      <c r="G186" s="22" t="n">
        <f aca="false">D186*E186*F186</f>
        <v>0</v>
      </c>
    </row>
    <row r="187" customFormat="false" ht="15" hidden="false" customHeight="false" outlineLevel="0" collapsed="false">
      <c r="A187" s="5" t="s">
        <v>491</v>
      </c>
      <c r="B187" s="2" t="s">
        <v>666</v>
      </c>
      <c r="C187" s="5" t="s">
        <v>343</v>
      </c>
      <c r="D187" s="21" t="n">
        <v>0.156</v>
      </c>
      <c r="E187" s="23" t="n">
        <v>24.7199993133545</v>
      </c>
      <c r="F187" s="13" t="n">
        <f aca="false">INDEX(Machine_Rates!$C$5:$C$38,MATCH(C187,Machine_Rates!$A$5:$A$38,0))</f>
        <v>1.716</v>
      </c>
      <c r="G187" s="22" t="n">
        <f aca="false">D187*E187*F187</f>
        <v>6.61744493618775</v>
      </c>
    </row>
    <row r="188" customFormat="false" ht="15" hidden="false" customHeight="false" outlineLevel="0" collapsed="false">
      <c r="A188" s="5" t="s">
        <v>491</v>
      </c>
      <c r="B188" s="2" t="s">
        <v>666</v>
      </c>
      <c r="C188" s="5" t="s">
        <v>368</v>
      </c>
      <c r="D188" s="21" t="n">
        <v>0.926</v>
      </c>
      <c r="E188" s="23" t="n">
        <v>4.5</v>
      </c>
      <c r="F188" s="13" t="n">
        <f aca="false">INDEX(Machine_Rates!$C$5:$C$38,MATCH(C188,Machine_Rates!$A$5:$A$38,0))</f>
        <v>0</v>
      </c>
      <c r="G188" s="22" t="n">
        <f aca="false">D188*E188*F188</f>
        <v>0</v>
      </c>
    </row>
    <row r="189" customFormat="false" ht="15" hidden="false" customHeight="false" outlineLevel="0" collapsed="false">
      <c r="A189" s="5" t="s">
        <v>491</v>
      </c>
      <c r="B189" s="2" t="s">
        <v>666</v>
      </c>
      <c r="C189" s="5" t="s">
        <v>364</v>
      </c>
      <c r="D189" s="21" t="n">
        <v>0.039</v>
      </c>
      <c r="E189" s="23" t="n">
        <v>24.7199993133545</v>
      </c>
      <c r="F189" s="13" t="n">
        <f aca="false">INDEX(Machine_Rates!$C$5:$C$38,MATCH(C189,Machine_Rates!$A$5:$A$38,0))</f>
        <v>8.4956</v>
      </c>
      <c r="G189" s="22" t="n">
        <f aca="false">D189*E189*F189</f>
        <v>8.19043782049485</v>
      </c>
    </row>
    <row r="190" customFormat="false" ht="15" hidden="false" customHeight="false" outlineLevel="0" collapsed="false">
      <c r="A190" s="5" t="s">
        <v>491</v>
      </c>
      <c r="B190" s="2" t="s">
        <v>666</v>
      </c>
      <c r="C190" s="5" t="s">
        <v>375</v>
      </c>
      <c r="D190" s="21" t="n">
        <v>3.053</v>
      </c>
      <c r="E190" s="23" t="n">
        <v>1</v>
      </c>
      <c r="F190" s="13" t="n">
        <f aca="false">INDEX(Machine_Rates!$C$5:$C$38,MATCH(C190,Machine_Rates!$A$5:$A$38,0))</f>
        <v>15.0115</v>
      </c>
      <c r="G190" s="22" t="n">
        <f aca="false">D190*E190*F190</f>
        <v>45.8301095</v>
      </c>
    </row>
    <row r="191" customFormat="false" ht="15" hidden="false" customHeight="false" outlineLevel="0" collapsed="false">
      <c r="A191" s="5" t="s">
        <v>491</v>
      </c>
      <c r="B191" s="2" t="s">
        <v>666</v>
      </c>
      <c r="C191" s="5" t="s">
        <v>360</v>
      </c>
      <c r="D191" s="21" t="n">
        <v>0.98</v>
      </c>
      <c r="E191" s="23" t="n">
        <v>1</v>
      </c>
      <c r="F191" s="13" t="n">
        <f aca="false">INDEX(Machine_Rates!$C$5:$C$38,MATCH(C191,Machine_Rates!$A$5:$A$38,0))</f>
        <v>12.3201</v>
      </c>
      <c r="G191" s="22" t="n">
        <f aca="false">D191*E191*F191</f>
        <v>12.073698</v>
      </c>
    </row>
    <row r="192" customFormat="false" ht="15" hidden="false" customHeight="false" outlineLevel="0" collapsed="false">
      <c r="A192" s="5" t="s">
        <v>491</v>
      </c>
      <c r="B192" s="2" t="s">
        <v>666</v>
      </c>
      <c r="C192" s="5" t="s">
        <v>351</v>
      </c>
      <c r="D192" s="21" t="n">
        <v>1.167</v>
      </c>
      <c r="E192" s="23" t="n">
        <v>1</v>
      </c>
      <c r="F192" s="13" t="n">
        <f aca="false">INDEX(Machine_Rates!$C$5:$C$38,MATCH(C192,Machine_Rates!$A$5:$A$38,0))</f>
        <v>12.2442</v>
      </c>
      <c r="G192" s="22" t="n">
        <f aca="false">D192*E192*F192</f>
        <v>14.2889814</v>
      </c>
    </row>
    <row r="193" customFormat="false" ht="15" hidden="false" customHeight="false" outlineLevel="0" collapsed="false">
      <c r="A193" s="5" t="s">
        <v>491</v>
      </c>
      <c r="B193" s="2" t="s">
        <v>666</v>
      </c>
      <c r="C193" s="5" t="s">
        <v>360</v>
      </c>
      <c r="D193" s="21" t="n">
        <v>1.129</v>
      </c>
      <c r="E193" s="23" t="n">
        <v>1</v>
      </c>
      <c r="F193" s="13" t="n">
        <f aca="false">INDEX(Machine_Rates!$C$5:$C$38,MATCH(C193,Machine_Rates!$A$5:$A$38,0))</f>
        <v>12.3201</v>
      </c>
      <c r="G193" s="22" t="n">
        <f aca="false">D193*E193*F193</f>
        <v>13.9093929</v>
      </c>
    </row>
    <row r="194" customFormat="false" ht="15" hidden="false" customHeight="false" outlineLevel="0" collapsed="false">
      <c r="A194" s="5" t="s">
        <v>493</v>
      </c>
      <c r="B194" s="2" t="s">
        <v>667</v>
      </c>
      <c r="C194" s="5" t="s">
        <v>372</v>
      </c>
      <c r="D194" s="21" t="n">
        <v>1.102</v>
      </c>
      <c r="E194" s="23" t="n">
        <v>24.7199993133545</v>
      </c>
      <c r="F194" s="13" t="n">
        <f aca="false">INDEX(Machine_Rates!$C$5:$C$38,MATCH(C194,Machine_Rates!$A$5:$A$38,0))</f>
        <v>0</v>
      </c>
      <c r="G194" s="22" t="n">
        <f aca="false">D194*E194*F194</f>
        <v>0</v>
      </c>
    </row>
    <row r="195" customFormat="false" ht="15" hidden="false" customHeight="false" outlineLevel="0" collapsed="false">
      <c r="A195" s="5" t="s">
        <v>493</v>
      </c>
      <c r="B195" s="2" t="s">
        <v>667</v>
      </c>
      <c r="C195" s="5" t="s">
        <v>368</v>
      </c>
      <c r="D195" s="21" t="n">
        <v>2.058</v>
      </c>
      <c r="E195" s="23" t="n">
        <v>24.7199993133545</v>
      </c>
      <c r="F195" s="13" t="n">
        <f aca="false">INDEX(Machine_Rates!$C$5:$C$38,MATCH(C195,Machine_Rates!$A$5:$A$38,0))</f>
        <v>0</v>
      </c>
      <c r="G195" s="22" t="n">
        <f aca="false">D195*E195*F195</f>
        <v>0</v>
      </c>
    </row>
    <row r="196" customFormat="false" ht="15" hidden="false" customHeight="false" outlineLevel="0" collapsed="false">
      <c r="A196" s="5" t="s">
        <v>493</v>
      </c>
      <c r="B196" s="2" t="s">
        <v>667</v>
      </c>
      <c r="C196" s="5" t="s">
        <v>343</v>
      </c>
      <c r="D196" s="21" t="n">
        <v>0.13</v>
      </c>
      <c r="E196" s="23" t="n">
        <v>24.7199993133545</v>
      </c>
      <c r="F196" s="13" t="n">
        <f aca="false">INDEX(Machine_Rates!$C$5:$C$38,MATCH(C196,Machine_Rates!$A$5:$A$38,0))</f>
        <v>1.716</v>
      </c>
      <c r="G196" s="22" t="n">
        <f aca="false">D196*E196*F196</f>
        <v>5.51453744682312</v>
      </c>
    </row>
    <row r="197" customFormat="false" ht="15" hidden="false" customHeight="false" outlineLevel="0" collapsed="false">
      <c r="A197" s="5" t="s">
        <v>493</v>
      </c>
      <c r="B197" s="2" t="s">
        <v>667</v>
      </c>
      <c r="C197" s="5" t="s">
        <v>368</v>
      </c>
      <c r="D197" s="21" t="n">
        <v>0.926</v>
      </c>
      <c r="E197" s="23" t="n">
        <v>4.5</v>
      </c>
      <c r="F197" s="13" t="n">
        <f aca="false">INDEX(Machine_Rates!$C$5:$C$38,MATCH(C197,Machine_Rates!$A$5:$A$38,0))</f>
        <v>0</v>
      </c>
      <c r="G197" s="22" t="n">
        <f aca="false">D197*E197*F197</f>
        <v>0</v>
      </c>
    </row>
    <row r="198" customFormat="false" ht="15" hidden="false" customHeight="false" outlineLevel="0" collapsed="false">
      <c r="A198" s="5" t="s">
        <v>493</v>
      </c>
      <c r="B198" s="2" t="s">
        <v>667</v>
      </c>
      <c r="C198" s="5" t="s">
        <v>364</v>
      </c>
      <c r="D198" s="21" t="n">
        <v>0.044</v>
      </c>
      <c r="E198" s="23" t="n">
        <v>24.7199993133545</v>
      </c>
      <c r="F198" s="13" t="n">
        <f aca="false">INDEX(Machine_Rates!$C$5:$C$38,MATCH(C198,Machine_Rates!$A$5:$A$38,0))</f>
        <v>8.4956</v>
      </c>
      <c r="G198" s="22" t="n">
        <f aca="false">D198*E198*F198</f>
        <v>9.24049395132752</v>
      </c>
    </row>
    <row r="199" customFormat="false" ht="15" hidden="false" customHeight="false" outlineLevel="0" collapsed="false">
      <c r="A199" s="5" t="s">
        <v>493</v>
      </c>
      <c r="B199" s="2" t="s">
        <v>667</v>
      </c>
      <c r="C199" s="5" t="s">
        <v>375</v>
      </c>
      <c r="D199" s="21" t="n">
        <v>3.053</v>
      </c>
      <c r="E199" s="23" t="n">
        <v>1</v>
      </c>
      <c r="F199" s="13" t="n">
        <f aca="false">INDEX(Machine_Rates!$C$5:$C$38,MATCH(C199,Machine_Rates!$A$5:$A$38,0))</f>
        <v>15.0115</v>
      </c>
      <c r="G199" s="22" t="n">
        <f aca="false">D199*E199*F199</f>
        <v>45.8301095</v>
      </c>
    </row>
    <row r="200" customFormat="false" ht="15" hidden="false" customHeight="false" outlineLevel="0" collapsed="false">
      <c r="A200" s="5" t="s">
        <v>493</v>
      </c>
      <c r="B200" s="2" t="s">
        <v>667</v>
      </c>
      <c r="C200" s="5" t="s">
        <v>360</v>
      </c>
      <c r="D200" s="21" t="n">
        <v>0.98</v>
      </c>
      <c r="E200" s="23" t="n">
        <v>1</v>
      </c>
      <c r="F200" s="13" t="n">
        <f aca="false">INDEX(Machine_Rates!$C$5:$C$38,MATCH(C200,Machine_Rates!$A$5:$A$38,0))</f>
        <v>12.3201</v>
      </c>
      <c r="G200" s="22" t="n">
        <f aca="false">D200*E200*F200</f>
        <v>12.073698</v>
      </c>
    </row>
    <row r="201" customFormat="false" ht="15" hidden="false" customHeight="false" outlineLevel="0" collapsed="false">
      <c r="A201" s="5" t="s">
        <v>493</v>
      </c>
      <c r="B201" s="2" t="s">
        <v>667</v>
      </c>
      <c r="C201" s="5" t="s">
        <v>351</v>
      </c>
      <c r="D201" s="21" t="n">
        <v>1.613</v>
      </c>
      <c r="E201" s="23" t="n">
        <v>1</v>
      </c>
      <c r="F201" s="13" t="n">
        <f aca="false">INDEX(Machine_Rates!$C$5:$C$38,MATCH(C201,Machine_Rates!$A$5:$A$38,0))</f>
        <v>12.2442</v>
      </c>
      <c r="G201" s="22" t="n">
        <f aca="false">D201*E201*F201</f>
        <v>19.7498946</v>
      </c>
    </row>
    <row r="202" customFormat="false" ht="15" hidden="false" customHeight="false" outlineLevel="0" collapsed="false">
      <c r="A202" s="5" t="s">
        <v>493</v>
      </c>
      <c r="B202" s="2" t="s">
        <v>667</v>
      </c>
      <c r="C202" s="5" t="s">
        <v>360</v>
      </c>
      <c r="D202" s="21" t="n">
        <v>1.129</v>
      </c>
      <c r="E202" s="23" t="n">
        <v>1</v>
      </c>
      <c r="F202" s="13" t="n">
        <f aca="false">INDEX(Machine_Rates!$C$5:$C$38,MATCH(C202,Machine_Rates!$A$5:$A$38,0))</f>
        <v>12.3201</v>
      </c>
      <c r="G202" s="22" t="n">
        <f aca="false">D202*E202*F202</f>
        <v>13.9093929</v>
      </c>
    </row>
    <row r="203" customFormat="false" ht="15" hidden="false" customHeight="false" outlineLevel="0" collapsed="false">
      <c r="A203" s="5" t="s">
        <v>495</v>
      </c>
      <c r="B203" s="2" t="s">
        <v>668</v>
      </c>
      <c r="C203" s="5" t="s">
        <v>372</v>
      </c>
      <c r="D203" s="21" t="n">
        <v>1.102</v>
      </c>
      <c r="E203" s="23" t="n">
        <v>24.7199993133545</v>
      </c>
      <c r="F203" s="13" t="n">
        <f aca="false">INDEX(Machine_Rates!$C$5:$C$38,MATCH(C203,Machine_Rates!$A$5:$A$38,0))</f>
        <v>0</v>
      </c>
      <c r="G203" s="22" t="n">
        <f aca="false">D203*E203*F203</f>
        <v>0</v>
      </c>
    </row>
    <row r="204" customFormat="false" ht="15" hidden="false" customHeight="false" outlineLevel="0" collapsed="false">
      <c r="A204" s="5" t="s">
        <v>495</v>
      </c>
      <c r="B204" s="2" t="s">
        <v>668</v>
      </c>
      <c r="C204" s="5" t="s">
        <v>368</v>
      </c>
      <c r="D204" s="21" t="n">
        <v>2.058</v>
      </c>
      <c r="E204" s="23" t="n">
        <v>24.7199993133545</v>
      </c>
      <c r="F204" s="13" t="n">
        <f aca="false">INDEX(Machine_Rates!$C$5:$C$38,MATCH(C204,Machine_Rates!$A$5:$A$38,0))</f>
        <v>0</v>
      </c>
      <c r="G204" s="22" t="n">
        <f aca="false">D204*E204*F204</f>
        <v>0</v>
      </c>
    </row>
    <row r="205" customFormat="false" ht="15" hidden="false" customHeight="false" outlineLevel="0" collapsed="false">
      <c r="A205" s="5" t="s">
        <v>495</v>
      </c>
      <c r="B205" s="2" t="s">
        <v>668</v>
      </c>
      <c r="C205" s="5" t="s">
        <v>343</v>
      </c>
      <c r="D205" s="21" t="n">
        <v>0.13</v>
      </c>
      <c r="E205" s="23" t="n">
        <v>24.7199993133545</v>
      </c>
      <c r="F205" s="13" t="n">
        <f aca="false">INDEX(Machine_Rates!$C$5:$C$38,MATCH(C205,Machine_Rates!$A$5:$A$38,0))</f>
        <v>1.716</v>
      </c>
      <c r="G205" s="22" t="n">
        <f aca="false">D205*E205*F205</f>
        <v>5.51453744682312</v>
      </c>
    </row>
    <row r="206" customFormat="false" ht="15" hidden="false" customHeight="false" outlineLevel="0" collapsed="false">
      <c r="A206" s="5" t="s">
        <v>495</v>
      </c>
      <c r="B206" s="2" t="s">
        <v>668</v>
      </c>
      <c r="C206" s="5" t="s">
        <v>380</v>
      </c>
      <c r="D206" s="21" t="n">
        <v>2.437</v>
      </c>
      <c r="E206" s="23" t="n">
        <v>24.7199993133545</v>
      </c>
      <c r="F206" s="13" t="n">
        <f aca="false">INDEX(Machine_Rates!$C$5:$C$38,MATCH(C206,Machine_Rates!$A$5:$A$38,0))</f>
        <v>1.771</v>
      </c>
      <c r="G206" s="22" t="n">
        <f aca="false">D206*E206*F206</f>
        <v>106.689712476488</v>
      </c>
    </row>
    <row r="207" customFormat="false" ht="15" hidden="false" customHeight="false" outlineLevel="0" collapsed="false">
      <c r="A207" s="5" t="s">
        <v>495</v>
      </c>
      <c r="B207" s="2" t="s">
        <v>668</v>
      </c>
      <c r="C207" s="5" t="s">
        <v>368</v>
      </c>
      <c r="D207" s="21" t="n">
        <v>0.926</v>
      </c>
      <c r="E207" s="23" t="n">
        <v>4.5</v>
      </c>
      <c r="F207" s="13" t="n">
        <f aca="false">INDEX(Machine_Rates!$C$5:$C$38,MATCH(C207,Machine_Rates!$A$5:$A$38,0))</f>
        <v>0</v>
      </c>
      <c r="G207" s="22" t="n">
        <f aca="false">D207*E207*F207</f>
        <v>0</v>
      </c>
    </row>
    <row r="208" customFormat="false" ht="15" hidden="false" customHeight="false" outlineLevel="0" collapsed="false">
      <c r="A208" s="5" t="s">
        <v>495</v>
      </c>
      <c r="B208" s="2" t="s">
        <v>668</v>
      </c>
      <c r="C208" s="5" t="s">
        <v>364</v>
      </c>
      <c r="D208" s="21" t="n">
        <v>0.044</v>
      </c>
      <c r="E208" s="23" t="n">
        <v>24.7199993133545</v>
      </c>
      <c r="F208" s="13" t="n">
        <f aca="false">INDEX(Machine_Rates!$C$5:$C$38,MATCH(C208,Machine_Rates!$A$5:$A$38,0))</f>
        <v>8.4956</v>
      </c>
      <c r="G208" s="22" t="n">
        <f aca="false">D208*E208*F208</f>
        <v>9.24049395132752</v>
      </c>
    </row>
    <row r="209" customFormat="false" ht="15" hidden="false" customHeight="false" outlineLevel="0" collapsed="false">
      <c r="A209" s="5" t="s">
        <v>495</v>
      </c>
      <c r="B209" s="2" t="s">
        <v>668</v>
      </c>
      <c r="C209" s="5" t="s">
        <v>375</v>
      </c>
      <c r="D209" s="21" t="n">
        <v>3.053</v>
      </c>
      <c r="E209" s="23" t="n">
        <v>1</v>
      </c>
      <c r="F209" s="13" t="n">
        <f aca="false">INDEX(Machine_Rates!$C$5:$C$38,MATCH(C209,Machine_Rates!$A$5:$A$38,0))</f>
        <v>15.0115</v>
      </c>
      <c r="G209" s="22" t="n">
        <f aca="false">D209*E209*F209</f>
        <v>45.8301095</v>
      </c>
    </row>
    <row r="210" customFormat="false" ht="15" hidden="false" customHeight="false" outlineLevel="0" collapsed="false">
      <c r="A210" s="5" t="s">
        <v>495</v>
      </c>
      <c r="B210" s="2" t="s">
        <v>668</v>
      </c>
      <c r="C210" s="5" t="s">
        <v>360</v>
      </c>
      <c r="D210" s="21" t="n">
        <v>1.016</v>
      </c>
      <c r="E210" s="23" t="n">
        <v>1</v>
      </c>
      <c r="F210" s="13" t="n">
        <f aca="false">INDEX(Machine_Rates!$C$5:$C$38,MATCH(C210,Machine_Rates!$A$5:$A$38,0))</f>
        <v>12.3201</v>
      </c>
      <c r="G210" s="22" t="n">
        <f aca="false">D210*E210*F210</f>
        <v>12.5172216</v>
      </c>
    </row>
    <row r="211" customFormat="false" ht="15" hidden="false" customHeight="false" outlineLevel="0" collapsed="false">
      <c r="A211" s="5" t="s">
        <v>495</v>
      </c>
      <c r="B211" s="2" t="s">
        <v>668</v>
      </c>
      <c r="C211" s="5" t="s">
        <v>351</v>
      </c>
      <c r="D211" s="21" t="n">
        <v>1.653</v>
      </c>
      <c r="E211" s="23" t="n">
        <v>1</v>
      </c>
      <c r="F211" s="13" t="n">
        <f aca="false">INDEX(Machine_Rates!$C$5:$C$38,MATCH(C211,Machine_Rates!$A$5:$A$38,0))</f>
        <v>12.2442</v>
      </c>
      <c r="G211" s="22" t="n">
        <f aca="false">D211*E211*F211</f>
        <v>20.2396626</v>
      </c>
    </row>
    <row r="212" customFormat="false" ht="15" hidden="false" customHeight="false" outlineLevel="0" collapsed="false">
      <c r="A212" s="5" t="s">
        <v>495</v>
      </c>
      <c r="B212" s="2" t="s">
        <v>668</v>
      </c>
      <c r="C212" s="5" t="s">
        <v>363</v>
      </c>
      <c r="D212" s="21" t="n">
        <v>1.157</v>
      </c>
      <c r="E212" s="23" t="n">
        <v>1</v>
      </c>
      <c r="F212" s="13" t="n">
        <f aca="false">INDEX(Machine_Rates!$C$5:$C$38,MATCH(C212,Machine_Rates!$A$5:$A$38,0))</f>
        <v>18.7974</v>
      </c>
      <c r="G212" s="22" t="n">
        <f aca="false">D212*E212*F212</f>
        <v>21.7485918</v>
      </c>
    </row>
    <row r="213" customFormat="false" ht="15" hidden="false" customHeight="false" outlineLevel="0" collapsed="false">
      <c r="A213" s="5" t="s">
        <v>497</v>
      </c>
      <c r="B213" s="2" t="s">
        <v>669</v>
      </c>
      <c r="C213" s="5" t="s">
        <v>372</v>
      </c>
      <c r="D213" s="21" t="n">
        <v>1.102</v>
      </c>
      <c r="E213" s="23" t="n">
        <v>24.7199993133545</v>
      </c>
      <c r="F213" s="13" t="n">
        <f aca="false">INDEX(Machine_Rates!$C$5:$C$38,MATCH(C213,Machine_Rates!$A$5:$A$38,0))</f>
        <v>0</v>
      </c>
      <c r="G213" s="22" t="n">
        <f aca="false">D213*E213*F213</f>
        <v>0</v>
      </c>
    </row>
    <row r="214" customFormat="false" ht="15" hidden="false" customHeight="false" outlineLevel="0" collapsed="false">
      <c r="A214" s="5" t="s">
        <v>497</v>
      </c>
      <c r="B214" s="2" t="s">
        <v>669</v>
      </c>
      <c r="C214" s="5" t="s">
        <v>368</v>
      </c>
      <c r="D214" s="21" t="n">
        <v>1.157</v>
      </c>
      <c r="E214" s="23" t="n">
        <v>24.7199993133545</v>
      </c>
      <c r="F214" s="13" t="n">
        <f aca="false">INDEX(Machine_Rates!$C$5:$C$38,MATCH(C214,Machine_Rates!$A$5:$A$38,0))</f>
        <v>0</v>
      </c>
      <c r="G214" s="22" t="n">
        <f aca="false">D214*E214*F214</f>
        <v>0</v>
      </c>
    </row>
    <row r="215" customFormat="false" ht="15" hidden="false" customHeight="false" outlineLevel="0" collapsed="false">
      <c r="A215" s="5" t="s">
        <v>497</v>
      </c>
      <c r="B215" s="2" t="s">
        <v>669</v>
      </c>
      <c r="C215" s="5" t="s">
        <v>343</v>
      </c>
      <c r="D215" s="21" t="n">
        <v>0.156</v>
      </c>
      <c r="E215" s="23" t="n">
        <v>24.7199993133545</v>
      </c>
      <c r="F215" s="13" t="n">
        <f aca="false">INDEX(Machine_Rates!$C$5:$C$38,MATCH(C215,Machine_Rates!$A$5:$A$38,0))</f>
        <v>1.716</v>
      </c>
      <c r="G215" s="22" t="n">
        <f aca="false">D215*E215*F215</f>
        <v>6.61744493618775</v>
      </c>
    </row>
    <row r="216" customFormat="false" ht="15" hidden="false" customHeight="false" outlineLevel="0" collapsed="false">
      <c r="A216" s="5" t="s">
        <v>497</v>
      </c>
      <c r="B216" s="2" t="s">
        <v>669</v>
      </c>
      <c r="C216" s="5" t="s">
        <v>380</v>
      </c>
      <c r="D216" s="21" t="n">
        <v>3.157</v>
      </c>
      <c r="E216" s="23" t="n">
        <v>24.7199993133545</v>
      </c>
      <c r="F216" s="13" t="n">
        <f aca="false">INDEX(Machine_Rates!$C$5:$C$38,MATCH(C216,Machine_Rates!$A$5:$A$38,0))</f>
        <v>1.771</v>
      </c>
      <c r="G216" s="22" t="n">
        <f aca="false">D216*E216*F216</f>
        <v>138.210678000933</v>
      </c>
    </row>
    <row r="217" customFormat="false" ht="15" hidden="false" customHeight="false" outlineLevel="0" collapsed="false">
      <c r="A217" s="5" t="s">
        <v>497</v>
      </c>
      <c r="B217" s="2" t="s">
        <v>669</v>
      </c>
      <c r="C217" s="5" t="s">
        <v>368</v>
      </c>
      <c r="D217" s="21" t="n">
        <v>0.926</v>
      </c>
      <c r="E217" s="23" t="n">
        <v>4.5</v>
      </c>
      <c r="F217" s="13" t="n">
        <f aca="false">INDEX(Machine_Rates!$C$5:$C$38,MATCH(C217,Machine_Rates!$A$5:$A$38,0))</f>
        <v>0</v>
      </c>
      <c r="G217" s="22" t="n">
        <f aca="false">D217*E217*F217</f>
        <v>0</v>
      </c>
    </row>
    <row r="218" customFormat="false" ht="15" hidden="false" customHeight="false" outlineLevel="0" collapsed="false">
      <c r="A218" s="5" t="s">
        <v>497</v>
      </c>
      <c r="B218" s="2" t="s">
        <v>669</v>
      </c>
      <c r="C218" s="5" t="s">
        <v>364</v>
      </c>
      <c r="D218" s="21" t="n">
        <v>0.039</v>
      </c>
      <c r="E218" s="23" t="n">
        <v>24.7199993133545</v>
      </c>
      <c r="F218" s="13" t="n">
        <f aca="false">INDEX(Machine_Rates!$C$5:$C$38,MATCH(C218,Machine_Rates!$A$5:$A$38,0))</f>
        <v>8.4956</v>
      </c>
      <c r="G218" s="22" t="n">
        <f aca="false">D218*E218*F218</f>
        <v>8.19043782049485</v>
      </c>
    </row>
    <row r="219" customFormat="false" ht="15" hidden="false" customHeight="false" outlineLevel="0" collapsed="false">
      <c r="A219" s="5" t="s">
        <v>497</v>
      </c>
      <c r="B219" s="2" t="s">
        <v>669</v>
      </c>
      <c r="C219" s="5" t="s">
        <v>375</v>
      </c>
      <c r="D219" s="21" t="n">
        <v>3.053</v>
      </c>
      <c r="E219" s="23" t="n">
        <v>1</v>
      </c>
      <c r="F219" s="13" t="n">
        <f aca="false">INDEX(Machine_Rates!$C$5:$C$38,MATCH(C219,Machine_Rates!$A$5:$A$38,0))</f>
        <v>15.0115</v>
      </c>
      <c r="G219" s="22" t="n">
        <f aca="false">D219*E219*F219</f>
        <v>45.8301095</v>
      </c>
    </row>
    <row r="220" customFormat="false" ht="15" hidden="false" customHeight="false" outlineLevel="0" collapsed="false">
      <c r="A220" s="5" t="s">
        <v>497</v>
      </c>
      <c r="B220" s="2" t="s">
        <v>669</v>
      </c>
      <c r="C220" s="5" t="s">
        <v>360</v>
      </c>
      <c r="D220" s="21" t="n">
        <v>1.016</v>
      </c>
      <c r="E220" s="23" t="n">
        <v>1</v>
      </c>
      <c r="F220" s="13" t="n">
        <f aca="false">INDEX(Machine_Rates!$C$5:$C$38,MATCH(C220,Machine_Rates!$A$5:$A$38,0))</f>
        <v>12.3201</v>
      </c>
      <c r="G220" s="22" t="n">
        <f aca="false">D220*E220*F220</f>
        <v>12.5172216</v>
      </c>
    </row>
    <row r="221" customFormat="false" ht="15" hidden="false" customHeight="false" outlineLevel="0" collapsed="false">
      <c r="A221" s="5" t="s">
        <v>497</v>
      </c>
      <c r="B221" s="2" t="s">
        <v>669</v>
      </c>
      <c r="C221" s="5" t="s">
        <v>351</v>
      </c>
      <c r="D221" s="21" t="n">
        <v>1.21</v>
      </c>
      <c r="E221" s="23" t="n">
        <v>1</v>
      </c>
      <c r="F221" s="13" t="n">
        <f aca="false">INDEX(Machine_Rates!$C$5:$C$38,MATCH(C221,Machine_Rates!$A$5:$A$38,0))</f>
        <v>12.2442</v>
      </c>
      <c r="G221" s="22" t="n">
        <f aca="false">D221*E221*F221</f>
        <v>14.815482</v>
      </c>
    </row>
    <row r="222" customFormat="false" ht="15" hidden="false" customHeight="false" outlineLevel="0" collapsed="false">
      <c r="A222" s="5" t="s">
        <v>497</v>
      </c>
      <c r="B222" s="2" t="s">
        <v>669</v>
      </c>
      <c r="C222" s="5" t="s">
        <v>360</v>
      </c>
      <c r="D222" s="21" t="n">
        <v>1.157</v>
      </c>
      <c r="E222" s="23" t="n">
        <v>1</v>
      </c>
      <c r="F222" s="13" t="n">
        <f aca="false">INDEX(Machine_Rates!$C$5:$C$38,MATCH(C222,Machine_Rates!$A$5:$A$38,0))</f>
        <v>12.3201</v>
      </c>
      <c r="G222" s="22" t="n">
        <f aca="false">D222*E222*F222</f>
        <v>14.2543557</v>
      </c>
    </row>
    <row r="223" customFormat="false" ht="15" hidden="false" customHeight="false" outlineLevel="0" collapsed="false">
      <c r="A223" s="5" t="s">
        <v>499</v>
      </c>
      <c r="B223" s="2" t="s">
        <v>670</v>
      </c>
      <c r="C223" s="5" t="s">
        <v>372</v>
      </c>
      <c r="D223" s="21" t="n">
        <v>1.102</v>
      </c>
      <c r="E223" s="23" t="n">
        <v>1.00999999046326</v>
      </c>
      <c r="F223" s="13" t="n">
        <f aca="false">INDEX(Machine_Rates!$C$5:$C$38,MATCH(C223,Machine_Rates!$A$5:$A$38,0))</f>
        <v>0</v>
      </c>
      <c r="G223" s="22" t="n">
        <f aca="false">D223*E223*F223</f>
        <v>0</v>
      </c>
    </row>
    <row r="224" customFormat="false" ht="15" hidden="false" customHeight="false" outlineLevel="0" collapsed="false">
      <c r="A224" s="5" t="s">
        <v>499</v>
      </c>
      <c r="B224" s="2" t="s">
        <v>670</v>
      </c>
      <c r="C224" s="5" t="s">
        <v>368</v>
      </c>
      <c r="D224" s="21" t="n">
        <v>2.058</v>
      </c>
      <c r="E224" s="23" t="n">
        <v>1.00999999046326</v>
      </c>
      <c r="F224" s="13" t="n">
        <f aca="false">INDEX(Machine_Rates!$C$5:$C$38,MATCH(C224,Machine_Rates!$A$5:$A$38,0))</f>
        <v>0</v>
      </c>
      <c r="G224" s="22" t="n">
        <f aca="false">D224*E224*F224</f>
        <v>0</v>
      </c>
    </row>
    <row r="225" customFormat="false" ht="15" hidden="false" customHeight="false" outlineLevel="0" collapsed="false">
      <c r="A225" s="5" t="s">
        <v>499</v>
      </c>
      <c r="B225" s="2" t="s">
        <v>670</v>
      </c>
      <c r="C225" s="5" t="s">
        <v>343</v>
      </c>
      <c r="D225" s="21" t="n">
        <v>0.13</v>
      </c>
      <c r="E225" s="23" t="n">
        <v>1.00999999046326</v>
      </c>
      <c r="F225" s="13" t="n">
        <f aca="false">INDEX(Machine_Rates!$C$5:$C$38,MATCH(C225,Machine_Rates!$A$5:$A$38,0))</f>
        <v>1.716</v>
      </c>
      <c r="G225" s="22" t="n">
        <f aca="false">D225*E225*F225</f>
        <v>0.225310797872544</v>
      </c>
    </row>
    <row r="226" customFormat="false" ht="15" hidden="false" customHeight="false" outlineLevel="0" collapsed="false">
      <c r="A226" s="5" t="s">
        <v>499</v>
      </c>
      <c r="B226" s="2" t="s">
        <v>670</v>
      </c>
      <c r="C226" s="5" t="s">
        <v>368</v>
      </c>
      <c r="D226" s="21" t="n">
        <v>0.926</v>
      </c>
      <c r="E226" s="23" t="n">
        <v>4.5</v>
      </c>
      <c r="F226" s="13" t="n">
        <f aca="false">INDEX(Machine_Rates!$C$5:$C$38,MATCH(C226,Machine_Rates!$A$5:$A$38,0))</f>
        <v>0</v>
      </c>
      <c r="G226" s="22" t="n">
        <f aca="false">D226*E226*F226</f>
        <v>0</v>
      </c>
    </row>
    <row r="227" customFormat="false" ht="15" hidden="false" customHeight="false" outlineLevel="0" collapsed="false">
      <c r="A227" s="5" t="s">
        <v>499</v>
      </c>
      <c r="B227" s="2" t="s">
        <v>670</v>
      </c>
      <c r="C227" s="5" t="s">
        <v>364</v>
      </c>
      <c r="D227" s="21" t="n">
        <v>0.044</v>
      </c>
      <c r="E227" s="23" t="n">
        <v>1.00999999046326</v>
      </c>
      <c r="F227" s="13" t="n">
        <f aca="false">INDEX(Machine_Rates!$C$5:$C$38,MATCH(C227,Machine_Rates!$A$5:$A$38,0))</f>
        <v>8.4956</v>
      </c>
      <c r="G227" s="22" t="n">
        <f aca="false">D227*E227*F227</f>
        <v>0.377544460435106</v>
      </c>
    </row>
    <row r="228" customFormat="false" ht="15" hidden="false" customHeight="false" outlineLevel="0" collapsed="false">
      <c r="A228" s="5" t="s">
        <v>499</v>
      </c>
      <c r="B228" s="2" t="s">
        <v>670</v>
      </c>
      <c r="C228" s="5" t="s">
        <v>342</v>
      </c>
      <c r="D228" s="21" t="n">
        <v>1.111</v>
      </c>
      <c r="E228" s="23" t="n">
        <v>1</v>
      </c>
      <c r="F228" s="13" t="n">
        <f aca="false">INDEX(Machine_Rates!$C$5:$C$38,MATCH(C228,Machine_Rates!$A$5:$A$38,0))</f>
        <v>2.4859</v>
      </c>
      <c r="G228" s="22" t="n">
        <f aca="false">D228*E228*F228</f>
        <v>2.7618349</v>
      </c>
    </row>
    <row r="229" customFormat="false" ht="15" hidden="false" customHeight="false" outlineLevel="0" collapsed="false">
      <c r="A229" s="5" t="s">
        <v>499</v>
      </c>
      <c r="B229" s="2" t="s">
        <v>670</v>
      </c>
      <c r="C229" s="5" t="s">
        <v>360</v>
      </c>
      <c r="D229" s="21" t="n">
        <v>0.726</v>
      </c>
      <c r="E229" s="23" t="n">
        <v>1</v>
      </c>
      <c r="F229" s="13" t="n">
        <f aca="false">INDEX(Machine_Rates!$C$5:$C$38,MATCH(C229,Machine_Rates!$A$5:$A$38,0))</f>
        <v>12.3201</v>
      </c>
      <c r="G229" s="22" t="n">
        <f aca="false">D229*E229*F229</f>
        <v>8.9443926</v>
      </c>
    </row>
    <row r="230" customFormat="false" ht="15" hidden="false" customHeight="false" outlineLevel="0" collapsed="false">
      <c r="A230" s="5" t="s">
        <v>499</v>
      </c>
      <c r="B230" s="2" t="s">
        <v>670</v>
      </c>
      <c r="C230" s="5" t="s">
        <v>337</v>
      </c>
      <c r="D230" s="21" t="n">
        <v>2.315</v>
      </c>
      <c r="E230" s="23" t="n">
        <v>1</v>
      </c>
      <c r="F230" s="13" t="n">
        <f aca="false">INDEX(Machine_Rates!$C$5:$C$38,MATCH(C230,Machine_Rates!$A$5:$A$38,0))</f>
        <v>4.3539</v>
      </c>
      <c r="G230" s="22" t="n">
        <f aca="false">D230*E230*F230</f>
        <v>10.0792785</v>
      </c>
    </row>
    <row r="231" customFormat="false" ht="15" hidden="false" customHeight="false" outlineLevel="0" collapsed="false">
      <c r="A231" s="5" t="s">
        <v>499</v>
      </c>
      <c r="B231" s="2" t="s">
        <v>670</v>
      </c>
      <c r="C231" s="5" t="s">
        <v>360</v>
      </c>
      <c r="D231" s="21" t="n">
        <v>0.827</v>
      </c>
      <c r="E231" s="23" t="n">
        <v>1</v>
      </c>
      <c r="F231" s="13" t="n">
        <f aca="false">INDEX(Machine_Rates!$C$5:$C$38,MATCH(C231,Machine_Rates!$A$5:$A$38,0))</f>
        <v>12.3201</v>
      </c>
      <c r="G231" s="22" t="n">
        <f aca="false">D231*E231*F231</f>
        <v>10.1887227</v>
      </c>
    </row>
    <row r="232" customFormat="false" ht="15" hidden="false" customHeight="false" outlineLevel="0" collapsed="false">
      <c r="A232" s="5" t="s">
        <v>501</v>
      </c>
      <c r="B232" s="2" t="s">
        <v>671</v>
      </c>
      <c r="C232" s="5" t="s">
        <v>372</v>
      </c>
      <c r="D232" s="21" t="n">
        <v>1.102</v>
      </c>
      <c r="E232" s="23" t="n">
        <v>1.00999999046326</v>
      </c>
      <c r="F232" s="13" t="n">
        <f aca="false">INDEX(Machine_Rates!$C$5:$C$38,MATCH(C232,Machine_Rates!$A$5:$A$38,0))</f>
        <v>0</v>
      </c>
      <c r="G232" s="22" t="n">
        <f aca="false">D232*E232*F232</f>
        <v>0</v>
      </c>
    </row>
    <row r="233" customFormat="false" ht="15" hidden="false" customHeight="false" outlineLevel="0" collapsed="false">
      <c r="A233" s="5" t="s">
        <v>501</v>
      </c>
      <c r="B233" s="2" t="s">
        <v>671</v>
      </c>
      <c r="C233" s="5" t="s">
        <v>368</v>
      </c>
      <c r="D233" s="21" t="n">
        <v>2.058</v>
      </c>
      <c r="E233" s="23" t="n">
        <v>1.00999999046326</v>
      </c>
      <c r="F233" s="13" t="n">
        <f aca="false">INDEX(Machine_Rates!$C$5:$C$38,MATCH(C233,Machine_Rates!$A$5:$A$38,0))</f>
        <v>0</v>
      </c>
      <c r="G233" s="22" t="n">
        <f aca="false">D233*E233*F233</f>
        <v>0</v>
      </c>
    </row>
    <row r="234" customFormat="false" ht="15" hidden="false" customHeight="false" outlineLevel="0" collapsed="false">
      <c r="A234" s="5" t="s">
        <v>501</v>
      </c>
      <c r="B234" s="2" t="s">
        <v>671</v>
      </c>
      <c r="C234" s="5" t="s">
        <v>343</v>
      </c>
      <c r="D234" s="21" t="n">
        <v>0.13</v>
      </c>
      <c r="E234" s="23" t="n">
        <v>1.00999999046326</v>
      </c>
      <c r="F234" s="13" t="n">
        <f aca="false">INDEX(Machine_Rates!$C$5:$C$38,MATCH(C234,Machine_Rates!$A$5:$A$38,0))</f>
        <v>1.716</v>
      </c>
      <c r="G234" s="22" t="n">
        <f aca="false">D234*E234*F234</f>
        <v>0.225310797872544</v>
      </c>
    </row>
    <row r="235" customFormat="false" ht="15" hidden="false" customHeight="false" outlineLevel="0" collapsed="false">
      <c r="A235" s="5" t="s">
        <v>501</v>
      </c>
      <c r="B235" s="2" t="s">
        <v>671</v>
      </c>
      <c r="C235" s="5" t="s">
        <v>380</v>
      </c>
      <c r="D235" s="21" t="n">
        <v>2.437</v>
      </c>
      <c r="E235" s="23" t="n">
        <v>1.00999999046326</v>
      </c>
      <c r="F235" s="13" t="n">
        <f aca="false">INDEX(Machine_Rates!$C$5:$C$38,MATCH(C235,Machine_Rates!$A$5:$A$38,0))</f>
        <v>1.771</v>
      </c>
      <c r="G235" s="22" t="n">
        <f aca="false">D235*E235*F235</f>
        <v>4.35908622884013</v>
      </c>
    </row>
    <row r="236" customFormat="false" ht="15" hidden="false" customHeight="false" outlineLevel="0" collapsed="false">
      <c r="A236" s="5" t="s">
        <v>501</v>
      </c>
      <c r="B236" s="2" t="s">
        <v>671</v>
      </c>
      <c r="C236" s="5" t="s">
        <v>368</v>
      </c>
      <c r="D236" s="21" t="n">
        <v>0.926</v>
      </c>
      <c r="E236" s="23" t="n">
        <v>4.5</v>
      </c>
      <c r="F236" s="13" t="n">
        <f aca="false">INDEX(Machine_Rates!$C$5:$C$38,MATCH(C236,Machine_Rates!$A$5:$A$38,0))</f>
        <v>0</v>
      </c>
      <c r="G236" s="22" t="n">
        <f aca="false">D236*E236*F236</f>
        <v>0</v>
      </c>
    </row>
    <row r="237" customFormat="false" ht="15" hidden="false" customHeight="false" outlineLevel="0" collapsed="false">
      <c r="A237" s="5" t="s">
        <v>501</v>
      </c>
      <c r="B237" s="2" t="s">
        <v>671</v>
      </c>
      <c r="C237" s="5" t="s">
        <v>364</v>
      </c>
      <c r="D237" s="21" t="n">
        <v>0.044</v>
      </c>
      <c r="E237" s="23" t="n">
        <v>1.00999999046326</v>
      </c>
      <c r="F237" s="13" t="n">
        <f aca="false">INDEX(Machine_Rates!$C$5:$C$38,MATCH(C237,Machine_Rates!$A$5:$A$38,0))</f>
        <v>8.4956</v>
      </c>
      <c r="G237" s="22" t="n">
        <f aca="false">D237*E237*F237</f>
        <v>0.377544460435106</v>
      </c>
    </row>
    <row r="238" customFormat="false" ht="15" hidden="false" customHeight="false" outlineLevel="0" collapsed="false">
      <c r="A238" s="5" t="s">
        <v>501</v>
      </c>
      <c r="B238" s="2" t="s">
        <v>671</v>
      </c>
      <c r="C238" s="5" t="s">
        <v>342</v>
      </c>
      <c r="D238" s="21" t="n">
        <v>1.111</v>
      </c>
      <c r="E238" s="23" t="n">
        <v>1</v>
      </c>
      <c r="F238" s="13" t="n">
        <f aca="false">INDEX(Machine_Rates!$C$5:$C$38,MATCH(C238,Machine_Rates!$A$5:$A$38,0))</f>
        <v>2.4859</v>
      </c>
      <c r="G238" s="22" t="n">
        <f aca="false">D238*E238*F238</f>
        <v>2.7618349</v>
      </c>
    </row>
    <row r="239" customFormat="false" ht="15" hidden="false" customHeight="false" outlineLevel="0" collapsed="false">
      <c r="A239" s="5" t="s">
        <v>501</v>
      </c>
      <c r="B239" s="2" t="s">
        <v>671</v>
      </c>
      <c r="C239" s="5" t="s">
        <v>360</v>
      </c>
      <c r="D239" s="21" t="n">
        <v>0.726</v>
      </c>
      <c r="E239" s="23" t="n">
        <v>1</v>
      </c>
      <c r="F239" s="13" t="n">
        <f aca="false">INDEX(Machine_Rates!$C$5:$C$38,MATCH(C239,Machine_Rates!$A$5:$A$38,0))</f>
        <v>12.3201</v>
      </c>
      <c r="G239" s="22" t="n">
        <f aca="false">D239*E239*F239</f>
        <v>8.9443926</v>
      </c>
    </row>
    <row r="240" customFormat="false" ht="15" hidden="false" customHeight="false" outlineLevel="0" collapsed="false">
      <c r="A240" s="5" t="s">
        <v>501</v>
      </c>
      <c r="B240" s="2" t="s">
        <v>671</v>
      </c>
      <c r="C240" s="5" t="s">
        <v>337</v>
      </c>
      <c r="D240" s="21" t="n">
        <v>2.315</v>
      </c>
      <c r="E240" s="23" t="n">
        <v>1</v>
      </c>
      <c r="F240" s="13" t="n">
        <f aca="false">INDEX(Machine_Rates!$C$5:$C$38,MATCH(C240,Machine_Rates!$A$5:$A$38,0))</f>
        <v>4.3539</v>
      </c>
      <c r="G240" s="22" t="n">
        <f aca="false">D240*E240*F240</f>
        <v>10.0792785</v>
      </c>
    </row>
    <row r="241" customFormat="false" ht="15" hidden="false" customHeight="false" outlineLevel="0" collapsed="false">
      <c r="A241" s="5" t="s">
        <v>501</v>
      </c>
      <c r="B241" s="2" t="s">
        <v>671</v>
      </c>
      <c r="C241" s="5" t="s">
        <v>360</v>
      </c>
      <c r="D241" s="21" t="n">
        <v>0.846</v>
      </c>
      <c r="E241" s="23" t="n">
        <v>1</v>
      </c>
      <c r="F241" s="13" t="n">
        <f aca="false">INDEX(Machine_Rates!$C$5:$C$38,MATCH(C241,Machine_Rates!$A$5:$A$38,0))</f>
        <v>12.3201</v>
      </c>
      <c r="G241" s="22" t="n">
        <f aca="false">D241*E241*F241</f>
        <v>10.4228046</v>
      </c>
    </row>
    <row r="242" customFormat="false" ht="15" hidden="false" customHeight="false" outlineLevel="0" collapsed="false">
      <c r="A242" s="5" t="s">
        <v>503</v>
      </c>
      <c r="B242" s="2" t="s">
        <v>672</v>
      </c>
      <c r="C242" s="5" t="s">
        <v>370</v>
      </c>
      <c r="D242" s="21" t="n">
        <v>0.01</v>
      </c>
      <c r="E242" s="23" t="n">
        <v>8.07999992370606</v>
      </c>
      <c r="F242" s="13" t="n">
        <f aca="false">INDEX(Machine_Rates!$C$5:$C$38,MATCH(C242,Machine_Rates!$A$5:$A$38,0))</f>
        <v>0</v>
      </c>
      <c r="G242" s="22" t="n">
        <f aca="false">D242*E242*F242</f>
        <v>0</v>
      </c>
    </row>
    <row r="243" customFormat="false" ht="15" hidden="false" customHeight="false" outlineLevel="0" collapsed="false">
      <c r="A243" s="5" t="s">
        <v>503</v>
      </c>
      <c r="B243" s="2" t="s">
        <v>672</v>
      </c>
      <c r="C243" s="5" t="s">
        <v>368</v>
      </c>
      <c r="D243" s="21" t="n">
        <v>0.926</v>
      </c>
      <c r="E243" s="23" t="n">
        <v>13.5900001525879</v>
      </c>
      <c r="F243" s="13" t="n">
        <f aca="false">INDEX(Machine_Rates!$C$5:$C$38,MATCH(C243,Machine_Rates!$A$5:$A$38,0))</f>
        <v>0</v>
      </c>
      <c r="G243" s="22" t="n">
        <f aca="false">D243*E243*F243</f>
        <v>0</v>
      </c>
    </row>
    <row r="244" customFormat="false" ht="15" hidden="false" customHeight="false" outlineLevel="0" collapsed="false">
      <c r="A244" s="5" t="s">
        <v>503</v>
      </c>
      <c r="B244" s="2" t="s">
        <v>672</v>
      </c>
      <c r="C244" s="5" t="s">
        <v>364</v>
      </c>
      <c r="D244" s="21" t="n">
        <v>0.039</v>
      </c>
      <c r="E244" s="23" t="n">
        <v>4.03999996185303</v>
      </c>
      <c r="F244" s="13" t="n">
        <f aca="false">INDEX(Machine_Rates!$C$5:$C$38,MATCH(C244,Machine_Rates!$A$5:$A$38,0))</f>
        <v>8.4956</v>
      </c>
      <c r="G244" s="22" t="n">
        <f aca="false">D244*E244*F244</f>
        <v>1.33856672336083</v>
      </c>
    </row>
    <row r="245" customFormat="false" ht="15" hidden="false" customHeight="false" outlineLevel="0" collapsed="false">
      <c r="A245" s="5" t="s">
        <v>503</v>
      </c>
      <c r="B245" s="2" t="s">
        <v>672</v>
      </c>
      <c r="C245" s="5" t="s">
        <v>342</v>
      </c>
      <c r="D245" s="21" t="n">
        <v>0.617</v>
      </c>
      <c r="E245" s="23" t="n">
        <v>2.01999998092651</v>
      </c>
      <c r="F245" s="13" t="n">
        <f aca="false">INDEX(Machine_Rates!$C$5:$C$38,MATCH(C245,Machine_Rates!$A$5:$A$38,0))</f>
        <v>2.4859</v>
      </c>
      <c r="G245" s="22" t="n">
        <f aca="false">D245*E245*F245</f>
        <v>3.09827657674508</v>
      </c>
    </row>
    <row r="246" customFormat="false" ht="15" hidden="false" customHeight="false" outlineLevel="0" collapsed="false">
      <c r="A246" s="5" t="s">
        <v>503</v>
      </c>
      <c r="B246" s="2" t="s">
        <v>672</v>
      </c>
      <c r="C246" s="5" t="s">
        <v>342</v>
      </c>
      <c r="D246" s="21" t="n">
        <v>0.868</v>
      </c>
      <c r="E246" s="23" t="n">
        <v>1</v>
      </c>
      <c r="F246" s="13" t="n">
        <f aca="false">INDEX(Machine_Rates!$C$5:$C$38,MATCH(C246,Machine_Rates!$A$5:$A$38,0))</f>
        <v>2.4859</v>
      </c>
      <c r="G246" s="22" t="n">
        <f aca="false">D246*E246*F246</f>
        <v>2.1577612</v>
      </c>
    </row>
    <row r="247" customFormat="false" ht="15" hidden="false" customHeight="false" outlineLevel="0" collapsed="false">
      <c r="A247" s="5" t="s">
        <v>503</v>
      </c>
      <c r="B247" s="2" t="s">
        <v>672</v>
      </c>
      <c r="C247" s="5" t="s">
        <v>364</v>
      </c>
      <c r="D247" s="21" t="n">
        <v>0.772</v>
      </c>
      <c r="E247" s="23" t="n">
        <v>1</v>
      </c>
      <c r="F247" s="13" t="n">
        <f aca="false">INDEX(Machine_Rates!$C$5:$C$38,MATCH(C247,Machine_Rates!$A$5:$A$38,0))</f>
        <v>8.4956</v>
      </c>
      <c r="G247" s="22" t="n">
        <f aca="false">D247*E247*F247</f>
        <v>6.5586032</v>
      </c>
    </row>
    <row r="248" customFormat="false" ht="15" hidden="false" customHeight="false" outlineLevel="0" collapsed="false">
      <c r="A248" s="5" t="s">
        <v>503</v>
      </c>
      <c r="B248" s="2" t="s">
        <v>672</v>
      </c>
      <c r="C248" s="5" t="s">
        <v>337</v>
      </c>
      <c r="D248" s="21" t="n">
        <v>2.315</v>
      </c>
      <c r="E248" s="23" t="n">
        <v>1</v>
      </c>
      <c r="F248" s="13" t="n">
        <f aca="false">INDEX(Machine_Rates!$C$5:$C$38,MATCH(C248,Machine_Rates!$A$5:$A$38,0))</f>
        <v>4.3539</v>
      </c>
      <c r="G248" s="22" t="n">
        <f aca="false">D248*E248*F248</f>
        <v>10.0792785</v>
      </c>
    </row>
    <row r="249" customFormat="false" ht="15" hidden="false" customHeight="false" outlineLevel="0" collapsed="false">
      <c r="A249" s="5" t="s">
        <v>503</v>
      </c>
      <c r="B249" s="2" t="s">
        <v>672</v>
      </c>
      <c r="C249" s="5" t="s">
        <v>360</v>
      </c>
      <c r="D249" s="21" t="n">
        <v>0.926</v>
      </c>
      <c r="E249" s="23" t="n">
        <v>1</v>
      </c>
      <c r="F249" s="13" t="n">
        <f aca="false">INDEX(Machine_Rates!$C$5:$C$38,MATCH(C249,Machine_Rates!$A$5:$A$38,0))</f>
        <v>12.3201</v>
      </c>
      <c r="G249" s="22" t="n">
        <f aca="false">D249*E249*F249</f>
        <v>11.4084126</v>
      </c>
    </row>
    <row r="250" customFormat="false" ht="15" hidden="false" customHeight="false" outlineLevel="0" collapsed="false">
      <c r="A250" s="5" t="s">
        <v>505</v>
      </c>
      <c r="B250" s="2" t="s">
        <v>673</v>
      </c>
      <c r="C250" s="5" t="s">
        <v>370</v>
      </c>
      <c r="D250" s="21" t="n">
        <v>1.006</v>
      </c>
      <c r="E250" s="23" t="n">
        <v>3</v>
      </c>
      <c r="F250" s="13" t="n">
        <f aca="false">INDEX(Machine_Rates!$C$5:$C$38,MATCH(C250,Machine_Rates!$A$5:$A$38,0))</f>
        <v>0</v>
      </c>
      <c r="G250" s="22" t="n">
        <f aca="false">D250*E250*F250</f>
        <v>0</v>
      </c>
    </row>
    <row r="251" customFormat="false" ht="15" hidden="false" customHeight="false" outlineLevel="0" collapsed="false">
      <c r="A251" s="5" t="s">
        <v>505</v>
      </c>
      <c r="B251" s="2" t="s">
        <v>673</v>
      </c>
      <c r="C251" s="5" t="s">
        <v>345</v>
      </c>
      <c r="D251" s="21" t="n">
        <v>0.176</v>
      </c>
      <c r="E251" s="23" t="n">
        <v>3</v>
      </c>
      <c r="F251" s="13" t="n">
        <f aca="false">INDEX(Machine_Rates!$C$5:$C$38,MATCH(C251,Machine_Rates!$A$5:$A$38,0))</f>
        <v>4.1336</v>
      </c>
      <c r="G251" s="22" t="n">
        <f aca="false">D251*E251*F251</f>
        <v>2.1825408</v>
      </c>
    </row>
    <row r="252" customFormat="false" ht="15" hidden="false" customHeight="false" outlineLevel="0" collapsed="false">
      <c r="A252" s="5" t="s">
        <v>505</v>
      </c>
      <c r="B252" s="2" t="s">
        <v>673</v>
      </c>
      <c r="C252" s="5" t="s">
        <v>367</v>
      </c>
      <c r="D252" s="21" t="n">
        <v>0.637</v>
      </c>
      <c r="E252" s="23" t="n">
        <v>3</v>
      </c>
      <c r="F252" s="13" t="n">
        <f aca="false">INDEX(Machine_Rates!$C$5:$C$38,MATCH(C252,Machine_Rates!$A$5:$A$38,0))</f>
        <v>37.1611</v>
      </c>
      <c r="G252" s="22" t="n">
        <f aca="false">D252*E252*F252</f>
        <v>71.0148621</v>
      </c>
    </row>
    <row r="253" customFormat="false" ht="15" hidden="false" customHeight="false" outlineLevel="0" collapsed="false">
      <c r="A253" s="5" t="s">
        <v>505</v>
      </c>
      <c r="B253" s="2" t="s">
        <v>673</v>
      </c>
      <c r="C253" s="5" t="s">
        <v>377</v>
      </c>
      <c r="D253" s="21" t="n">
        <v>1.403</v>
      </c>
      <c r="E253" s="23" t="n">
        <v>3</v>
      </c>
      <c r="F253" s="13" t="n">
        <f aca="false">INDEX(Machine_Rates!$C$5:$C$38,MATCH(C253,Machine_Rates!$A$5:$A$38,0))</f>
        <v>5.3171</v>
      </c>
      <c r="G253" s="22" t="n">
        <f aca="false">D253*E253*F253</f>
        <v>22.3796739</v>
      </c>
    </row>
    <row r="254" customFormat="false" ht="15" hidden="false" customHeight="false" outlineLevel="0" collapsed="false">
      <c r="A254" s="5" t="s">
        <v>505</v>
      </c>
      <c r="B254" s="2" t="s">
        <v>673</v>
      </c>
      <c r="C254" s="5" t="s">
        <v>353</v>
      </c>
      <c r="D254" s="21" t="n">
        <v>1.302</v>
      </c>
      <c r="E254" s="23" t="n">
        <v>1</v>
      </c>
      <c r="F254" s="13" t="n">
        <f aca="false">INDEX(Machine_Rates!$C$5:$C$38,MATCH(C254,Machine_Rates!$A$5:$A$38,0))</f>
        <v>16.82</v>
      </c>
      <c r="G254" s="22" t="n">
        <f aca="false">D254*E254*F254</f>
        <v>21.89964</v>
      </c>
    </row>
    <row r="255" customFormat="false" ht="15" hidden="false" customHeight="false" outlineLevel="0" collapsed="false">
      <c r="A255" s="5" t="s">
        <v>505</v>
      </c>
      <c r="B255" s="2" t="s">
        <v>673</v>
      </c>
      <c r="C255" s="5" t="s">
        <v>362</v>
      </c>
      <c r="D255" s="21" t="n">
        <v>0.992</v>
      </c>
      <c r="E255" s="23" t="n">
        <v>1</v>
      </c>
      <c r="F255" s="13" t="n">
        <f aca="false">INDEX(Machine_Rates!$C$5:$C$38,MATCH(C255,Machine_Rates!$A$5:$A$38,0))</f>
        <v>18.797</v>
      </c>
      <c r="G255" s="22" t="n">
        <f aca="false">D255*E255*F255</f>
        <v>18.646624</v>
      </c>
    </row>
    <row r="256" customFormat="false" ht="15" hidden="false" customHeight="false" outlineLevel="0" collapsed="false">
      <c r="A256" s="5" t="s">
        <v>505</v>
      </c>
      <c r="B256" s="2" t="s">
        <v>673</v>
      </c>
      <c r="C256" s="5" t="s">
        <v>353</v>
      </c>
      <c r="D256" s="21" t="n">
        <v>1.587</v>
      </c>
      <c r="E256" s="23" t="n">
        <v>1</v>
      </c>
      <c r="F256" s="13" t="n">
        <f aca="false">INDEX(Machine_Rates!$C$5:$C$38,MATCH(C256,Machine_Rates!$A$5:$A$38,0))</f>
        <v>16.82</v>
      </c>
      <c r="G256" s="22" t="n">
        <f aca="false">D256*E256*F256</f>
        <v>26.69334</v>
      </c>
    </row>
    <row r="257" customFormat="false" ht="15" hidden="false" customHeight="false" outlineLevel="0" collapsed="false">
      <c r="A257" s="5" t="s">
        <v>505</v>
      </c>
      <c r="B257" s="2" t="s">
        <v>673</v>
      </c>
      <c r="C257" s="5" t="s">
        <v>362</v>
      </c>
      <c r="D257" s="21" t="n">
        <v>0.988</v>
      </c>
      <c r="E257" s="23" t="n">
        <v>1</v>
      </c>
      <c r="F257" s="13" t="n">
        <f aca="false">INDEX(Machine_Rates!$C$5:$C$38,MATCH(C257,Machine_Rates!$A$5:$A$38,0))</f>
        <v>18.797</v>
      </c>
      <c r="G257" s="22" t="n">
        <f aca="false">D257*E257*F257</f>
        <v>18.571436</v>
      </c>
    </row>
    <row r="258" customFormat="false" ht="15" hidden="false" customHeight="false" outlineLevel="0" collapsed="false">
      <c r="A258" s="5" t="s">
        <v>507</v>
      </c>
      <c r="B258" s="2" t="s">
        <v>674</v>
      </c>
      <c r="C258" s="5" t="s">
        <v>370</v>
      </c>
      <c r="D258" s="21" t="n">
        <v>2.179</v>
      </c>
      <c r="E258" s="23" t="n">
        <v>3</v>
      </c>
      <c r="F258" s="13" t="n">
        <f aca="false">INDEX(Machine_Rates!$C$5:$C$38,MATCH(C258,Machine_Rates!$A$5:$A$38,0))</f>
        <v>0</v>
      </c>
      <c r="G258" s="22" t="n">
        <f aca="false">D258*E258*F258</f>
        <v>0</v>
      </c>
    </row>
    <row r="259" customFormat="false" ht="15" hidden="false" customHeight="false" outlineLevel="0" collapsed="false">
      <c r="A259" s="5" t="s">
        <v>507</v>
      </c>
      <c r="B259" s="2" t="s">
        <v>674</v>
      </c>
      <c r="C259" s="5" t="s">
        <v>345</v>
      </c>
      <c r="D259" s="21" t="n">
        <v>0.176</v>
      </c>
      <c r="E259" s="23" t="n">
        <v>3</v>
      </c>
      <c r="F259" s="13" t="n">
        <f aca="false">INDEX(Machine_Rates!$C$5:$C$38,MATCH(C259,Machine_Rates!$A$5:$A$38,0))</f>
        <v>4.1336</v>
      </c>
      <c r="G259" s="22" t="n">
        <f aca="false">D259*E259*F259</f>
        <v>2.1825408</v>
      </c>
    </row>
    <row r="260" customFormat="false" ht="15" hidden="false" customHeight="false" outlineLevel="0" collapsed="false">
      <c r="A260" s="5" t="s">
        <v>507</v>
      </c>
      <c r="B260" s="2" t="s">
        <v>674</v>
      </c>
      <c r="C260" s="5" t="s">
        <v>365</v>
      </c>
      <c r="D260" s="21" t="n">
        <v>0.329</v>
      </c>
      <c r="E260" s="23" t="n">
        <v>3</v>
      </c>
      <c r="F260" s="13" t="n">
        <f aca="false">INDEX(Machine_Rates!$C$5:$C$38,MATCH(C260,Machine_Rates!$A$5:$A$38,0))</f>
        <v>10.9057</v>
      </c>
      <c r="G260" s="22" t="n">
        <f aca="false">D260*E260*F260</f>
        <v>10.7639259</v>
      </c>
    </row>
    <row r="261" customFormat="false" ht="15" hidden="false" customHeight="false" outlineLevel="0" collapsed="false">
      <c r="A261" s="5" t="s">
        <v>507</v>
      </c>
      <c r="B261" s="2" t="s">
        <v>674</v>
      </c>
      <c r="C261" s="5" t="s">
        <v>351</v>
      </c>
      <c r="D261" s="21" t="n">
        <v>1.148</v>
      </c>
      <c r="E261" s="23" t="n">
        <v>1</v>
      </c>
      <c r="F261" s="13" t="n">
        <f aca="false">INDEX(Machine_Rates!$C$5:$C$38,MATCH(C261,Machine_Rates!$A$5:$A$38,0))</f>
        <v>12.2442</v>
      </c>
      <c r="G261" s="22" t="n">
        <f aca="false">D261*E261*F261</f>
        <v>14.0563416</v>
      </c>
    </row>
    <row r="262" customFormat="false" ht="15" hidden="false" customHeight="false" outlineLevel="0" collapsed="false">
      <c r="A262" s="5" t="s">
        <v>507</v>
      </c>
      <c r="B262" s="2" t="s">
        <v>674</v>
      </c>
      <c r="C262" s="5" t="s">
        <v>359</v>
      </c>
      <c r="D262" s="21" t="n">
        <v>0.7</v>
      </c>
      <c r="E262" s="23" t="n">
        <v>1</v>
      </c>
      <c r="F262" s="13" t="n">
        <f aca="false">INDEX(Machine_Rates!$C$5:$C$38,MATCH(C262,Machine_Rates!$A$5:$A$38,0))</f>
        <v>13.1531</v>
      </c>
      <c r="G262" s="22" t="n">
        <f aca="false">D262*E262*F262</f>
        <v>9.20717</v>
      </c>
    </row>
    <row r="263" customFormat="false" ht="15" hidden="false" customHeight="false" outlineLevel="0" collapsed="false">
      <c r="A263" s="5" t="s">
        <v>507</v>
      </c>
      <c r="B263" s="2" t="s">
        <v>674</v>
      </c>
      <c r="C263" s="5" t="s">
        <v>351</v>
      </c>
      <c r="D263" s="21" t="n">
        <v>1.648</v>
      </c>
      <c r="E263" s="23" t="n">
        <v>1</v>
      </c>
      <c r="F263" s="13" t="n">
        <f aca="false">INDEX(Machine_Rates!$C$5:$C$38,MATCH(C263,Machine_Rates!$A$5:$A$38,0))</f>
        <v>12.2442</v>
      </c>
      <c r="G263" s="22" t="n">
        <f aca="false">D263*E263*F263</f>
        <v>20.1784416</v>
      </c>
    </row>
    <row r="264" customFormat="false" ht="15" hidden="false" customHeight="false" outlineLevel="0" collapsed="false">
      <c r="A264" s="5" t="s">
        <v>507</v>
      </c>
      <c r="B264" s="2" t="s">
        <v>674</v>
      </c>
      <c r="C264" s="5" t="s">
        <v>360</v>
      </c>
      <c r="D264" s="21" t="n">
        <v>1.016</v>
      </c>
      <c r="E264" s="23" t="n">
        <v>1</v>
      </c>
      <c r="F264" s="13" t="n">
        <f aca="false">INDEX(Machine_Rates!$C$5:$C$38,MATCH(C264,Machine_Rates!$A$5:$A$38,0))</f>
        <v>12.3201</v>
      </c>
      <c r="G264" s="22" t="n">
        <f aca="false">D264*E264*F264</f>
        <v>12.5172216</v>
      </c>
    </row>
    <row r="265" customFormat="false" ht="15" hidden="false" customHeight="false" outlineLevel="0" collapsed="false">
      <c r="A265" s="5" t="s">
        <v>510</v>
      </c>
      <c r="B265" s="2" t="s">
        <v>675</v>
      </c>
      <c r="C265" s="5" t="s">
        <v>372</v>
      </c>
      <c r="D265" s="21" t="n">
        <v>1.102</v>
      </c>
      <c r="E265" s="23" t="n">
        <v>3</v>
      </c>
      <c r="F265" s="13" t="n">
        <f aca="false">INDEX(Machine_Rates!$C$5:$C$38,MATCH(C265,Machine_Rates!$A$5:$A$38,0))</f>
        <v>0</v>
      </c>
      <c r="G265" s="22" t="n">
        <f aca="false">D265*E265*F265</f>
        <v>0</v>
      </c>
    </row>
    <row r="266" customFormat="false" ht="15" hidden="false" customHeight="false" outlineLevel="0" collapsed="false">
      <c r="A266" s="5" t="s">
        <v>510</v>
      </c>
      <c r="B266" s="2" t="s">
        <v>675</v>
      </c>
      <c r="C266" s="5" t="s">
        <v>368</v>
      </c>
      <c r="D266" s="21" t="n">
        <v>2.058</v>
      </c>
      <c r="E266" s="23" t="n">
        <v>3</v>
      </c>
      <c r="F266" s="13" t="n">
        <f aca="false">INDEX(Machine_Rates!$C$5:$C$38,MATCH(C266,Machine_Rates!$A$5:$A$38,0))</f>
        <v>0</v>
      </c>
      <c r="G266" s="22" t="n">
        <f aca="false">D266*E266*F266</f>
        <v>0</v>
      </c>
    </row>
    <row r="267" customFormat="false" ht="15" hidden="false" customHeight="false" outlineLevel="0" collapsed="false">
      <c r="A267" s="5" t="s">
        <v>510</v>
      </c>
      <c r="B267" s="2" t="s">
        <v>675</v>
      </c>
      <c r="C267" s="5" t="s">
        <v>343</v>
      </c>
      <c r="D267" s="21" t="n">
        <v>0.13</v>
      </c>
      <c r="E267" s="23" t="n">
        <v>3</v>
      </c>
      <c r="F267" s="13" t="n">
        <f aca="false">INDEX(Machine_Rates!$C$5:$C$38,MATCH(C267,Machine_Rates!$A$5:$A$38,0))</f>
        <v>1.716</v>
      </c>
      <c r="G267" s="22" t="n">
        <f aca="false">D267*E267*F267</f>
        <v>0.66924</v>
      </c>
    </row>
    <row r="268" customFormat="false" ht="15" hidden="false" customHeight="false" outlineLevel="0" collapsed="false">
      <c r="A268" s="5" t="s">
        <v>510</v>
      </c>
      <c r="B268" s="2" t="s">
        <v>675</v>
      </c>
      <c r="C268" s="5" t="s">
        <v>364</v>
      </c>
      <c r="D268" s="21" t="n">
        <v>0.044</v>
      </c>
      <c r="E268" s="23" t="n">
        <v>3</v>
      </c>
      <c r="F268" s="13" t="n">
        <f aca="false">INDEX(Machine_Rates!$C$5:$C$38,MATCH(C268,Machine_Rates!$A$5:$A$38,0))</f>
        <v>8.4956</v>
      </c>
      <c r="G268" s="22" t="n">
        <f aca="false">D268*E268*F268</f>
        <v>1.1214192</v>
      </c>
    </row>
    <row r="269" customFormat="false" ht="15" hidden="false" customHeight="false" outlineLevel="0" collapsed="false">
      <c r="A269" s="5" t="s">
        <v>510</v>
      </c>
      <c r="B269" s="2" t="s">
        <v>675</v>
      </c>
      <c r="C269" s="5" t="s">
        <v>341</v>
      </c>
      <c r="D269" s="21" t="n">
        <v>0.661</v>
      </c>
      <c r="E269" s="23" t="n">
        <v>1</v>
      </c>
      <c r="F269" s="13" t="n">
        <f aca="false">INDEX(Machine_Rates!$C$5:$C$38,MATCH(C269,Machine_Rates!$A$5:$A$38,0))</f>
        <v>4.1332</v>
      </c>
      <c r="G269" s="22" t="n">
        <f aca="false">D269*E269*F269</f>
        <v>2.7320452</v>
      </c>
    </row>
    <row r="270" customFormat="false" ht="15" hidden="false" customHeight="false" outlineLevel="0" collapsed="false">
      <c r="A270" s="5" t="s">
        <v>510</v>
      </c>
      <c r="B270" s="2" t="s">
        <v>675</v>
      </c>
      <c r="C270" s="5" t="s">
        <v>365</v>
      </c>
      <c r="D270" s="21" t="n">
        <v>0.579</v>
      </c>
      <c r="E270" s="23" t="n">
        <v>1</v>
      </c>
      <c r="F270" s="13" t="n">
        <f aca="false">INDEX(Machine_Rates!$C$5:$C$38,MATCH(C270,Machine_Rates!$A$5:$A$38,0))</f>
        <v>10.9057</v>
      </c>
      <c r="G270" s="22" t="n">
        <f aca="false">D270*E270*F270</f>
        <v>6.3144003</v>
      </c>
    </row>
    <row r="271" customFormat="false" ht="15" hidden="false" customHeight="false" outlineLevel="0" collapsed="false">
      <c r="A271" s="5" t="s">
        <v>510</v>
      </c>
      <c r="B271" s="2" t="s">
        <v>675</v>
      </c>
      <c r="C271" s="5" t="s">
        <v>337</v>
      </c>
      <c r="D271" s="21" t="n">
        <v>2.315</v>
      </c>
      <c r="E271" s="23" t="n">
        <v>1</v>
      </c>
      <c r="F271" s="13" t="n">
        <f aca="false">INDEX(Machine_Rates!$C$5:$C$38,MATCH(C271,Machine_Rates!$A$5:$A$38,0))</f>
        <v>4.3539</v>
      </c>
      <c r="G271" s="22" t="n">
        <f aca="false">D271*E271*F271</f>
        <v>10.0792785</v>
      </c>
    </row>
    <row r="272" customFormat="false" ht="15" hidden="false" customHeight="false" outlineLevel="0" collapsed="false">
      <c r="A272" s="5" t="s">
        <v>510</v>
      </c>
      <c r="B272" s="2" t="s">
        <v>675</v>
      </c>
      <c r="C272" s="5" t="s">
        <v>359</v>
      </c>
      <c r="D272" s="21" t="n">
        <v>0.772</v>
      </c>
      <c r="E272" s="23" t="n">
        <v>1</v>
      </c>
      <c r="F272" s="13" t="n">
        <f aca="false">INDEX(Machine_Rates!$C$5:$C$38,MATCH(C272,Machine_Rates!$A$5:$A$38,0))</f>
        <v>13.1531</v>
      </c>
      <c r="G272" s="22" t="n">
        <f aca="false">D272*E272*F272</f>
        <v>10.1541932</v>
      </c>
    </row>
    <row r="273" customFormat="false" ht="15" hidden="false" customHeight="false" outlineLevel="0" collapsed="false">
      <c r="A273" s="5" t="s">
        <v>512</v>
      </c>
      <c r="B273" s="2" t="s">
        <v>676</v>
      </c>
      <c r="C273" s="5" t="s">
        <v>372</v>
      </c>
      <c r="D273" s="21" t="n">
        <v>1.102</v>
      </c>
      <c r="E273" s="23" t="n">
        <v>3</v>
      </c>
      <c r="F273" s="13" t="n">
        <f aca="false">INDEX(Machine_Rates!$C$5:$C$38,MATCH(C273,Machine_Rates!$A$5:$A$38,0))</f>
        <v>0</v>
      </c>
      <c r="G273" s="22" t="n">
        <f aca="false">D273*E273*F273</f>
        <v>0</v>
      </c>
    </row>
    <row r="274" customFormat="false" ht="15" hidden="false" customHeight="false" outlineLevel="0" collapsed="false">
      <c r="A274" s="5" t="s">
        <v>512</v>
      </c>
      <c r="B274" s="2" t="s">
        <v>676</v>
      </c>
      <c r="C274" s="5" t="s">
        <v>368</v>
      </c>
      <c r="D274" s="21" t="n">
        <v>2.437</v>
      </c>
      <c r="E274" s="23" t="n">
        <v>3</v>
      </c>
      <c r="F274" s="13" t="n">
        <f aca="false">INDEX(Machine_Rates!$C$5:$C$38,MATCH(C274,Machine_Rates!$A$5:$A$38,0))</f>
        <v>0</v>
      </c>
      <c r="G274" s="22" t="n">
        <f aca="false">D274*E274*F274</f>
        <v>0</v>
      </c>
    </row>
    <row r="275" customFormat="false" ht="15" hidden="false" customHeight="false" outlineLevel="0" collapsed="false">
      <c r="A275" s="5" t="s">
        <v>512</v>
      </c>
      <c r="B275" s="2" t="s">
        <v>676</v>
      </c>
      <c r="C275" s="5" t="s">
        <v>344</v>
      </c>
      <c r="D275" s="21" t="n">
        <v>0.139</v>
      </c>
      <c r="E275" s="23" t="n">
        <v>3</v>
      </c>
      <c r="F275" s="13" t="n">
        <f aca="false">INDEX(Machine_Rates!$C$5:$C$38,MATCH(C275,Machine_Rates!$A$5:$A$38,0))</f>
        <v>1.7156</v>
      </c>
      <c r="G275" s="22" t="n">
        <f aca="false">D275*E275*F275</f>
        <v>0.7154052</v>
      </c>
    </row>
    <row r="276" customFormat="false" ht="15" hidden="false" customHeight="false" outlineLevel="0" collapsed="false">
      <c r="A276" s="5" t="s">
        <v>512</v>
      </c>
      <c r="B276" s="2" t="s">
        <v>676</v>
      </c>
      <c r="C276" s="5" t="s">
        <v>364</v>
      </c>
      <c r="D276" s="21" t="n">
        <v>0.051</v>
      </c>
      <c r="E276" s="23" t="n">
        <v>3</v>
      </c>
      <c r="F276" s="13" t="n">
        <f aca="false">INDEX(Machine_Rates!$C$5:$C$38,MATCH(C276,Machine_Rates!$A$5:$A$38,0))</f>
        <v>8.4956</v>
      </c>
      <c r="G276" s="22" t="n">
        <f aca="false">D276*E276*F276</f>
        <v>1.2998268</v>
      </c>
    </row>
    <row r="277" customFormat="false" ht="15" hidden="false" customHeight="false" outlineLevel="0" collapsed="false">
      <c r="A277" s="5" t="s">
        <v>512</v>
      </c>
      <c r="B277" s="2" t="s">
        <v>676</v>
      </c>
      <c r="C277" s="5" t="s">
        <v>341</v>
      </c>
      <c r="D277" s="21" t="n">
        <v>0.661</v>
      </c>
      <c r="E277" s="23" t="n">
        <v>1</v>
      </c>
      <c r="F277" s="13" t="n">
        <f aca="false">INDEX(Machine_Rates!$C$5:$C$38,MATCH(C277,Machine_Rates!$A$5:$A$38,0))</f>
        <v>4.1332</v>
      </c>
      <c r="G277" s="22" t="n">
        <f aca="false">D277*E277*F277</f>
        <v>2.7320452</v>
      </c>
    </row>
    <row r="278" customFormat="false" ht="15" hidden="false" customHeight="false" outlineLevel="0" collapsed="false">
      <c r="A278" s="5" t="s">
        <v>512</v>
      </c>
      <c r="B278" s="2" t="s">
        <v>676</v>
      </c>
      <c r="C278" s="5" t="s">
        <v>365</v>
      </c>
      <c r="D278" s="21" t="n">
        <v>0.579</v>
      </c>
      <c r="E278" s="23" t="n">
        <v>1</v>
      </c>
      <c r="F278" s="13" t="n">
        <f aca="false">INDEX(Machine_Rates!$C$5:$C$38,MATCH(C278,Machine_Rates!$A$5:$A$38,0))</f>
        <v>10.9057</v>
      </c>
      <c r="G278" s="22" t="n">
        <f aca="false">D278*E278*F278</f>
        <v>6.3144003</v>
      </c>
    </row>
    <row r="279" customFormat="false" ht="15" hidden="false" customHeight="false" outlineLevel="0" collapsed="false">
      <c r="A279" s="5" t="s">
        <v>512</v>
      </c>
      <c r="B279" s="2" t="s">
        <v>676</v>
      </c>
      <c r="C279" s="5" t="s">
        <v>337</v>
      </c>
      <c r="D279" s="21" t="n">
        <v>2.315</v>
      </c>
      <c r="E279" s="23" t="n">
        <v>1</v>
      </c>
      <c r="F279" s="13" t="n">
        <f aca="false">INDEX(Machine_Rates!$C$5:$C$38,MATCH(C279,Machine_Rates!$A$5:$A$38,0))</f>
        <v>4.3539</v>
      </c>
      <c r="G279" s="22" t="n">
        <f aca="false">D279*E279*F279</f>
        <v>10.0792785</v>
      </c>
    </row>
    <row r="280" customFormat="false" ht="15" hidden="false" customHeight="false" outlineLevel="0" collapsed="false">
      <c r="A280" s="5" t="s">
        <v>512</v>
      </c>
      <c r="B280" s="2" t="s">
        <v>676</v>
      </c>
      <c r="C280" s="5" t="s">
        <v>359</v>
      </c>
      <c r="D280" s="21" t="n">
        <v>0.676</v>
      </c>
      <c r="E280" s="23" t="n">
        <v>1</v>
      </c>
      <c r="F280" s="13" t="n">
        <f aca="false">INDEX(Machine_Rates!$C$5:$C$38,MATCH(C280,Machine_Rates!$A$5:$A$38,0))</f>
        <v>13.1531</v>
      </c>
      <c r="G280" s="22" t="n">
        <f aca="false">D280*E280*F280</f>
        <v>8.8914956</v>
      </c>
    </row>
    <row r="281" customFormat="false" ht="15" hidden="false" customHeight="false" outlineLevel="0" collapsed="false">
      <c r="A281" s="5" t="s">
        <v>514</v>
      </c>
      <c r="B281" s="2" t="s">
        <v>677</v>
      </c>
      <c r="C281" s="5" t="s">
        <v>372</v>
      </c>
      <c r="D281" s="21" t="n">
        <v>1.102</v>
      </c>
      <c r="E281" s="23" t="n">
        <v>3.02999997138977</v>
      </c>
      <c r="F281" s="13" t="n">
        <f aca="false">INDEX(Machine_Rates!$C$5:$C$38,MATCH(C281,Machine_Rates!$A$5:$A$38,0))</f>
        <v>0</v>
      </c>
      <c r="G281" s="22" t="n">
        <f aca="false">D281*E281*F281</f>
        <v>0</v>
      </c>
    </row>
    <row r="282" customFormat="false" ht="15" hidden="false" customHeight="false" outlineLevel="0" collapsed="false">
      <c r="A282" s="5" t="s">
        <v>514</v>
      </c>
      <c r="B282" s="2" t="s">
        <v>677</v>
      </c>
      <c r="C282" s="5" t="s">
        <v>368</v>
      </c>
      <c r="D282" s="21" t="n">
        <v>1.157</v>
      </c>
      <c r="E282" s="23" t="n">
        <v>3.02999997138977</v>
      </c>
      <c r="F282" s="13" t="n">
        <f aca="false">INDEX(Machine_Rates!$C$5:$C$38,MATCH(C282,Machine_Rates!$A$5:$A$38,0))</f>
        <v>0</v>
      </c>
      <c r="G282" s="22" t="n">
        <f aca="false">D282*E282*F282</f>
        <v>0</v>
      </c>
    </row>
    <row r="283" customFormat="false" ht="15" hidden="false" customHeight="false" outlineLevel="0" collapsed="false">
      <c r="A283" s="5" t="s">
        <v>514</v>
      </c>
      <c r="B283" s="2" t="s">
        <v>677</v>
      </c>
      <c r="C283" s="5" t="s">
        <v>343</v>
      </c>
      <c r="D283" s="21" t="n">
        <v>0.156</v>
      </c>
      <c r="E283" s="23" t="n">
        <v>3.02999997138977</v>
      </c>
      <c r="F283" s="13" t="n">
        <f aca="false">INDEX(Machine_Rates!$C$5:$C$38,MATCH(C283,Machine_Rates!$A$5:$A$38,0))</f>
        <v>1.716</v>
      </c>
      <c r="G283" s="22" t="n">
        <f aca="false">D283*E283*F283</f>
        <v>0.811118872341156</v>
      </c>
    </row>
    <row r="284" customFormat="false" ht="15" hidden="false" customHeight="false" outlineLevel="0" collapsed="false">
      <c r="A284" s="5" t="s">
        <v>514</v>
      </c>
      <c r="B284" s="2" t="s">
        <v>677</v>
      </c>
      <c r="C284" s="5" t="s">
        <v>380</v>
      </c>
      <c r="D284" s="21" t="n">
        <v>3.157</v>
      </c>
      <c r="E284" s="23" t="n">
        <v>3.02999997138977</v>
      </c>
      <c r="F284" s="13" t="n">
        <f aca="false">INDEX(Machine_Rates!$C$5:$C$38,MATCH(C284,Machine_Rates!$A$5:$A$38,0))</f>
        <v>1.771</v>
      </c>
      <c r="G284" s="22" t="n">
        <f aca="false">D284*E284*F284</f>
        <v>16.9408722500389</v>
      </c>
    </row>
    <row r="285" customFormat="false" ht="15" hidden="false" customHeight="false" outlineLevel="0" collapsed="false">
      <c r="A285" s="5" t="s">
        <v>514</v>
      </c>
      <c r="B285" s="2" t="s">
        <v>677</v>
      </c>
      <c r="C285" s="5" t="s">
        <v>368</v>
      </c>
      <c r="D285" s="21" t="n">
        <v>0.926</v>
      </c>
      <c r="E285" s="23" t="n">
        <v>4.5</v>
      </c>
      <c r="F285" s="13" t="n">
        <f aca="false">INDEX(Machine_Rates!$C$5:$C$38,MATCH(C285,Machine_Rates!$A$5:$A$38,0))</f>
        <v>0</v>
      </c>
      <c r="G285" s="22" t="n">
        <f aca="false">D285*E285*F285</f>
        <v>0</v>
      </c>
    </row>
    <row r="286" customFormat="false" ht="15" hidden="false" customHeight="false" outlineLevel="0" collapsed="false">
      <c r="A286" s="5" t="s">
        <v>514</v>
      </c>
      <c r="B286" s="2" t="s">
        <v>677</v>
      </c>
      <c r="C286" s="5" t="s">
        <v>364</v>
      </c>
      <c r="D286" s="21" t="n">
        <v>0.039</v>
      </c>
      <c r="E286" s="23" t="n">
        <v>3.02999997138977</v>
      </c>
      <c r="F286" s="13" t="n">
        <f aca="false">INDEX(Machine_Rates!$C$5:$C$38,MATCH(C286,Machine_Rates!$A$5:$A$38,0))</f>
        <v>8.4956</v>
      </c>
      <c r="G286" s="22" t="n">
        <f aca="false">D286*E286*F286</f>
        <v>1.00392504252062</v>
      </c>
    </row>
    <row r="287" customFormat="false" ht="15" hidden="false" customHeight="false" outlineLevel="0" collapsed="false">
      <c r="A287" s="5" t="s">
        <v>514</v>
      </c>
      <c r="B287" s="2" t="s">
        <v>677</v>
      </c>
      <c r="C287" s="5" t="s">
        <v>341</v>
      </c>
      <c r="D287" s="21" t="n">
        <v>0.93</v>
      </c>
      <c r="E287" s="23" t="n">
        <v>1</v>
      </c>
      <c r="F287" s="13" t="n">
        <f aca="false">INDEX(Machine_Rates!$C$5:$C$38,MATCH(C287,Machine_Rates!$A$5:$A$38,0))</f>
        <v>4.1332</v>
      </c>
      <c r="G287" s="22" t="n">
        <f aca="false">D287*E287*F287</f>
        <v>3.843876</v>
      </c>
    </row>
    <row r="288" customFormat="false" ht="15" hidden="false" customHeight="false" outlineLevel="0" collapsed="false">
      <c r="A288" s="5" t="s">
        <v>514</v>
      </c>
      <c r="B288" s="2" t="s">
        <v>677</v>
      </c>
      <c r="C288" s="5" t="s">
        <v>365</v>
      </c>
      <c r="D288" s="21" t="n">
        <v>0.726</v>
      </c>
      <c r="E288" s="23" t="n">
        <v>1</v>
      </c>
      <c r="F288" s="13" t="n">
        <f aca="false">INDEX(Machine_Rates!$C$5:$C$38,MATCH(C288,Machine_Rates!$A$5:$A$38,0))</f>
        <v>10.9057</v>
      </c>
      <c r="G288" s="22" t="n">
        <f aca="false">D288*E288*F288</f>
        <v>7.9175382</v>
      </c>
    </row>
    <row r="289" customFormat="false" ht="15" hidden="false" customHeight="false" outlineLevel="0" collapsed="false">
      <c r="A289" s="5" t="s">
        <v>514</v>
      </c>
      <c r="B289" s="2" t="s">
        <v>677</v>
      </c>
      <c r="C289" s="5" t="s">
        <v>337</v>
      </c>
      <c r="D289" s="21" t="n">
        <v>2.315</v>
      </c>
      <c r="E289" s="23" t="n">
        <v>1</v>
      </c>
      <c r="F289" s="13" t="n">
        <f aca="false">INDEX(Machine_Rates!$C$5:$C$38,MATCH(C289,Machine_Rates!$A$5:$A$38,0))</f>
        <v>4.3539</v>
      </c>
      <c r="G289" s="22" t="n">
        <f aca="false">D289*E289*F289</f>
        <v>10.0792785</v>
      </c>
    </row>
    <row r="290" customFormat="false" ht="15" hidden="false" customHeight="false" outlineLevel="0" collapsed="false">
      <c r="A290" s="5" t="s">
        <v>514</v>
      </c>
      <c r="B290" s="2" t="s">
        <v>677</v>
      </c>
      <c r="C290" s="5" t="s">
        <v>360</v>
      </c>
      <c r="D290" s="21" t="n">
        <v>0.846</v>
      </c>
      <c r="E290" s="23" t="n">
        <v>1</v>
      </c>
      <c r="F290" s="13" t="n">
        <f aca="false">INDEX(Machine_Rates!$C$5:$C$38,MATCH(C290,Machine_Rates!$A$5:$A$38,0))</f>
        <v>12.3201</v>
      </c>
      <c r="G290" s="22" t="n">
        <f aca="false">D290*E290*F290</f>
        <v>10.4228046</v>
      </c>
    </row>
    <row r="291" customFormat="false" ht="15" hidden="false" customHeight="false" outlineLevel="0" collapsed="false">
      <c r="A291" s="5" t="s">
        <v>516</v>
      </c>
      <c r="B291" s="2" t="s">
        <v>678</v>
      </c>
      <c r="C291" s="5" t="s">
        <v>370</v>
      </c>
      <c r="D291" s="21" t="n">
        <v>2.179</v>
      </c>
      <c r="E291" s="23" t="n">
        <v>3</v>
      </c>
      <c r="F291" s="13" t="n">
        <f aca="false">INDEX(Machine_Rates!$C$5:$C$38,MATCH(C291,Machine_Rates!$A$5:$A$38,0))</f>
        <v>0</v>
      </c>
      <c r="G291" s="22" t="n">
        <f aca="false">D291*E291*F291</f>
        <v>0</v>
      </c>
    </row>
    <row r="292" customFormat="false" ht="15" hidden="false" customHeight="false" outlineLevel="0" collapsed="false">
      <c r="A292" s="5" t="s">
        <v>516</v>
      </c>
      <c r="B292" s="2" t="s">
        <v>678</v>
      </c>
      <c r="C292" s="5" t="s">
        <v>375</v>
      </c>
      <c r="D292" s="21" t="n">
        <v>0.735</v>
      </c>
      <c r="E292" s="23" t="n">
        <v>3</v>
      </c>
      <c r="F292" s="13" t="n">
        <f aca="false">INDEX(Machine_Rates!$C$5:$C$38,MATCH(C292,Machine_Rates!$A$5:$A$38,0))</f>
        <v>15.0115</v>
      </c>
      <c r="G292" s="22" t="n">
        <f aca="false">D292*E292*F292</f>
        <v>33.1003575</v>
      </c>
    </row>
    <row r="293" customFormat="false" ht="15" hidden="false" customHeight="false" outlineLevel="0" collapsed="false">
      <c r="A293" s="5" t="s">
        <v>516</v>
      </c>
      <c r="B293" s="2" t="s">
        <v>678</v>
      </c>
      <c r="C293" s="5" t="s">
        <v>367</v>
      </c>
      <c r="D293" s="21" t="n">
        <v>1.424</v>
      </c>
      <c r="E293" s="23" t="n">
        <v>3</v>
      </c>
      <c r="F293" s="13" t="n">
        <f aca="false">INDEX(Machine_Rates!$C$5:$C$38,MATCH(C293,Machine_Rates!$A$5:$A$38,0))</f>
        <v>37.1611</v>
      </c>
      <c r="G293" s="22" t="n">
        <f aca="false">D293*E293*F293</f>
        <v>158.7522192</v>
      </c>
    </row>
    <row r="294" customFormat="false" ht="15" hidden="false" customHeight="false" outlineLevel="0" collapsed="false">
      <c r="A294" s="5" t="s">
        <v>516</v>
      </c>
      <c r="B294" s="2" t="s">
        <v>678</v>
      </c>
      <c r="C294" s="5" t="s">
        <v>377</v>
      </c>
      <c r="D294" s="21" t="n">
        <v>1.556</v>
      </c>
      <c r="E294" s="23" t="n">
        <v>3</v>
      </c>
      <c r="F294" s="13" t="n">
        <f aca="false">INDEX(Machine_Rates!$C$5:$C$38,MATCH(C294,Machine_Rates!$A$5:$A$38,0))</f>
        <v>5.3171</v>
      </c>
      <c r="G294" s="22" t="n">
        <f aca="false">D294*E294*F294</f>
        <v>24.8202228</v>
      </c>
    </row>
    <row r="295" customFormat="false" ht="15" hidden="false" customHeight="false" outlineLevel="0" collapsed="false">
      <c r="A295" s="5" t="s">
        <v>516</v>
      </c>
      <c r="B295" s="2" t="s">
        <v>678</v>
      </c>
      <c r="C295" s="5" t="s">
        <v>355</v>
      </c>
      <c r="D295" s="21" t="n">
        <v>2.155</v>
      </c>
      <c r="E295" s="23" t="n">
        <v>1</v>
      </c>
      <c r="F295" s="13" t="n">
        <f aca="false">INDEX(Machine_Rates!$C$5:$C$38,MATCH(C295,Machine_Rates!$A$5:$A$38,0))</f>
        <v>16.82</v>
      </c>
      <c r="G295" s="22" t="n">
        <f aca="false">D295*E295*F295</f>
        <v>36.2471</v>
      </c>
    </row>
    <row r="296" customFormat="false" ht="15" hidden="false" customHeight="false" outlineLevel="0" collapsed="false">
      <c r="A296" s="5" t="s">
        <v>516</v>
      </c>
      <c r="B296" s="2" t="s">
        <v>678</v>
      </c>
      <c r="C296" s="5" t="s">
        <v>362</v>
      </c>
      <c r="D296" s="21" t="n">
        <v>1.587</v>
      </c>
      <c r="E296" s="23" t="n">
        <v>1</v>
      </c>
      <c r="F296" s="13" t="n">
        <f aca="false">INDEX(Machine_Rates!$C$5:$C$38,MATCH(C296,Machine_Rates!$A$5:$A$38,0))</f>
        <v>18.797</v>
      </c>
      <c r="G296" s="22" t="n">
        <f aca="false">D296*E296*F296</f>
        <v>29.830839</v>
      </c>
    </row>
    <row r="297" customFormat="false" ht="15" hidden="false" customHeight="false" outlineLevel="0" collapsed="false">
      <c r="A297" s="5" t="s">
        <v>516</v>
      </c>
      <c r="B297" s="2" t="s">
        <v>678</v>
      </c>
      <c r="C297" s="5" t="s">
        <v>355</v>
      </c>
      <c r="D297" s="21" t="n">
        <v>1.701</v>
      </c>
      <c r="E297" s="23" t="n">
        <v>1</v>
      </c>
      <c r="F297" s="13" t="n">
        <f aca="false">INDEX(Machine_Rates!$C$5:$C$38,MATCH(C297,Machine_Rates!$A$5:$A$38,0))</f>
        <v>16.82</v>
      </c>
      <c r="G297" s="22" t="n">
        <f aca="false">D297*E297*F297</f>
        <v>28.61082</v>
      </c>
    </row>
    <row r="298" customFormat="false" ht="15" hidden="false" customHeight="false" outlineLevel="0" collapsed="false">
      <c r="A298" s="5" t="s">
        <v>516</v>
      </c>
      <c r="B298" s="2" t="s">
        <v>678</v>
      </c>
      <c r="C298" s="5" t="s">
        <v>362</v>
      </c>
      <c r="D298" s="21" t="n">
        <v>2.289</v>
      </c>
      <c r="E298" s="23" t="n">
        <v>1</v>
      </c>
      <c r="F298" s="13" t="n">
        <f aca="false">INDEX(Machine_Rates!$C$5:$C$38,MATCH(C298,Machine_Rates!$A$5:$A$38,0))</f>
        <v>18.797</v>
      </c>
      <c r="G298" s="22" t="n">
        <f aca="false">D298*E298*F298</f>
        <v>43.026333</v>
      </c>
    </row>
    <row r="299" customFormat="false" ht="15" hidden="false" customHeight="false" outlineLevel="0" collapsed="false">
      <c r="A299" s="5" t="s">
        <v>518</v>
      </c>
      <c r="B299" s="2" t="s">
        <v>679</v>
      </c>
      <c r="C299" s="5" t="s">
        <v>370</v>
      </c>
      <c r="D299" s="21" t="n">
        <v>2.179</v>
      </c>
      <c r="E299" s="23" t="n">
        <v>3</v>
      </c>
      <c r="F299" s="13" t="n">
        <f aca="false">INDEX(Machine_Rates!$C$5:$C$38,MATCH(C299,Machine_Rates!$A$5:$A$38,0))</f>
        <v>0</v>
      </c>
      <c r="G299" s="22" t="n">
        <f aca="false">D299*E299*F299</f>
        <v>0</v>
      </c>
    </row>
    <row r="300" customFormat="false" ht="15" hidden="false" customHeight="false" outlineLevel="0" collapsed="false">
      <c r="A300" s="5" t="s">
        <v>518</v>
      </c>
      <c r="B300" s="2" t="s">
        <v>679</v>
      </c>
      <c r="C300" s="5" t="s">
        <v>375</v>
      </c>
      <c r="D300" s="21" t="n">
        <v>0.735</v>
      </c>
      <c r="E300" s="23" t="n">
        <v>3</v>
      </c>
      <c r="F300" s="13" t="n">
        <f aca="false">INDEX(Machine_Rates!$C$5:$C$38,MATCH(C300,Machine_Rates!$A$5:$A$38,0))</f>
        <v>15.0115</v>
      </c>
      <c r="G300" s="22" t="n">
        <f aca="false">D300*E300*F300</f>
        <v>33.1003575</v>
      </c>
    </row>
    <row r="301" customFormat="false" ht="15" hidden="false" customHeight="false" outlineLevel="0" collapsed="false">
      <c r="A301" s="5" t="s">
        <v>518</v>
      </c>
      <c r="B301" s="2" t="s">
        <v>679</v>
      </c>
      <c r="C301" s="5" t="s">
        <v>367</v>
      </c>
      <c r="D301" s="21" t="n">
        <v>2.341</v>
      </c>
      <c r="E301" s="23" t="n">
        <v>3</v>
      </c>
      <c r="F301" s="13" t="n">
        <f aca="false">INDEX(Machine_Rates!$C$5:$C$38,MATCH(C301,Machine_Rates!$A$5:$A$38,0))</f>
        <v>37.1611</v>
      </c>
      <c r="G301" s="22" t="n">
        <f aca="false">D301*E301*F301</f>
        <v>260.9824053</v>
      </c>
    </row>
    <row r="302" customFormat="false" ht="15" hidden="false" customHeight="false" outlineLevel="0" collapsed="false">
      <c r="A302" s="5" t="s">
        <v>518</v>
      </c>
      <c r="B302" s="2" t="s">
        <v>679</v>
      </c>
      <c r="C302" s="5" t="s">
        <v>377</v>
      </c>
      <c r="D302" s="21" t="n">
        <v>2.315</v>
      </c>
      <c r="E302" s="23" t="n">
        <v>3</v>
      </c>
      <c r="F302" s="13" t="n">
        <f aca="false">INDEX(Machine_Rates!$C$5:$C$38,MATCH(C302,Machine_Rates!$A$5:$A$38,0))</f>
        <v>5.3171</v>
      </c>
      <c r="G302" s="22" t="n">
        <f aca="false">D302*E302*F302</f>
        <v>36.9272595</v>
      </c>
    </row>
    <row r="303" customFormat="false" ht="15" hidden="false" customHeight="false" outlineLevel="0" collapsed="false">
      <c r="A303" s="5" t="s">
        <v>518</v>
      </c>
      <c r="B303" s="2" t="s">
        <v>679</v>
      </c>
      <c r="C303" s="5" t="s">
        <v>355</v>
      </c>
      <c r="D303" s="21" t="n">
        <v>3.287</v>
      </c>
      <c r="E303" s="23" t="n">
        <v>1</v>
      </c>
      <c r="F303" s="13" t="n">
        <f aca="false">INDEX(Machine_Rates!$C$5:$C$38,MATCH(C303,Machine_Rates!$A$5:$A$38,0))</f>
        <v>16.82</v>
      </c>
      <c r="G303" s="22" t="n">
        <f aca="false">D303*E303*F303</f>
        <v>55.28734</v>
      </c>
    </row>
    <row r="304" customFormat="false" ht="15" hidden="false" customHeight="false" outlineLevel="0" collapsed="false">
      <c r="A304" s="5" t="s">
        <v>518</v>
      </c>
      <c r="B304" s="2" t="s">
        <v>679</v>
      </c>
      <c r="C304" s="5" t="s">
        <v>362</v>
      </c>
      <c r="D304" s="21" t="n">
        <v>2.137</v>
      </c>
      <c r="E304" s="23" t="n">
        <v>1</v>
      </c>
      <c r="F304" s="13" t="n">
        <f aca="false">INDEX(Machine_Rates!$C$5:$C$38,MATCH(C304,Machine_Rates!$A$5:$A$38,0))</f>
        <v>18.797</v>
      </c>
      <c r="G304" s="22" t="n">
        <f aca="false">D304*E304*F304</f>
        <v>40.169189</v>
      </c>
    </row>
    <row r="305" customFormat="false" ht="15" hidden="false" customHeight="false" outlineLevel="0" collapsed="false">
      <c r="A305" s="5" t="s">
        <v>518</v>
      </c>
      <c r="B305" s="2" t="s">
        <v>679</v>
      </c>
      <c r="C305" s="5" t="s">
        <v>355</v>
      </c>
      <c r="D305" s="21" t="n">
        <v>2.818</v>
      </c>
      <c r="E305" s="23" t="n">
        <v>1</v>
      </c>
      <c r="F305" s="13" t="n">
        <f aca="false">INDEX(Machine_Rates!$C$5:$C$38,MATCH(C305,Machine_Rates!$A$5:$A$38,0))</f>
        <v>16.82</v>
      </c>
      <c r="G305" s="22" t="n">
        <f aca="false">D305*E305*F305</f>
        <v>47.39876</v>
      </c>
    </row>
    <row r="306" customFormat="false" ht="15" hidden="false" customHeight="false" outlineLevel="0" collapsed="false">
      <c r="A306" s="5" t="s">
        <v>518</v>
      </c>
      <c r="B306" s="2" t="s">
        <v>679</v>
      </c>
      <c r="C306" s="5" t="s">
        <v>362</v>
      </c>
      <c r="D306" s="21" t="n">
        <v>3.053</v>
      </c>
      <c r="E306" s="23" t="n">
        <v>1</v>
      </c>
      <c r="F306" s="13" t="n">
        <f aca="false">INDEX(Machine_Rates!$C$5:$C$38,MATCH(C306,Machine_Rates!$A$5:$A$38,0))</f>
        <v>18.797</v>
      </c>
      <c r="G306" s="22" t="n">
        <f aca="false">D306*E306*F306</f>
        <v>57.387241</v>
      </c>
    </row>
    <row r="307" customFormat="false" ht="15" hidden="false" customHeight="false" outlineLevel="0" collapsed="false">
      <c r="A307" s="5" t="s">
        <v>520</v>
      </c>
      <c r="B307" s="2" t="s">
        <v>680</v>
      </c>
      <c r="C307" s="5" t="s">
        <v>370</v>
      </c>
      <c r="D307" s="21" t="n">
        <v>1.225</v>
      </c>
      <c r="E307" s="23" t="n">
        <v>3</v>
      </c>
      <c r="F307" s="13" t="n">
        <f aca="false">INDEX(Machine_Rates!$C$5:$C$38,MATCH(C307,Machine_Rates!$A$5:$A$38,0))</f>
        <v>0</v>
      </c>
      <c r="G307" s="22" t="n">
        <f aca="false">D307*E307*F307</f>
        <v>0</v>
      </c>
    </row>
    <row r="308" customFormat="false" ht="15" hidden="false" customHeight="false" outlineLevel="0" collapsed="false">
      <c r="A308" s="5" t="s">
        <v>520</v>
      </c>
      <c r="B308" s="2" t="s">
        <v>680</v>
      </c>
      <c r="C308" s="5" t="s">
        <v>375</v>
      </c>
      <c r="D308" s="21" t="n">
        <v>0.7</v>
      </c>
      <c r="E308" s="23" t="n">
        <v>3</v>
      </c>
      <c r="F308" s="13" t="n">
        <f aca="false">INDEX(Machine_Rates!$C$5:$C$38,MATCH(C308,Machine_Rates!$A$5:$A$38,0))</f>
        <v>15.0115</v>
      </c>
      <c r="G308" s="22" t="n">
        <f aca="false">D308*E308*F308</f>
        <v>31.52415</v>
      </c>
    </row>
    <row r="309" customFormat="false" ht="15" hidden="false" customHeight="false" outlineLevel="0" collapsed="false">
      <c r="A309" s="5" t="s">
        <v>520</v>
      </c>
      <c r="B309" s="2" t="s">
        <v>680</v>
      </c>
      <c r="C309" s="5" t="s">
        <v>367</v>
      </c>
      <c r="D309" s="21" t="n">
        <v>1.547</v>
      </c>
      <c r="E309" s="23" t="n">
        <v>3</v>
      </c>
      <c r="F309" s="13" t="n">
        <f aca="false">INDEX(Machine_Rates!$C$5:$C$38,MATCH(C309,Machine_Rates!$A$5:$A$38,0))</f>
        <v>37.1611</v>
      </c>
      <c r="G309" s="22" t="n">
        <f aca="false">D309*E309*F309</f>
        <v>172.4646651</v>
      </c>
    </row>
    <row r="310" customFormat="false" ht="15" hidden="false" customHeight="false" outlineLevel="0" collapsed="false">
      <c r="A310" s="5" t="s">
        <v>520</v>
      </c>
      <c r="B310" s="2" t="s">
        <v>680</v>
      </c>
      <c r="C310" s="5" t="s">
        <v>377</v>
      </c>
      <c r="D310" s="21" t="n">
        <v>1.613</v>
      </c>
      <c r="E310" s="23" t="n">
        <v>3</v>
      </c>
      <c r="F310" s="13" t="n">
        <f aca="false">INDEX(Machine_Rates!$C$5:$C$38,MATCH(C310,Machine_Rates!$A$5:$A$38,0))</f>
        <v>5.3171</v>
      </c>
      <c r="G310" s="22" t="n">
        <f aca="false">D310*E310*F310</f>
        <v>25.7294469</v>
      </c>
    </row>
    <row r="311" customFormat="false" ht="15" hidden="false" customHeight="false" outlineLevel="0" collapsed="false">
      <c r="A311" s="5" t="s">
        <v>520</v>
      </c>
      <c r="B311" s="2" t="s">
        <v>680</v>
      </c>
      <c r="C311" s="5" t="s">
        <v>355</v>
      </c>
      <c r="D311" s="21" t="n">
        <v>2.155</v>
      </c>
      <c r="E311" s="23" t="n">
        <v>1</v>
      </c>
      <c r="F311" s="13" t="n">
        <f aca="false">INDEX(Machine_Rates!$C$5:$C$38,MATCH(C311,Machine_Rates!$A$5:$A$38,0))</f>
        <v>16.82</v>
      </c>
      <c r="G311" s="22" t="n">
        <f aca="false">D311*E311*F311</f>
        <v>36.2471</v>
      </c>
    </row>
    <row r="312" customFormat="false" ht="15" hidden="false" customHeight="false" outlineLevel="0" collapsed="false">
      <c r="A312" s="5" t="s">
        <v>520</v>
      </c>
      <c r="B312" s="2" t="s">
        <v>680</v>
      </c>
      <c r="C312" s="5" t="s">
        <v>362</v>
      </c>
      <c r="D312" s="21" t="n">
        <v>1.764</v>
      </c>
      <c r="E312" s="23" t="n">
        <v>1</v>
      </c>
      <c r="F312" s="13" t="n">
        <f aca="false">INDEX(Machine_Rates!$C$5:$C$38,MATCH(C312,Machine_Rates!$A$5:$A$38,0))</f>
        <v>18.797</v>
      </c>
      <c r="G312" s="22" t="n">
        <f aca="false">D312*E312*F312</f>
        <v>33.157908</v>
      </c>
    </row>
    <row r="313" customFormat="false" ht="15" hidden="false" customHeight="false" outlineLevel="0" collapsed="false">
      <c r="A313" s="5" t="s">
        <v>520</v>
      </c>
      <c r="B313" s="2" t="s">
        <v>680</v>
      </c>
      <c r="C313" s="5" t="s">
        <v>355</v>
      </c>
      <c r="D313" s="21" t="n">
        <v>1.701</v>
      </c>
      <c r="E313" s="23" t="n">
        <v>1</v>
      </c>
      <c r="F313" s="13" t="n">
        <f aca="false">INDEX(Machine_Rates!$C$5:$C$38,MATCH(C313,Machine_Rates!$A$5:$A$38,0))</f>
        <v>16.82</v>
      </c>
      <c r="G313" s="22" t="n">
        <f aca="false">D313*E313*F313</f>
        <v>28.61082</v>
      </c>
    </row>
    <row r="314" customFormat="false" ht="15" hidden="false" customHeight="false" outlineLevel="0" collapsed="false">
      <c r="A314" s="5" t="s">
        <v>520</v>
      </c>
      <c r="B314" s="2" t="s">
        <v>680</v>
      </c>
      <c r="C314" s="5" t="s">
        <v>362</v>
      </c>
      <c r="D314" s="21" t="n">
        <v>2.616</v>
      </c>
      <c r="E314" s="23" t="n">
        <v>1</v>
      </c>
      <c r="F314" s="13" t="n">
        <f aca="false">INDEX(Machine_Rates!$C$5:$C$38,MATCH(C314,Machine_Rates!$A$5:$A$38,0))</f>
        <v>18.797</v>
      </c>
      <c r="G314" s="22" t="n">
        <f aca="false">D314*E314*F314</f>
        <v>49.172952</v>
      </c>
    </row>
    <row r="315" customFormat="false" ht="15" hidden="false" customHeight="false" outlineLevel="0" collapsed="false">
      <c r="A315" s="5" t="s">
        <v>522</v>
      </c>
      <c r="B315" s="2" t="s">
        <v>681</v>
      </c>
      <c r="C315" s="5" t="s">
        <v>370</v>
      </c>
      <c r="D315" s="21" t="n">
        <v>2.572</v>
      </c>
      <c r="E315" s="23" t="n">
        <v>3</v>
      </c>
      <c r="F315" s="13" t="n">
        <f aca="false">INDEX(Machine_Rates!$C$5:$C$38,MATCH(C315,Machine_Rates!$A$5:$A$38,0))</f>
        <v>0</v>
      </c>
      <c r="G315" s="22" t="n">
        <f aca="false">D315*E315*F315</f>
        <v>0</v>
      </c>
    </row>
    <row r="316" customFormat="false" ht="15" hidden="false" customHeight="false" outlineLevel="0" collapsed="false">
      <c r="A316" s="5" t="s">
        <v>522</v>
      </c>
      <c r="B316" s="2" t="s">
        <v>681</v>
      </c>
      <c r="C316" s="5" t="s">
        <v>375</v>
      </c>
      <c r="D316" s="21" t="n">
        <v>0.7</v>
      </c>
      <c r="E316" s="23" t="n">
        <v>3</v>
      </c>
      <c r="F316" s="13" t="n">
        <f aca="false">INDEX(Machine_Rates!$C$5:$C$38,MATCH(C316,Machine_Rates!$A$5:$A$38,0))</f>
        <v>15.0115</v>
      </c>
      <c r="G316" s="22" t="n">
        <f aca="false">D316*E316*F316</f>
        <v>31.52415</v>
      </c>
    </row>
    <row r="317" customFormat="false" ht="15" hidden="false" customHeight="false" outlineLevel="0" collapsed="false">
      <c r="A317" s="5" t="s">
        <v>522</v>
      </c>
      <c r="B317" s="2" t="s">
        <v>681</v>
      </c>
      <c r="C317" s="5" t="s">
        <v>367</v>
      </c>
      <c r="D317" s="21" t="n">
        <v>2.748</v>
      </c>
      <c r="E317" s="23" t="n">
        <v>3</v>
      </c>
      <c r="F317" s="13" t="n">
        <f aca="false">INDEX(Machine_Rates!$C$5:$C$38,MATCH(C317,Machine_Rates!$A$5:$A$38,0))</f>
        <v>37.1611</v>
      </c>
      <c r="G317" s="22" t="n">
        <f aca="false">D317*E317*F317</f>
        <v>306.3561084</v>
      </c>
    </row>
    <row r="318" customFormat="false" ht="15" hidden="false" customHeight="false" outlineLevel="0" collapsed="false">
      <c r="A318" s="5" t="s">
        <v>522</v>
      </c>
      <c r="B318" s="2" t="s">
        <v>681</v>
      </c>
      <c r="C318" s="5" t="s">
        <v>377</v>
      </c>
      <c r="D318" s="21" t="n">
        <v>2.315</v>
      </c>
      <c r="E318" s="23" t="n">
        <v>3</v>
      </c>
      <c r="F318" s="13" t="n">
        <f aca="false">INDEX(Machine_Rates!$C$5:$C$38,MATCH(C318,Machine_Rates!$A$5:$A$38,0))</f>
        <v>5.3171</v>
      </c>
      <c r="G318" s="22" t="n">
        <f aca="false">D318*E318*F318</f>
        <v>36.9272595</v>
      </c>
    </row>
    <row r="319" customFormat="false" ht="15" hidden="false" customHeight="false" outlineLevel="0" collapsed="false">
      <c r="A319" s="5" t="s">
        <v>522</v>
      </c>
      <c r="B319" s="2" t="s">
        <v>681</v>
      </c>
      <c r="C319" s="5" t="s">
        <v>355</v>
      </c>
      <c r="D319" s="21" t="n">
        <v>3.287</v>
      </c>
      <c r="E319" s="23" t="n">
        <v>1</v>
      </c>
      <c r="F319" s="13" t="n">
        <f aca="false">INDEX(Machine_Rates!$C$5:$C$38,MATCH(C319,Machine_Rates!$A$5:$A$38,0))</f>
        <v>16.82</v>
      </c>
      <c r="G319" s="22" t="n">
        <f aca="false">D319*E319*F319</f>
        <v>55.28734</v>
      </c>
    </row>
    <row r="320" customFormat="false" ht="15" hidden="false" customHeight="false" outlineLevel="0" collapsed="false">
      <c r="A320" s="5" t="s">
        <v>522</v>
      </c>
      <c r="B320" s="2" t="s">
        <v>681</v>
      </c>
      <c r="C320" s="5" t="s">
        <v>362</v>
      </c>
      <c r="D320" s="21" t="n">
        <v>2.442</v>
      </c>
      <c r="E320" s="23" t="n">
        <v>1</v>
      </c>
      <c r="F320" s="13" t="n">
        <f aca="false">INDEX(Machine_Rates!$C$5:$C$38,MATCH(C320,Machine_Rates!$A$5:$A$38,0))</f>
        <v>18.797</v>
      </c>
      <c r="G320" s="22" t="n">
        <f aca="false">D320*E320*F320</f>
        <v>45.902274</v>
      </c>
    </row>
    <row r="321" customFormat="false" ht="15" hidden="false" customHeight="false" outlineLevel="0" collapsed="false">
      <c r="A321" s="5" t="s">
        <v>522</v>
      </c>
      <c r="B321" s="2" t="s">
        <v>681</v>
      </c>
      <c r="C321" s="5" t="s">
        <v>355</v>
      </c>
      <c r="D321" s="21" t="n">
        <v>2.818</v>
      </c>
      <c r="E321" s="23" t="n">
        <v>1</v>
      </c>
      <c r="F321" s="13" t="n">
        <f aca="false">INDEX(Machine_Rates!$C$5:$C$38,MATCH(C321,Machine_Rates!$A$5:$A$38,0))</f>
        <v>16.82</v>
      </c>
      <c r="G321" s="22" t="n">
        <f aca="false">D321*E321*F321</f>
        <v>47.39876</v>
      </c>
    </row>
    <row r="322" customFormat="false" ht="15" hidden="false" customHeight="false" outlineLevel="0" collapsed="false">
      <c r="A322" s="5" t="s">
        <v>522</v>
      </c>
      <c r="B322" s="2" t="s">
        <v>681</v>
      </c>
      <c r="C322" s="5" t="s">
        <v>362</v>
      </c>
      <c r="D322" s="21" t="n">
        <v>3.307</v>
      </c>
      <c r="E322" s="23" t="n">
        <v>1</v>
      </c>
      <c r="F322" s="13" t="n">
        <f aca="false">INDEX(Machine_Rates!$C$5:$C$38,MATCH(C322,Machine_Rates!$A$5:$A$38,0))</f>
        <v>18.797</v>
      </c>
      <c r="G322" s="22" t="n">
        <f aca="false">D322*E322*F322</f>
        <v>62.161679</v>
      </c>
    </row>
    <row r="323" customFormat="false" ht="15" hidden="false" customHeight="false" outlineLevel="0" collapsed="false">
      <c r="A323" s="5" t="s">
        <v>524</v>
      </c>
      <c r="B323" s="2" t="s">
        <v>682</v>
      </c>
      <c r="C323" s="5" t="s">
        <v>370</v>
      </c>
      <c r="D323" s="21" t="n">
        <v>1.21</v>
      </c>
      <c r="E323" s="23" t="n">
        <v>3</v>
      </c>
      <c r="F323" s="13" t="n">
        <f aca="false">INDEX(Machine_Rates!$C$5:$C$38,MATCH(C323,Machine_Rates!$A$5:$A$38,0))</f>
        <v>0</v>
      </c>
      <c r="G323" s="22" t="n">
        <f aca="false">D323*E323*F323</f>
        <v>0</v>
      </c>
    </row>
    <row r="324" customFormat="false" ht="15" hidden="false" customHeight="false" outlineLevel="0" collapsed="false">
      <c r="A324" s="5" t="s">
        <v>524</v>
      </c>
      <c r="B324" s="2" t="s">
        <v>682</v>
      </c>
      <c r="C324" s="5" t="s">
        <v>375</v>
      </c>
      <c r="D324" s="21" t="n">
        <v>0.809</v>
      </c>
      <c r="E324" s="23" t="n">
        <v>3</v>
      </c>
      <c r="F324" s="13" t="n">
        <f aca="false">INDEX(Machine_Rates!$C$5:$C$38,MATCH(C324,Machine_Rates!$A$5:$A$38,0))</f>
        <v>15.0115</v>
      </c>
      <c r="G324" s="22" t="n">
        <f aca="false">D324*E324*F324</f>
        <v>36.4329105</v>
      </c>
    </row>
    <row r="325" customFormat="false" ht="15" hidden="false" customHeight="false" outlineLevel="0" collapsed="false">
      <c r="A325" s="5" t="s">
        <v>524</v>
      </c>
      <c r="B325" s="2" t="s">
        <v>682</v>
      </c>
      <c r="C325" s="5" t="s">
        <v>367</v>
      </c>
      <c r="D325" s="21" t="n">
        <v>1.707</v>
      </c>
      <c r="E325" s="23" t="n">
        <v>3</v>
      </c>
      <c r="F325" s="13" t="n">
        <f aca="false">INDEX(Machine_Rates!$C$5:$C$38,MATCH(C325,Machine_Rates!$A$5:$A$38,0))</f>
        <v>37.1611</v>
      </c>
      <c r="G325" s="22" t="n">
        <f aca="false">D325*E325*F325</f>
        <v>190.3019931</v>
      </c>
    </row>
    <row r="326" customFormat="false" ht="15" hidden="false" customHeight="false" outlineLevel="0" collapsed="false">
      <c r="A326" s="5" t="s">
        <v>524</v>
      </c>
      <c r="B326" s="2" t="s">
        <v>682</v>
      </c>
      <c r="C326" s="5" t="s">
        <v>377</v>
      </c>
      <c r="D326" s="21" t="n">
        <v>1.613</v>
      </c>
      <c r="E326" s="23" t="n">
        <v>3</v>
      </c>
      <c r="F326" s="13" t="n">
        <f aca="false">INDEX(Machine_Rates!$C$5:$C$38,MATCH(C326,Machine_Rates!$A$5:$A$38,0))</f>
        <v>5.3171</v>
      </c>
      <c r="G326" s="22" t="n">
        <f aca="false">D326*E326*F326</f>
        <v>25.7294469</v>
      </c>
    </row>
    <row r="327" customFormat="false" ht="15" hidden="false" customHeight="false" outlineLevel="0" collapsed="false">
      <c r="A327" s="5" t="s">
        <v>524</v>
      </c>
      <c r="B327" s="2" t="s">
        <v>682</v>
      </c>
      <c r="C327" s="5" t="s">
        <v>355</v>
      </c>
      <c r="D327" s="21" t="n">
        <v>2.334</v>
      </c>
      <c r="E327" s="23" t="n">
        <v>1</v>
      </c>
      <c r="F327" s="13" t="n">
        <f aca="false">INDEX(Machine_Rates!$C$5:$C$38,MATCH(C327,Machine_Rates!$A$5:$A$38,0))</f>
        <v>16.82</v>
      </c>
      <c r="G327" s="22" t="n">
        <f aca="false">D327*E327*F327</f>
        <v>39.25788</v>
      </c>
    </row>
    <row r="328" customFormat="false" ht="15" hidden="false" customHeight="false" outlineLevel="0" collapsed="false">
      <c r="A328" s="5" t="s">
        <v>524</v>
      </c>
      <c r="B328" s="2" t="s">
        <v>682</v>
      </c>
      <c r="C328" s="5" t="s">
        <v>362</v>
      </c>
      <c r="D328" s="21" t="n">
        <v>1.984</v>
      </c>
      <c r="E328" s="23" t="n">
        <v>1</v>
      </c>
      <c r="F328" s="13" t="n">
        <f aca="false">INDEX(Machine_Rates!$C$5:$C$38,MATCH(C328,Machine_Rates!$A$5:$A$38,0))</f>
        <v>18.797</v>
      </c>
      <c r="G328" s="22" t="n">
        <f aca="false">D328*E328*F328</f>
        <v>37.293248</v>
      </c>
    </row>
    <row r="329" customFormat="false" ht="15" hidden="false" customHeight="false" outlineLevel="0" collapsed="false">
      <c r="A329" s="5" t="s">
        <v>524</v>
      </c>
      <c r="B329" s="2" t="s">
        <v>682</v>
      </c>
      <c r="C329" s="5" t="s">
        <v>355</v>
      </c>
      <c r="D329" s="21" t="n">
        <v>2.63</v>
      </c>
      <c r="E329" s="23" t="n">
        <v>1</v>
      </c>
      <c r="F329" s="13" t="n">
        <f aca="false">INDEX(Machine_Rates!$C$5:$C$38,MATCH(C329,Machine_Rates!$A$5:$A$38,0))</f>
        <v>16.82</v>
      </c>
      <c r="G329" s="22" t="n">
        <f aca="false">D329*E329*F329</f>
        <v>44.2366</v>
      </c>
    </row>
    <row r="330" customFormat="false" ht="15" hidden="false" customHeight="false" outlineLevel="0" collapsed="false">
      <c r="A330" s="5" t="s">
        <v>524</v>
      </c>
      <c r="B330" s="2" t="s">
        <v>682</v>
      </c>
      <c r="C330" s="5" t="s">
        <v>362</v>
      </c>
      <c r="D330" s="21" t="n">
        <v>2.818</v>
      </c>
      <c r="E330" s="23" t="n">
        <v>1</v>
      </c>
      <c r="F330" s="13" t="n">
        <f aca="false">INDEX(Machine_Rates!$C$5:$C$38,MATCH(C330,Machine_Rates!$A$5:$A$38,0))</f>
        <v>18.797</v>
      </c>
      <c r="G330" s="22" t="n">
        <f aca="false">D330*E330*F330</f>
        <v>52.969946</v>
      </c>
    </row>
    <row r="331" customFormat="false" ht="15" hidden="false" customHeight="false" outlineLevel="0" collapsed="false">
      <c r="A331" s="5" t="s">
        <v>526</v>
      </c>
      <c r="B331" s="2" t="s">
        <v>683</v>
      </c>
      <c r="C331" s="5" t="s">
        <v>370</v>
      </c>
      <c r="D331" s="21" t="n">
        <v>1.21</v>
      </c>
      <c r="E331" s="23" t="n">
        <v>3</v>
      </c>
      <c r="F331" s="13" t="n">
        <f aca="false">INDEX(Machine_Rates!$C$5:$C$38,MATCH(C331,Machine_Rates!$A$5:$A$38,0))</f>
        <v>0</v>
      </c>
      <c r="G331" s="22" t="n">
        <f aca="false">D331*E331*F331</f>
        <v>0</v>
      </c>
    </row>
    <row r="332" customFormat="false" ht="15" hidden="false" customHeight="false" outlineLevel="0" collapsed="false">
      <c r="A332" s="5" t="s">
        <v>526</v>
      </c>
      <c r="B332" s="2" t="s">
        <v>683</v>
      </c>
      <c r="C332" s="5" t="s">
        <v>375</v>
      </c>
      <c r="D332" s="21" t="n">
        <v>0.809</v>
      </c>
      <c r="E332" s="23" t="n">
        <v>3</v>
      </c>
      <c r="F332" s="13" t="n">
        <f aca="false">INDEX(Machine_Rates!$C$5:$C$38,MATCH(C332,Machine_Rates!$A$5:$A$38,0))</f>
        <v>15.0115</v>
      </c>
      <c r="G332" s="22" t="n">
        <f aca="false">D332*E332*F332</f>
        <v>36.4329105</v>
      </c>
    </row>
    <row r="333" customFormat="false" ht="15" hidden="false" customHeight="false" outlineLevel="0" collapsed="false">
      <c r="A333" s="5" t="s">
        <v>526</v>
      </c>
      <c r="B333" s="2" t="s">
        <v>683</v>
      </c>
      <c r="C333" s="5" t="s">
        <v>367</v>
      </c>
      <c r="D333" s="21" t="n">
        <v>2.748</v>
      </c>
      <c r="E333" s="23" t="n">
        <v>3</v>
      </c>
      <c r="F333" s="13" t="n">
        <f aca="false">INDEX(Machine_Rates!$C$5:$C$38,MATCH(C333,Machine_Rates!$A$5:$A$38,0))</f>
        <v>37.1611</v>
      </c>
      <c r="G333" s="22" t="n">
        <f aca="false">D333*E333*F333</f>
        <v>306.3561084</v>
      </c>
    </row>
    <row r="334" customFormat="false" ht="15" hidden="false" customHeight="false" outlineLevel="0" collapsed="false">
      <c r="A334" s="5" t="s">
        <v>526</v>
      </c>
      <c r="B334" s="2" t="s">
        <v>683</v>
      </c>
      <c r="C334" s="5" t="s">
        <v>377</v>
      </c>
      <c r="D334" s="21" t="n">
        <v>2.315</v>
      </c>
      <c r="E334" s="23" t="n">
        <v>3</v>
      </c>
      <c r="F334" s="13" t="n">
        <f aca="false">INDEX(Machine_Rates!$C$5:$C$38,MATCH(C334,Machine_Rates!$A$5:$A$38,0))</f>
        <v>5.3171</v>
      </c>
      <c r="G334" s="22" t="n">
        <f aca="false">D334*E334*F334</f>
        <v>36.9272595</v>
      </c>
    </row>
    <row r="335" customFormat="false" ht="15" hidden="false" customHeight="false" outlineLevel="0" collapsed="false">
      <c r="A335" s="5" t="s">
        <v>526</v>
      </c>
      <c r="B335" s="2" t="s">
        <v>683</v>
      </c>
      <c r="C335" s="5" t="s">
        <v>355</v>
      </c>
      <c r="D335" s="21" t="n">
        <v>3.561</v>
      </c>
      <c r="E335" s="23" t="n">
        <v>1</v>
      </c>
      <c r="F335" s="13" t="n">
        <f aca="false">INDEX(Machine_Rates!$C$5:$C$38,MATCH(C335,Machine_Rates!$A$5:$A$38,0))</f>
        <v>16.82</v>
      </c>
      <c r="G335" s="22" t="n">
        <f aca="false">D335*E335*F335</f>
        <v>59.89602</v>
      </c>
    </row>
    <row r="336" customFormat="false" ht="15" hidden="false" customHeight="false" outlineLevel="0" collapsed="false">
      <c r="A336" s="5" t="s">
        <v>526</v>
      </c>
      <c r="B336" s="2" t="s">
        <v>683</v>
      </c>
      <c r="C336" s="5" t="s">
        <v>362</v>
      </c>
      <c r="D336" s="21" t="n">
        <v>2.63</v>
      </c>
      <c r="E336" s="23" t="n">
        <v>1</v>
      </c>
      <c r="F336" s="13" t="n">
        <f aca="false">INDEX(Machine_Rates!$C$5:$C$38,MATCH(C336,Machine_Rates!$A$5:$A$38,0))</f>
        <v>18.797</v>
      </c>
      <c r="G336" s="22" t="n">
        <f aca="false">D336*E336*F336</f>
        <v>49.43611</v>
      </c>
    </row>
    <row r="337" customFormat="false" ht="15" hidden="false" customHeight="false" outlineLevel="0" collapsed="false">
      <c r="A337" s="5" t="s">
        <v>526</v>
      </c>
      <c r="B337" s="2" t="s">
        <v>683</v>
      </c>
      <c r="C337" s="5" t="s">
        <v>355</v>
      </c>
      <c r="D337" s="21" t="n">
        <v>4.274</v>
      </c>
      <c r="E337" s="23" t="n">
        <v>1</v>
      </c>
      <c r="F337" s="13" t="n">
        <f aca="false">INDEX(Machine_Rates!$C$5:$C$38,MATCH(C337,Machine_Rates!$A$5:$A$38,0))</f>
        <v>16.82</v>
      </c>
      <c r="G337" s="22" t="n">
        <f aca="false">D337*E337*F337</f>
        <v>71.88868</v>
      </c>
    </row>
    <row r="338" customFormat="false" ht="15" hidden="false" customHeight="false" outlineLevel="0" collapsed="false">
      <c r="A338" s="5" t="s">
        <v>526</v>
      </c>
      <c r="B338" s="2" t="s">
        <v>683</v>
      </c>
      <c r="C338" s="5" t="s">
        <v>362</v>
      </c>
      <c r="D338" s="21" t="n">
        <v>3.561</v>
      </c>
      <c r="E338" s="23" t="n">
        <v>1</v>
      </c>
      <c r="F338" s="13" t="n">
        <f aca="false">INDEX(Machine_Rates!$C$5:$C$38,MATCH(C338,Machine_Rates!$A$5:$A$38,0))</f>
        <v>18.797</v>
      </c>
      <c r="G338" s="22" t="n">
        <f aca="false">D338*E338*F338</f>
        <v>66.936117</v>
      </c>
    </row>
    <row r="339" customFormat="false" ht="15" hidden="false" customHeight="false" outlineLevel="0" collapsed="false">
      <c r="A339" s="5" t="s">
        <v>528</v>
      </c>
      <c r="B339" s="2" t="s">
        <v>684</v>
      </c>
      <c r="C339" s="5" t="s">
        <v>370</v>
      </c>
      <c r="D339" s="21" t="n">
        <v>2.179</v>
      </c>
      <c r="E339" s="23" t="n">
        <v>3</v>
      </c>
      <c r="F339" s="13" t="n">
        <f aca="false">INDEX(Machine_Rates!$C$5:$C$38,MATCH(C339,Machine_Rates!$A$5:$A$38,0))</f>
        <v>0</v>
      </c>
      <c r="G339" s="22" t="n">
        <f aca="false">D339*E339*F339</f>
        <v>0</v>
      </c>
    </row>
    <row r="340" customFormat="false" ht="15" hidden="false" customHeight="false" outlineLevel="0" collapsed="false">
      <c r="A340" s="5" t="s">
        <v>528</v>
      </c>
      <c r="B340" s="2" t="s">
        <v>684</v>
      </c>
      <c r="C340" s="5" t="s">
        <v>376</v>
      </c>
      <c r="D340" s="21" t="n">
        <v>0.701</v>
      </c>
      <c r="E340" s="23" t="n">
        <v>3</v>
      </c>
      <c r="F340" s="13" t="n">
        <f aca="false">INDEX(Machine_Rates!$C$5:$C$38,MATCH(C340,Machine_Rates!$A$5:$A$38,0))</f>
        <v>15.0109</v>
      </c>
      <c r="G340" s="22" t="n">
        <f aca="false">D340*E340*F340</f>
        <v>31.5679227</v>
      </c>
    </row>
    <row r="341" customFormat="false" ht="15" hidden="false" customHeight="false" outlineLevel="0" collapsed="false">
      <c r="A341" s="5" t="s">
        <v>528</v>
      </c>
      <c r="B341" s="2" t="s">
        <v>684</v>
      </c>
      <c r="C341" s="5" t="s">
        <v>367</v>
      </c>
      <c r="D341" s="21" t="n">
        <v>1.994</v>
      </c>
      <c r="E341" s="23" t="n">
        <v>3</v>
      </c>
      <c r="F341" s="13" t="n">
        <f aca="false">INDEX(Machine_Rates!$C$5:$C$38,MATCH(C341,Machine_Rates!$A$5:$A$38,0))</f>
        <v>37.1611</v>
      </c>
      <c r="G341" s="22" t="n">
        <f aca="false">D341*E341*F341</f>
        <v>222.2977002</v>
      </c>
    </row>
    <row r="342" customFormat="false" ht="15" hidden="false" customHeight="false" outlineLevel="0" collapsed="false">
      <c r="A342" s="5" t="s">
        <v>528</v>
      </c>
      <c r="B342" s="2" t="s">
        <v>684</v>
      </c>
      <c r="C342" s="5" t="s">
        <v>379</v>
      </c>
      <c r="D342" s="21" t="n">
        <v>1.613</v>
      </c>
      <c r="E342" s="23" t="n">
        <v>3</v>
      </c>
      <c r="F342" s="13" t="n">
        <f aca="false">INDEX(Machine_Rates!$C$5:$C$38,MATCH(C342,Machine_Rates!$A$5:$A$38,0))</f>
        <v>5.317</v>
      </c>
      <c r="G342" s="22" t="n">
        <f aca="false">D342*E342*F342</f>
        <v>25.728963</v>
      </c>
    </row>
    <row r="343" customFormat="false" ht="15" hidden="false" customHeight="false" outlineLevel="0" collapsed="false">
      <c r="A343" s="5" t="s">
        <v>528</v>
      </c>
      <c r="B343" s="2" t="s">
        <v>684</v>
      </c>
      <c r="C343" s="5" t="s">
        <v>355</v>
      </c>
      <c r="D343" s="21" t="n">
        <v>3.053</v>
      </c>
      <c r="E343" s="23" t="n">
        <v>1</v>
      </c>
      <c r="F343" s="13" t="n">
        <f aca="false">INDEX(Machine_Rates!$C$5:$C$38,MATCH(C343,Machine_Rates!$A$5:$A$38,0))</f>
        <v>16.82</v>
      </c>
      <c r="G343" s="22" t="n">
        <f aca="false">D343*E343*F343</f>
        <v>51.35146</v>
      </c>
    </row>
    <row r="344" customFormat="false" ht="15" hidden="false" customHeight="false" outlineLevel="0" collapsed="false">
      <c r="A344" s="5" t="s">
        <v>528</v>
      </c>
      <c r="B344" s="2" t="s">
        <v>684</v>
      </c>
      <c r="C344" s="5" t="s">
        <v>362</v>
      </c>
      <c r="D344" s="21" t="n">
        <v>2.442</v>
      </c>
      <c r="E344" s="23" t="n">
        <v>1</v>
      </c>
      <c r="F344" s="13" t="n">
        <f aca="false">INDEX(Machine_Rates!$C$5:$C$38,MATCH(C344,Machine_Rates!$A$5:$A$38,0))</f>
        <v>18.797</v>
      </c>
      <c r="G344" s="22" t="n">
        <f aca="false">D344*E344*F344</f>
        <v>45.902274</v>
      </c>
    </row>
    <row r="345" customFormat="false" ht="15" hidden="false" customHeight="false" outlineLevel="0" collapsed="false">
      <c r="A345" s="5" t="s">
        <v>528</v>
      </c>
      <c r="B345" s="2" t="s">
        <v>684</v>
      </c>
      <c r="C345" s="5" t="s">
        <v>355</v>
      </c>
      <c r="D345" s="21" t="n">
        <v>3.561</v>
      </c>
      <c r="E345" s="23" t="n">
        <v>1</v>
      </c>
      <c r="F345" s="13" t="n">
        <f aca="false">INDEX(Machine_Rates!$C$5:$C$38,MATCH(C345,Machine_Rates!$A$5:$A$38,0))</f>
        <v>16.82</v>
      </c>
      <c r="G345" s="22" t="n">
        <f aca="false">D345*E345*F345</f>
        <v>59.89602</v>
      </c>
    </row>
    <row r="346" customFormat="false" ht="15" hidden="false" customHeight="false" outlineLevel="0" collapsed="false">
      <c r="A346" s="5" t="s">
        <v>528</v>
      </c>
      <c r="B346" s="2" t="s">
        <v>684</v>
      </c>
      <c r="C346" s="5" t="s">
        <v>362</v>
      </c>
      <c r="D346" s="21" t="n">
        <v>3.287</v>
      </c>
      <c r="E346" s="23" t="n">
        <v>1</v>
      </c>
      <c r="F346" s="13" t="n">
        <f aca="false">INDEX(Machine_Rates!$C$5:$C$38,MATCH(C346,Machine_Rates!$A$5:$A$38,0))</f>
        <v>18.797</v>
      </c>
      <c r="G346" s="22" t="n">
        <f aca="false">D346*E346*F346</f>
        <v>61.785739</v>
      </c>
    </row>
    <row r="347" customFormat="false" ht="15" hidden="false" customHeight="false" outlineLevel="0" collapsed="false">
      <c r="A347" s="5" t="s">
        <v>530</v>
      </c>
      <c r="B347" s="2" t="s">
        <v>685</v>
      </c>
      <c r="C347" s="5" t="s">
        <v>370</v>
      </c>
      <c r="D347" s="21" t="n">
        <v>2.179</v>
      </c>
      <c r="E347" s="23" t="n">
        <v>3</v>
      </c>
      <c r="F347" s="13" t="n">
        <f aca="false">INDEX(Machine_Rates!$C$5:$C$38,MATCH(C347,Machine_Rates!$A$5:$A$38,0))</f>
        <v>0</v>
      </c>
      <c r="G347" s="22" t="n">
        <f aca="false">D347*E347*F347</f>
        <v>0</v>
      </c>
    </row>
    <row r="348" customFormat="false" ht="15" hidden="false" customHeight="false" outlineLevel="0" collapsed="false">
      <c r="A348" s="5" t="s">
        <v>530</v>
      </c>
      <c r="B348" s="2" t="s">
        <v>685</v>
      </c>
      <c r="C348" s="5" t="s">
        <v>376</v>
      </c>
      <c r="D348" s="21" t="n">
        <v>0.701</v>
      </c>
      <c r="E348" s="23" t="n">
        <v>3</v>
      </c>
      <c r="F348" s="13" t="n">
        <f aca="false">INDEX(Machine_Rates!$C$5:$C$38,MATCH(C348,Machine_Rates!$A$5:$A$38,0))</f>
        <v>15.0109</v>
      </c>
      <c r="G348" s="22" t="n">
        <f aca="false">D348*E348*F348</f>
        <v>31.5679227</v>
      </c>
    </row>
    <row r="349" customFormat="false" ht="15" hidden="false" customHeight="false" outlineLevel="0" collapsed="false">
      <c r="A349" s="5" t="s">
        <v>530</v>
      </c>
      <c r="B349" s="2" t="s">
        <v>685</v>
      </c>
      <c r="C349" s="5" t="s">
        <v>367</v>
      </c>
      <c r="D349" s="21" t="n">
        <v>3.057</v>
      </c>
      <c r="E349" s="23" t="n">
        <v>3</v>
      </c>
      <c r="F349" s="13" t="n">
        <f aca="false">INDEX(Machine_Rates!$C$5:$C$38,MATCH(C349,Machine_Rates!$A$5:$A$38,0))</f>
        <v>37.1611</v>
      </c>
      <c r="G349" s="22" t="n">
        <f aca="false">D349*E349*F349</f>
        <v>340.8044481</v>
      </c>
    </row>
    <row r="350" customFormat="false" ht="15" hidden="false" customHeight="false" outlineLevel="0" collapsed="false">
      <c r="A350" s="5" t="s">
        <v>530</v>
      </c>
      <c r="B350" s="2" t="s">
        <v>685</v>
      </c>
      <c r="C350" s="5" t="s">
        <v>379</v>
      </c>
      <c r="D350" s="21" t="n">
        <v>2.058</v>
      </c>
      <c r="E350" s="23" t="n">
        <v>3</v>
      </c>
      <c r="F350" s="13" t="n">
        <f aca="false">INDEX(Machine_Rates!$C$5:$C$38,MATCH(C350,Machine_Rates!$A$5:$A$38,0))</f>
        <v>5.317</v>
      </c>
      <c r="G350" s="22" t="n">
        <f aca="false">D350*E350*F350</f>
        <v>32.827158</v>
      </c>
    </row>
    <row r="351" customFormat="false" ht="15" hidden="false" customHeight="false" outlineLevel="0" collapsed="false">
      <c r="A351" s="5" t="s">
        <v>530</v>
      </c>
      <c r="B351" s="2" t="s">
        <v>685</v>
      </c>
      <c r="C351" s="5" t="s">
        <v>355</v>
      </c>
      <c r="D351" s="21" t="n">
        <v>4.748</v>
      </c>
      <c r="E351" s="23" t="n">
        <v>1</v>
      </c>
      <c r="F351" s="13" t="n">
        <f aca="false">INDEX(Machine_Rates!$C$5:$C$38,MATCH(C351,Machine_Rates!$A$5:$A$38,0))</f>
        <v>16.82</v>
      </c>
      <c r="G351" s="22" t="n">
        <f aca="false">D351*E351*F351</f>
        <v>79.86136</v>
      </c>
    </row>
    <row r="352" customFormat="false" ht="15" hidden="false" customHeight="false" outlineLevel="0" collapsed="false">
      <c r="A352" s="5" t="s">
        <v>530</v>
      </c>
      <c r="B352" s="2" t="s">
        <v>685</v>
      </c>
      <c r="C352" s="5" t="s">
        <v>362</v>
      </c>
      <c r="D352" s="21" t="n">
        <v>2.818</v>
      </c>
      <c r="E352" s="23" t="n">
        <v>1</v>
      </c>
      <c r="F352" s="13" t="n">
        <f aca="false">INDEX(Machine_Rates!$C$5:$C$38,MATCH(C352,Machine_Rates!$A$5:$A$38,0))</f>
        <v>18.797</v>
      </c>
      <c r="G352" s="22" t="n">
        <f aca="false">D352*E352*F352</f>
        <v>52.969946</v>
      </c>
    </row>
    <row r="353" customFormat="false" ht="15" hidden="false" customHeight="false" outlineLevel="0" collapsed="false">
      <c r="A353" s="5" t="s">
        <v>530</v>
      </c>
      <c r="B353" s="2" t="s">
        <v>685</v>
      </c>
      <c r="C353" s="5" t="s">
        <v>355</v>
      </c>
      <c r="D353" s="21" t="n">
        <v>3.858</v>
      </c>
      <c r="E353" s="23" t="n">
        <v>1</v>
      </c>
      <c r="F353" s="13" t="n">
        <f aca="false">INDEX(Machine_Rates!$C$5:$C$38,MATCH(C353,Machine_Rates!$A$5:$A$38,0))</f>
        <v>16.82</v>
      </c>
      <c r="G353" s="22" t="n">
        <f aca="false">D353*E353*F353</f>
        <v>64.89156</v>
      </c>
    </row>
    <row r="354" customFormat="false" ht="15" hidden="false" customHeight="false" outlineLevel="0" collapsed="false">
      <c r="A354" s="5" t="s">
        <v>530</v>
      </c>
      <c r="B354" s="2" t="s">
        <v>685</v>
      </c>
      <c r="C354" s="5" t="s">
        <v>362</v>
      </c>
      <c r="D354" s="21" t="n">
        <v>4.274</v>
      </c>
      <c r="E354" s="23" t="n">
        <v>1</v>
      </c>
      <c r="F354" s="13" t="n">
        <f aca="false">INDEX(Machine_Rates!$C$5:$C$38,MATCH(C354,Machine_Rates!$A$5:$A$38,0))</f>
        <v>18.797</v>
      </c>
      <c r="G354" s="22" t="n">
        <f aca="false">D354*E354*F354</f>
        <v>80.338378</v>
      </c>
    </row>
    <row r="355" customFormat="false" ht="15" hidden="false" customHeight="false" outlineLevel="0" collapsed="false">
      <c r="A355" s="5" t="s">
        <v>532</v>
      </c>
      <c r="B355" s="2" t="s">
        <v>686</v>
      </c>
      <c r="C355" s="5" t="s">
        <v>370</v>
      </c>
      <c r="D355" s="21" t="n">
        <v>1.21</v>
      </c>
      <c r="E355" s="23" t="n">
        <v>3</v>
      </c>
      <c r="F355" s="13" t="n">
        <f aca="false">INDEX(Machine_Rates!$C$5:$C$38,MATCH(C355,Machine_Rates!$A$5:$A$38,0))</f>
        <v>0</v>
      </c>
      <c r="G355" s="22" t="n">
        <f aca="false">D355*E355*F355</f>
        <v>0</v>
      </c>
    </row>
    <row r="356" customFormat="false" ht="15" hidden="false" customHeight="false" outlineLevel="0" collapsed="false">
      <c r="A356" s="5" t="s">
        <v>532</v>
      </c>
      <c r="B356" s="2" t="s">
        <v>686</v>
      </c>
      <c r="C356" s="5" t="s">
        <v>376</v>
      </c>
      <c r="D356" s="21" t="n">
        <v>1.307</v>
      </c>
      <c r="E356" s="23" t="n">
        <v>3</v>
      </c>
      <c r="F356" s="13" t="n">
        <f aca="false">INDEX(Machine_Rates!$C$5:$C$38,MATCH(C356,Machine_Rates!$A$5:$A$38,0))</f>
        <v>15.0109</v>
      </c>
      <c r="G356" s="22" t="n">
        <f aca="false">D356*E356*F356</f>
        <v>58.8577389</v>
      </c>
    </row>
    <row r="357" customFormat="false" ht="15" hidden="false" customHeight="false" outlineLevel="0" collapsed="false">
      <c r="A357" s="5" t="s">
        <v>532</v>
      </c>
      <c r="B357" s="2" t="s">
        <v>686</v>
      </c>
      <c r="C357" s="5" t="s">
        <v>366</v>
      </c>
      <c r="D357" s="21" t="n">
        <v>2.16</v>
      </c>
      <c r="E357" s="23" t="n">
        <v>3</v>
      </c>
      <c r="F357" s="13" t="n">
        <f aca="false">INDEX(Machine_Rates!$C$5:$C$38,MATCH(C357,Machine_Rates!$A$5:$A$38,0))</f>
        <v>37.161</v>
      </c>
      <c r="G357" s="22" t="n">
        <f aca="false">D357*E357*F357</f>
        <v>240.80328</v>
      </c>
    </row>
    <row r="358" customFormat="false" ht="15" hidden="false" customHeight="false" outlineLevel="0" collapsed="false">
      <c r="A358" s="5" t="s">
        <v>532</v>
      </c>
      <c r="B358" s="2" t="s">
        <v>686</v>
      </c>
      <c r="C358" s="5" t="s">
        <v>379</v>
      </c>
      <c r="D358" s="21" t="n">
        <v>1.653</v>
      </c>
      <c r="E358" s="23" t="n">
        <v>3</v>
      </c>
      <c r="F358" s="13" t="n">
        <f aca="false">INDEX(Machine_Rates!$C$5:$C$38,MATCH(C358,Machine_Rates!$A$5:$A$38,0))</f>
        <v>5.317</v>
      </c>
      <c r="G358" s="22" t="n">
        <f aca="false">D358*E358*F358</f>
        <v>26.367003</v>
      </c>
    </row>
    <row r="359" customFormat="false" ht="15" hidden="false" customHeight="false" outlineLevel="0" collapsed="false">
      <c r="A359" s="5" t="s">
        <v>532</v>
      </c>
      <c r="B359" s="2" t="s">
        <v>686</v>
      </c>
      <c r="C359" s="5" t="s">
        <v>355</v>
      </c>
      <c r="D359" s="21" t="n">
        <v>3.885</v>
      </c>
      <c r="E359" s="23" t="n">
        <v>1</v>
      </c>
      <c r="F359" s="13" t="n">
        <f aca="false">INDEX(Machine_Rates!$C$5:$C$38,MATCH(C359,Machine_Rates!$A$5:$A$38,0))</f>
        <v>16.82</v>
      </c>
      <c r="G359" s="22" t="n">
        <f aca="false">D359*E359*F359</f>
        <v>65.3457</v>
      </c>
    </row>
    <row r="360" customFormat="false" ht="15" hidden="false" customHeight="false" outlineLevel="0" collapsed="false">
      <c r="A360" s="5" t="s">
        <v>532</v>
      </c>
      <c r="B360" s="2" t="s">
        <v>686</v>
      </c>
      <c r="C360" s="5" t="s">
        <v>362</v>
      </c>
      <c r="D360" s="21" t="n">
        <v>2.818</v>
      </c>
      <c r="E360" s="23" t="n">
        <v>1</v>
      </c>
      <c r="F360" s="13" t="n">
        <f aca="false">INDEX(Machine_Rates!$C$5:$C$38,MATCH(C360,Machine_Rates!$A$5:$A$38,0))</f>
        <v>18.797</v>
      </c>
      <c r="G360" s="22" t="n">
        <f aca="false">D360*E360*F360</f>
        <v>52.969946</v>
      </c>
    </row>
    <row r="361" customFormat="false" ht="15" hidden="false" customHeight="false" outlineLevel="0" collapsed="false">
      <c r="A361" s="5" t="s">
        <v>532</v>
      </c>
      <c r="B361" s="2" t="s">
        <v>686</v>
      </c>
      <c r="C361" s="5" t="s">
        <v>355</v>
      </c>
      <c r="D361" s="21" t="n">
        <v>4.274</v>
      </c>
      <c r="E361" s="23" t="n">
        <v>1</v>
      </c>
      <c r="F361" s="13" t="n">
        <f aca="false">INDEX(Machine_Rates!$C$5:$C$38,MATCH(C361,Machine_Rates!$A$5:$A$38,0))</f>
        <v>16.82</v>
      </c>
      <c r="G361" s="22" t="n">
        <f aca="false">D361*E361*F361</f>
        <v>71.88868</v>
      </c>
    </row>
    <row r="362" customFormat="false" ht="15" hidden="false" customHeight="false" outlineLevel="0" collapsed="false">
      <c r="A362" s="5" t="s">
        <v>532</v>
      </c>
      <c r="B362" s="2" t="s">
        <v>686</v>
      </c>
      <c r="C362" s="5" t="s">
        <v>362</v>
      </c>
      <c r="D362" s="21" t="n">
        <v>4.209</v>
      </c>
      <c r="E362" s="23" t="n">
        <v>1</v>
      </c>
      <c r="F362" s="13" t="n">
        <f aca="false">INDEX(Machine_Rates!$C$5:$C$38,MATCH(C362,Machine_Rates!$A$5:$A$38,0))</f>
        <v>18.797</v>
      </c>
      <c r="G362" s="22" t="n">
        <f aca="false">D362*E362*F362</f>
        <v>79.116573</v>
      </c>
    </row>
    <row r="363" customFormat="false" ht="15" hidden="false" customHeight="false" outlineLevel="0" collapsed="false">
      <c r="A363" s="5" t="s">
        <v>534</v>
      </c>
      <c r="B363" s="2" t="s">
        <v>687</v>
      </c>
      <c r="C363" s="5" t="s">
        <v>370</v>
      </c>
      <c r="D363" s="21" t="n">
        <v>1.21</v>
      </c>
      <c r="E363" s="23" t="n">
        <v>3</v>
      </c>
      <c r="F363" s="13" t="n">
        <f aca="false">INDEX(Machine_Rates!$C$5:$C$38,MATCH(C363,Machine_Rates!$A$5:$A$38,0))</f>
        <v>0</v>
      </c>
      <c r="G363" s="22" t="n">
        <f aca="false">D363*E363*F363</f>
        <v>0</v>
      </c>
    </row>
    <row r="364" customFormat="false" ht="15" hidden="false" customHeight="false" outlineLevel="0" collapsed="false">
      <c r="A364" s="5" t="s">
        <v>534</v>
      </c>
      <c r="B364" s="2" t="s">
        <v>687</v>
      </c>
      <c r="C364" s="5" t="s">
        <v>376</v>
      </c>
      <c r="D364" s="21" t="n">
        <v>1.307</v>
      </c>
      <c r="E364" s="23" t="n">
        <v>3</v>
      </c>
      <c r="F364" s="13" t="n">
        <f aca="false">INDEX(Machine_Rates!$C$5:$C$38,MATCH(C364,Machine_Rates!$A$5:$A$38,0))</f>
        <v>15.0109</v>
      </c>
      <c r="G364" s="22" t="n">
        <f aca="false">D364*E364*F364</f>
        <v>58.8577389</v>
      </c>
    </row>
    <row r="365" customFormat="false" ht="15" hidden="false" customHeight="false" outlineLevel="0" collapsed="false">
      <c r="A365" s="5" t="s">
        <v>534</v>
      </c>
      <c r="B365" s="2" t="s">
        <v>687</v>
      </c>
      <c r="C365" s="5" t="s">
        <v>366</v>
      </c>
      <c r="D365" s="21" t="n">
        <v>3.657</v>
      </c>
      <c r="E365" s="23" t="n">
        <v>3</v>
      </c>
      <c r="F365" s="13" t="n">
        <f aca="false">INDEX(Machine_Rates!$C$5:$C$38,MATCH(C365,Machine_Rates!$A$5:$A$38,0))</f>
        <v>37.161</v>
      </c>
      <c r="G365" s="22" t="n">
        <f aca="false">D365*E365*F365</f>
        <v>407.693331</v>
      </c>
    </row>
    <row r="366" customFormat="false" ht="15" hidden="false" customHeight="false" outlineLevel="0" collapsed="false">
      <c r="A366" s="5" t="s">
        <v>534</v>
      </c>
      <c r="B366" s="2" t="s">
        <v>687</v>
      </c>
      <c r="C366" s="5" t="s">
        <v>379</v>
      </c>
      <c r="D366" s="21" t="n">
        <v>2.058</v>
      </c>
      <c r="E366" s="23" t="n">
        <v>3</v>
      </c>
      <c r="F366" s="13" t="n">
        <f aca="false">INDEX(Machine_Rates!$C$5:$C$38,MATCH(C366,Machine_Rates!$A$5:$A$38,0))</f>
        <v>5.317</v>
      </c>
      <c r="G366" s="22" t="n">
        <f aca="false">D366*E366*F366</f>
        <v>32.827158</v>
      </c>
    </row>
    <row r="367" customFormat="false" ht="15" hidden="false" customHeight="false" outlineLevel="0" collapsed="false">
      <c r="A367" s="5" t="s">
        <v>534</v>
      </c>
      <c r="B367" s="2" t="s">
        <v>687</v>
      </c>
      <c r="C367" s="5" t="s">
        <v>355</v>
      </c>
      <c r="D367" s="21" t="n">
        <v>5.144</v>
      </c>
      <c r="E367" s="23" t="n">
        <v>1</v>
      </c>
      <c r="F367" s="13" t="n">
        <f aca="false">INDEX(Machine_Rates!$C$5:$C$38,MATCH(C367,Machine_Rates!$A$5:$A$38,0))</f>
        <v>16.82</v>
      </c>
      <c r="G367" s="22" t="n">
        <f aca="false">D367*E367*F367</f>
        <v>86.52208</v>
      </c>
    </row>
    <row r="368" customFormat="false" ht="15" hidden="false" customHeight="false" outlineLevel="0" collapsed="false">
      <c r="A368" s="5" t="s">
        <v>534</v>
      </c>
      <c r="B368" s="2" t="s">
        <v>687</v>
      </c>
      <c r="C368" s="5" t="s">
        <v>362</v>
      </c>
      <c r="D368" s="21" t="n">
        <v>3.307</v>
      </c>
      <c r="E368" s="23" t="n">
        <v>1</v>
      </c>
      <c r="F368" s="13" t="n">
        <f aca="false">INDEX(Machine_Rates!$C$5:$C$38,MATCH(C368,Machine_Rates!$A$5:$A$38,0))</f>
        <v>18.797</v>
      </c>
      <c r="G368" s="22" t="n">
        <f aca="false">D368*E368*F368</f>
        <v>62.161679</v>
      </c>
    </row>
    <row r="369" customFormat="false" ht="15" hidden="false" customHeight="false" outlineLevel="0" collapsed="false">
      <c r="A369" s="5" t="s">
        <v>534</v>
      </c>
      <c r="B369" s="2" t="s">
        <v>687</v>
      </c>
      <c r="C369" s="5" t="s">
        <v>355</v>
      </c>
      <c r="D369" s="21" t="n">
        <v>6.614</v>
      </c>
      <c r="E369" s="23" t="n">
        <v>1</v>
      </c>
      <c r="F369" s="13" t="n">
        <f aca="false">INDEX(Machine_Rates!$C$5:$C$38,MATCH(C369,Machine_Rates!$A$5:$A$38,0))</f>
        <v>16.82</v>
      </c>
      <c r="G369" s="22" t="n">
        <f aca="false">D369*E369*F369</f>
        <v>111.24748</v>
      </c>
    </row>
    <row r="370" customFormat="false" ht="15" hidden="false" customHeight="false" outlineLevel="0" collapsed="false">
      <c r="A370" s="5" t="s">
        <v>534</v>
      </c>
      <c r="B370" s="2" t="s">
        <v>687</v>
      </c>
      <c r="C370" s="5" t="s">
        <v>362</v>
      </c>
      <c r="D370" s="21" t="n">
        <v>5.144</v>
      </c>
      <c r="E370" s="23" t="n">
        <v>1</v>
      </c>
      <c r="F370" s="13" t="n">
        <f aca="false">INDEX(Machine_Rates!$C$5:$C$38,MATCH(C370,Machine_Rates!$A$5:$A$38,0))</f>
        <v>18.797</v>
      </c>
      <c r="G370" s="22" t="n">
        <f aca="false">D370*E370*F370</f>
        <v>96.691768</v>
      </c>
    </row>
    <row r="371" customFormat="false" ht="15" hidden="false" customHeight="false" outlineLevel="0" collapsed="false">
      <c r="A371" s="5" t="s">
        <v>536</v>
      </c>
      <c r="B371" s="2" t="s">
        <v>688</v>
      </c>
      <c r="C371" s="5" t="s">
        <v>372</v>
      </c>
      <c r="D371" s="21" t="n">
        <v>1.102</v>
      </c>
      <c r="E371" s="23" t="n">
        <v>3.02999997138977</v>
      </c>
      <c r="F371" s="13" t="n">
        <f aca="false">INDEX(Machine_Rates!$C$5:$C$38,MATCH(C371,Machine_Rates!$A$5:$A$38,0))</f>
        <v>0</v>
      </c>
      <c r="G371" s="22" t="n">
        <f aca="false">D371*E371*F371</f>
        <v>0</v>
      </c>
    </row>
    <row r="372" customFormat="false" ht="15" hidden="false" customHeight="false" outlineLevel="0" collapsed="false">
      <c r="A372" s="5" t="s">
        <v>536</v>
      </c>
      <c r="B372" s="2" t="s">
        <v>688</v>
      </c>
      <c r="C372" s="5" t="s">
        <v>368</v>
      </c>
      <c r="D372" s="21" t="n">
        <v>2.437</v>
      </c>
      <c r="E372" s="23" t="n">
        <v>3.02999997138977</v>
      </c>
      <c r="F372" s="13" t="n">
        <f aca="false">INDEX(Machine_Rates!$C$5:$C$38,MATCH(C372,Machine_Rates!$A$5:$A$38,0))</f>
        <v>0</v>
      </c>
      <c r="G372" s="22" t="n">
        <f aca="false">D372*E372*F372</f>
        <v>0</v>
      </c>
    </row>
    <row r="373" customFormat="false" ht="15" hidden="false" customHeight="false" outlineLevel="0" collapsed="false">
      <c r="A373" s="5" t="s">
        <v>536</v>
      </c>
      <c r="B373" s="2" t="s">
        <v>688</v>
      </c>
      <c r="C373" s="5" t="s">
        <v>344</v>
      </c>
      <c r="D373" s="21" t="n">
        <v>0.139</v>
      </c>
      <c r="E373" s="23" t="n">
        <v>3.02999997138977</v>
      </c>
      <c r="F373" s="13" t="n">
        <f aca="false">INDEX(Machine_Rates!$C$5:$C$38,MATCH(C373,Machine_Rates!$A$5:$A$38,0))</f>
        <v>1.7156</v>
      </c>
      <c r="G373" s="22" t="n">
        <f aca="false">D373*E373*F373</f>
        <v>0.722559245177364</v>
      </c>
    </row>
    <row r="374" customFormat="false" ht="15" hidden="false" customHeight="false" outlineLevel="0" collapsed="false">
      <c r="A374" s="5" t="s">
        <v>536</v>
      </c>
      <c r="B374" s="2" t="s">
        <v>688</v>
      </c>
      <c r="C374" s="5" t="s">
        <v>368</v>
      </c>
      <c r="D374" s="21" t="n">
        <v>0.926</v>
      </c>
      <c r="E374" s="23" t="n">
        <v>4.5</v>
      </c>
      <c r="F374" s="13" t="n">
        <f aca="false">INDEX(Machine_Rates!$C$5:$C$38,MATCH(C374,Machine_Rates!$A$5:$A$38,0))</f>
        <v>0</v>
      </c>
      <c r="G374" s="22" t="n">
        <f aca="false">D374*E374*F374</f>
        <v>0</v>
      </c>
    </row>
    <row r="375" customFormat="false" ht="15" hidden="false" customHeight="false" outlineLevel="0" collapsed="false">
      <c r="A375" s="5" t="s">
        <v>536</v>
      </c>
      <c r="B375" s="2" t="s">
        <v>688</v>
      </c>
      <c r="C375" s="5" t="s">
        <v>364</v>
      </c>
      <c r="D375" s="21" t="n">
        <v>0.051</v>
      </c>
      <c r="E375" s="23" t="n">
        <v>3.02999997138977</v>
      </c>
      <c r="F375" s="13" t="n">
        <f aca="false">INDEX(Machine_Rates!$C$5:$C$38,MATCH(C375,Machine_Rates!$A$5:$A$38,0))</f>
        <v>8.4956</v>
      </c>
      <c r="G375" s="22" t="n">
        <f aca="false">D375*E375*F375</f>
        <v>1.31282505560389</v>
      </c>
    </row>
    <row r="376" customFormat="false" ht="15" hidden="false" customHeight="false" outlineLevel="0" collapsed="false">
      <c r="A376" s="5" t="s">
        <v>536</v>
      </c>
      <c r="B376" s="2" t="s">
        <v>688</v>
      </c>
      <c r="C376" s="5" t="s">
        <v>341</v>
      </c>
      <c r="D376" s="21" t="n">
        <v>0.794</v>
      </c>
      <c r="E376" s="23" t="n">
        <v>1</v>
      </c>
      <c r="F376" s="13" t="n">
        <f aca="false">INDEX(Machine_Rates!$C$5:$C$38,MATCH(C376,Machine_Rates!$A$5:$A$38,0))</f>
        <v>4.1332</v>
      </c>
      <c r="G376" s="22" t="n">
        <f aca="false">D376*E376*F376</f>
        <v>3.2817608</v>
      </c>
    </row>
    <row r="377" customFormat="false" ht="15" hidden="false" customHeight="false" outlineLevel="0" collapsed="false">
      <c r="A377" s="5" t="s">
        <v>536</v>
      </c>
      <c r="B377" s="2" t="s">
        <v>688</v>
      </c>
      <c r="C377" s="5" t="s">
        <v>360</v>
      </c>
      <c r="D377" s="21" t="n">
        <v>0.827</v>
      </c>
      <c r="E377" s="23" t="n">
        <v>1</v>
      </c>
      <c r="F377" s="13" t="n">
        <f aca="false">INDEX(Machine_Rates!$C$5:$C$38,MATCH(C377,Machine_Rates!$A$5:$A$38,0))</f>
        <v>12.3201</v>
      </c>
      <c r="G377" s="22" t="n">
        <f aca="false">D377*E377*F377</f>
        <v>10.1887227</v>
      </c>
    </row>
    <row r="378" customFormat="false" ht="15" hidden="false" customHeight="false" outlineLevel="0" collapsed="false">
      <c r="A378" s="5" t="s">
        <v>536</v>
      </c>
      <c r="B378" s="2" t="s">
        <v>688</v>
      </c>
      <c r="C378" s="5" t="s">
        <v>337</v>
      </c>
      <c r="D378" s="21" t="n">
        <v>2.315</v>
      </c>
      <c r="E378" s="23" t="n">
        <v>1</v>
      </c>
      <c r="F378" s="13" t="n">
        <f aca="false">INDEX(Machine_Rates!$C$5:$C$38,MATCH(C378,Machine_Rates!$A$5:$A$38,0))</f>
        <v>4.3539</v>
      </c>
      <c r="G378" s="22" t="n">
        <f aca="false">D378*E378*F378</f>
        <v>10.0792785</v>
      </c>
    </row>
    <row r="379" customFormat="false" ht="15" hidden="false" customHeight="false" outlineLevel="0" collapsed="false">
      <c r="A379" s="5" t="s">
        <v>536</v>
      </c>
      <c r="B379" s="2" t="s">
        <v>688</v>
      </c>
      <c r="C379" s="5" t="s">
        <v>360</v>
      </c>
      <c r="D379" s="21" t="n">
        <v>0.911</v>
      </c>
      <c r="E379" s="23" t="n">
        <v>1</v>
      </c>
      <c r="F379" s="13" t="n">
        <f aca="false">INDEX(Machine_Rates!$C$5:$C$38,MATCH(C379,Machine_Rates!$A$5:$A$38,0))</f>
        <v>12.3201</v>
      </c>
      <c r="G379" s="22" t="n">
        <f aca="false">D379*E379*F379</f>
        <v>11.2236111</v>
      </c>
    </row>
    <row r="380" customFormat="false" ht="15" hidden="false" customHeight="false" outlineLevel="0" collapsed="false">
      <c r="A380" s="5" t="s">
        <v>538</v>
      </c>
      <c r="B380" s="2" t="s">
        <v>689</v>
      </c>
      <c r="C380" s="5" t="s">
        <v>370</v>
      </c>
      <c r="D380" s="21" t="n">
        <v>1.006</v>
      </c>
      <c r="E380" s="23" t="n">
        <v>3</v>
      </c>
      <c r="F380" s="13" t="n">
        <f aca="false">INDEX(Machine_Rates!$C$5:$C$38,MATCH(C380,Machine_Rates!$A$5:$A$38,0))</f>
        <v>0</v>
      </c>
      <c r="G380" s="22" t="n">
        <f aca="false">D380*E380*F380</f>
        <v>0</v>
      </c>
    </row>
    <row r="381" customFormat="false" ht="15" hidden="false" customHeight="false" outlineLevel="0" collapsed="false">
      <c r="A381" s="5" t="s">
        <v>538</v>
      </c>
      <c r="B381" s="2" t="s">
        <v>689</v>
      </c>
      <c r="C381" s="5" t="s">
        <v>345</v>
      </c>
      <c r="D381" s="21" t="n">
        <v>0.176</v>
      </c>
      <c r="E381" s="23" t="n">
        <v>3</v>
      </c>
      <c r="F381" s="13" t="n">
        <f aca="false">INDEX(Machine_Rates!$C$5:$C$38,MATCH(C381,Machine_Rates!$A$5:$A$38,0))</f>
        <v>4.1336</v>
      </c>
      <c r="G381" s="22" t="n">
        <f aca="false">D381*E381*F381</f>
        <v>2.1825408</v>
      </c>
    </row>
    <row r="382" customFormat="false" ht="15" hidden="false" customHeight="false" outlineLevel="0" collapsed="false">
      <c r="A382" s="5" t="s">
        <v>538</v>
      </c>
      <c r="B382" s="2" t="s">
        <v>689</v>
      </c>
      <c r="C382" s="5" t="s">
        <v>367</v>
      </c>
      <c r="D382" s="21" t="n">
        <v>1.755</v>
      </c>
      <c r="E382" s="23" t="n">
        <v>3</v>
      </c>
      <c r="F382" s="13" t="n">
        <f aca="false">INDEX(Machine_Rates!$C$5:$C$38,MATCH(C382,Machine_Rates!$A$5:$A$38,0))</f>
        <v>37.1611</v>
      </c>
      <c r="G382" s="22" t="n">
        <f aca="false">D382*E382*F382</f>
        <v>195.6531915</v>
      </c>
    </row>
    <row r="383" customFormat="false" ht="15" hidden="false" customHeight="false" outlineLevel="0" collapsed="false">
      <c r="A383" s="5" t="s">
        <v>538</v>
      </c>
      <c r="B383" s="2" t="s">
        <v>689</v>
      </c>
      <c r="C383" s="5" t="s">
        <v>379</v>
      </c>
      <c r="D383" s="21" t="n">
        <v>1.506</v>
      </c>
      <c r="E383" s="23" t="n">
        <v>3</v>
      </c>
      <c r="F383" s="13" t="n">
        <f aca="false">INDEX(Machine_Rates!$C$5:$C$38,MATCH(C383,Machine_Rates!$A$5:$A$38,0))</f>
        <v>5.317</v>
      </c>
      <c r="G383" s="22" t="n">
        <f aca="false">D383*E383*F383</f>
        <v>24.022206</v>
      </c>
    </row>
    <row r="384" customFormat="false" ht="15" hidden="false" customHeight="false" outlineLevel="0" collapsed="false">
      <c r="A384" s="5" t="s">
        <v>538</v>
      </c>
      <c r="B384" s="2" t="s">
        <v>689</v>
      </c>
      <c r="C384" s="5" t="s">
        <v>353</v>
      </c>
      <c r="D384" s="21" t="n">
        <v>2.268</v>
      </c>
      <c r="E384" s="23" t="n">
        <v>1</v>
      </c>
      <c r="F384" s="13" t="n">
        <f aca="false">INDEX(Machine_Rates!$C$5:$C$38,MATCH(C384,Machine_Rates!$A$5:$A$38,0))</f>
        <v>16.82</v>
      </c>
      <c r="G384" s="22" t="n">
        <f aca="false">D384*E384*F384</f>
        <v>38.14776</v>
      </c>
    </row>
    <row r="385" customFormat="false" ht="15" hidden="false" customHeight="false" outlineLevel="0" collapsed="false">
      <c r="A385" s="5" t="s">
        <v>538</v>
      </c>
      <c r="B385" s="2" t="s">
        <v>689</v>
      </c>
      <c r="C385" s="5" t="s">
        <v>362</v>
      </c>
      <c r="D385" s="21" t="n">
        <v>1.19</v>
      </c>
      <c r="E385" s="23" t="n">
        <v>1</v>
      </c>
      <c r="F385" s="13" t="n">
        <f aca="false">INDEX(Machine_Rates!$C$5:$C$38,MATCH(C385,Machine_Rates!$A$5:$A$38,0))</f>
        <v>18.797</v>
      </c>
      <c r="G385" s="22" t="n">
        <f aca="false">D385*E385*F385</f>
        <v>22.36843</v>
      </c>
    </row>
    <row r="386" customFormat="false" ht="15" hidden="false" customHeight="false" outlineLevel="0" collapsed="false">
      <c r="A386" s="5" t="s">
        <v>538</v>
      </c>
      <c r="B386" s="2" t="s">
        <v>689</v>
      </c>
      <c r="C386" s="5" t="s">
        <v>353</v>
      </c>
      <c r="D386" s="21" t="n">
        <v>1.928</v>
      </c>
      <c r="E386" s="23" t="n">
        <v>1</v>
      </c>
      <c r="F386" s="13" t="n">
        <f aca="false">INDEX(Machine_Rates!$C$5:$C$38,MATCH(C386,Machine_Rates!$A$5:$A$38,0))</f>
        <v>16.82</v>
      </c>
      <c r="G386" s="22" t="n">
        <f aca="false">D386*E386*F386</f>
        <v>32.42896</v>
      </c>
    </row>
    <row r="387" customFormat="false" ht="15" hidden="false" customHeight="false" outlineLevel="0" collapsed="false">
      <c r="A387" s="5" t="s">
        <v>538</v>
      </c>
      <c r="B387" s="2" t="s">
        <v>689</v>
      </c>
      <c r="C387" s="5" t="s">
        <v>362</v>
      </c>
      <c r="D387" s="21" t="n">
        <v>1.744</v>
      </c>
      <c r="E387" s="23" t="n">
        <v>1</v>
      </c>
      <c r="F387" s="13" t="n">
        <f aca="false">INDEX(Machine_Rates!$C$5:$C$38,MATCH(C387,Machine_Rates!$A$5:$A$38,0))</f>
        <v>18.797</v>
      </c>
      <c r="G387" s="22" t="n">
        <f aca="false">D387*E387*F387</f>
        <v>32.781968</v>
      </c>
    </row>
    <row r="388" customFormat="false" ht="15" hidden="false" customHeight="false" outlineLevel="0" collapsed="false">
      <c r="A388" s="5" t="s">
        <v>540</v>
      </c>
      <c r="B388" s="2" t="s">
        <v>690</v>
      </c>
      <c r="C388" s="5" t="s">
        <v>370</v>
      </c>
      <c r="D388" s="21" t="n">
        <v>1.102</v>
      </c>
      <c r="E388" s="23" t="n">
        <v>3</v>
      </c>
      <c r="F388" s="13" t="n">
        <f aca="false">INDEX(Machine_Rates!$C$5:$C$38,MATCH(C388,Machine_Rates!$A$5:$A$38,0))</f>
        <v>0</v>
      </c>
      <c r="G388" s="22" t="n">
        <f aca="false">D388*E388*F388</f>
        <v>0</v>
      </c>
    </row>
    <row r="389" customFormat="false" ht="15" hidden="false" customHeight="false" outlineLevel="0" collapsed="false">
      <c r="A389" s="5" t="s">
        <v>540</v>
      </c>
      <c r="B389" s="2" t="s">
        <v>690</v>
      </c>
      <c r="C389" s="5" t="s">
        <v>345</v>
      </c>
      <c r="D389" s="21" t="n">
        <v>0.205</v>
      </c>
      <c r="E389" s="23" t="n">
        <v>3</v>
      </c>
      <c r="F389" s="13" t="n">
        <f aca="false">INDEX(Machine_Rates!$C$5:$C$38,MATCH(C389,Machine_Rates!$A$5:$A$38,0))</f>
        <v>4.1336</v>
      </c>
      <c r="G389" s="22" t="n">
        <f aca="false">D389*E389*F389</f>
        <v>2.542164</v>
      </c>
    </row>
    <row r="390" customFormat="false" ht="15" hidden="false" customHeight="false" outlineLevel="0" collapsed="false">
      <c r="A390" s="5" t="s">
        <v>540</v>
      </c>
      <c r="B390" s="2" t="s">
        <v>690</v>
      </c>
      <c r="C390" s="5" t="s">
        <v>367</v>
      </c>
      <c r="D390" s="21" t="n">
        <v>1.148</v>
      </c>
      <c r="E390" s="23" t="n">
        <v>3</v>
      </c>
      <c r="F390" s="13" t="n">
        <f aca="false">INDEX(Machine_Rates!$C$5:$C$38,MATCH(C390,Machine_Rates!$A$5:$A$38,0))</f>
        <v>37.1611</v>
      </c>
      <c r="G390" s="22" t="n">
        <f aca="false">D390*E390*F390</f>
        <v>127.9828284</v>
      </c>
    </row>
    <row r="391" customFormat="false" ht="15" hidden="false" customHeight="false" outlineLevel="0" collapsed="false">
      <c r="A391" s="5" t="s">
        <v>540</v>
      </c>
      <c r="B391" s="2" t="s">
        <v>690</v>
      </c>
      <c r="C391" s="5" t="s">
        <v>377</v>
      </c>
      <c r="D391" s="21" t="n">
        <v>1.452</v>
      </c>
      <c r="E391" s="23" t="n">
        <v>3</v>
      </c>
      <c r="F391" s="13" t="n">
        <f aca="false">INDEX(Machine_Rates!$C$5:$C$38,MATCH(C391,Machine_Rates!$A$5:$A$38,0))</f>
        <v>5.3171</v>
      </c>
      <c r="G391" s="22" t="n">
        <f aca="false">D391*E391*F391</f>
        <v>23.1612876</v>
      </c>
    </row>
    <row r="392" customFormat="false" ht="15" hidden="false" customHeight="false" outlineLevel="0" collapsed="false">
      <c r="A392" s="5" t="s">
        <v>540</v>
      </c>
      <c r="B392" s="2" t="s">
        <v>690</v>
      </c>
      <c r="C392" s="5" t="s">
        <v>353</v>
      </c>
      <c r="D392" s="21" t="n">
        <v>1.867</v>
      </c>
      <c r="E392" s="23" t="n">
        <v>1</v>
      </c>
      <c r="F392" s="13" t="n">
        <f aca="false">INDEX(Machine_Rates!$C$5:$C$38,MATCH(C392,Machine_Rates!$A$5:$A$38,0))</f>
        <v>16.82</v>
      </c>
      <c r="G392" s="22" t="n">
        <f aca="false">D392*E392*F392</f>
        <v>31.40294</v>
      </c>
    </row>
    <row r="393" customFormat="false" ht="15" hidden="false" customHeight="false" outlineLevel="0" collapsed="false">
      <c r="A393" s="5" t="s">
        <v>540</v>
      </c>
      <c r="B393" s="2" t="s">
        <v>690</v>
      </c>
      <c r="C393" s="5" t="s">
        <v>362</v>
      </c>
      <c r="D393" s="21" t="n">
        <v>1.063</v>
      </c>
      <c r="E393" s="23" t="n">
        <v>1</v>
      </c>
      <c r="F393" s="13" t="n">
        <f aca="false">INDEX(Machine_Rates!$C$5:$C$38,MATCH(C393,Machine_Rates!$A$5:$A$38,0))</f>
        <v>18.797</v>
      </c>
      <c r="G393" s="22" t="n">
        <f aca="false">D393*E393*F393</f>
        <v>19.981211</v>
      </c>
    </row>
    <row r="394" customFormat="false" ht="15" hidden="false" customHeight="false" outlineLevel="0" collapsed="false">
      <c r="A394" s="5" t="s">
        <v>540</v>
      </c>
      <c r="B394" s="2" t="s">
        <v>690</v>
      </c>
      <c r="C394" s="5" t="s">
        <v>353</v>
      </c>
      <c r="D394" s="21" t="n">
        <v>1.701</v>
      </c>
      <c r="E394" s="23" t="n">
        <v>1</v>
      </c>
      <c r="F394" s="13" t="n">
        <f aca="false">INDEX(Machine_Rates!$C$5:$C$38,MATCH(C394,Machine_Rates!$A$5:$A$38,0))</f>
        <v>16.82</v>
      </c>
      <c r="G394" s="22" t="n">
        <f aca="false">D394*E394*F394</f>
        <v>28.61082</v>
      </c>
    </row>
    <row r="395" customFormat="false" ht="15" hidden="false" customHeight="false" outlineLevel="0" collapsed="false">
      <c r="A395" s="5" t="s">
        <v>540</v>
      </c>
      <c r="B395" s="2" t="s">
        <v>690</v>
      </c>
      <c r="C395" s="5" t="s">
        <v>362</v>
      </c>
      <c r="D395" s="21" t="n">
        <v>1.546</v>
      </c>
      <c r="E395" s="23" t="n">
        <v>1</v>
      </c>
      <c r="F395" s="13" t="n">
        <f aca="false">INDEX(Machine_Rates!$C$5:$C$38,MATCH(C395,Machine_Rates!$A$5:$A$38,0))</f>
        <v>18.797</v>
      </c>
      <c r="G395" s="22" t="n">
        <f aca="false">D395*E395*F395</f>
        <v>29.060162</v>
      </c>
    </row>
    <row r="396" customFormat="false" ht="15" hidden="false" customHeight="false" outlineLevel="0" collapsed="false">
      <c r="A396" s="5" t="s">
        <v>542</v>
      </c>
      <c r="B396" s="2" t="s">
        <v>691</v>
      </c>
      <c r="C396" s="5" t="s">
        <v>370</v>
      </c>
      <c r="D396" s="21" t="n">
        <v>1.102</v>
      </c>
      <c r="E396" s="23" t="n">
        <v>3</v>
      </c>
      <c r="F396" s="13" t="n">
        <f aca="false">INDEX(Machine_Rates!$C$5:$C$38,MATCH(C396,Machine_Rates!$A$5:$A$38,0))</f>
        <v>0</v>
      </c>
      <c r="G396" s="22" t="n">
        <f aca="false">D396*E396*F396</f>
        <v>0</v>
      </c>
    </row>
    <row r="397" customFormat="false" ht="15" hidden="false" customHeight="false" outlineLevel="0" collapsed="false">
      <c r="A397" s="5" t="s">
        <v>542</v>
      </c>
      <c r="B397" s="2" t="s">
        <v>691</v>
      </c>
      <c r="C397" s="5" t="s">
        <v>345</v>
      </c>
      <c r="D397" s="21" t="n">
        <v>0.205</v>
      </c>
      <c r="E397" s="23" t="n">
        <v>3</v>
      </c>
      <c r="F397" s="13" t="n">
        <f aca="false">INDEX(Machine_Rates!$C$5:$C$38,MATCH(C397,Machine_Rates!$A$5:$A$38,0))</f>
        <v>4.1336</v>
      </c>
      <c r="G397" s="22" t="n">
        <f aca="false">D397*E397*F397</f>
        <v>2.542164</v>
      </c>
    </row>
    <row r="398" customFormat="false" ht="15" hidden="false" customHeight="false" outlineLevel="0" collapsed="false">
      <c r="A398" s="5" t="s">
        <v>542</v>
      </c>
      <c r="B398" s="2" t="s">
        <v>691</v>
      </c>
      <c r="C398" s="5" t="s">
        <v>367</v>
      </c>
      <c r="D398" s="21" t="n">
        <v>1.946</v>
      </c>
      <c r="E398" s="23" t="n">
        <v>3</v>
      </c>
      <c r="F398" s="13" t="n">
        <f aca="false">INDEX(Machine_Rates!$C$5:$C$38,MATCH(C398,Machine_Rates!$A$5:$A$38,0))</f>
        <v>37.1611</v>
      </c>
      <c r="G398" s="22" t="n">
        <f aca="false">D398*E398*F398</f>
        <v>216.9465018</v>
      </c>
    </row>
    <row r="399" customFormat="false" ht="15" hidden="false" customHeight="false" outlineLevel="0" collapsed="false">
      <c r="A399" s="5" t="s">
        <v>542</v>
      </c>
      <c r="B399" s="2" t="s">
        <v>691</v>
      </c>
      <c r="C399" s="5" t="s">
        <v>379</v>
      </c>
      <c r="D399" s="21" t="n">
        <v>1.506</v>
      </c>
      <c r="E399" s="23" t="n">
        <v>3</v>
      </c>
      <c r="F399" s="13" t="n">
        <f aca="false">INDEX(Machine_Rates!$C$5:$C$38,MATCH(C399,Machine_Rates!$A$5:$A$38,0))</f>
        <v>5.317</v>
      </c>
      <c r="G399" s="22" t="n">
        <f aca="false">D399*E399*F399</f>
        <v>24.022206</v>
      </c>
    </row>
    <row r="400" customFormat="false" ht="15" hidden="false" customHeight="false" outlineLevel="0" collapsed="false">
      <c r="A400" s="5" t="s">
        <v>542</v>
      </c>
      <c r="B400" s="2" t="s">
        <v>691</v>
      </c>
      <c r="C400" s="5" t="s">
        <v>353</v>
      </c>
      <c r="D400" s="21" t="n">
        <v>2.646</v>
      </c>
      <c r="E400" s="23" t="n">
        <v>1</v>
      </c>
      <c r="F400" s="13" t="n">
        <f aca="false">INDEX(Machine_Rates!$C$5:$C$38,MATCH(C400,Machine_Rates!$A$5:$A$38,0))</f>
        <v>16.82</v>
      </c>
      <c r="G400" s="22" t="n">
        <f aca="false">D400*E400*F400</f>
        <v>44.50572</v>
      </c>
    </row>
    <row r="401" customFormat="false" ht="15" hidden="false" customHeight="false" outlineLevel="0" collapsed="false">
      <c r="A401" s="5" t="s">
        <v>542</v>
      </c>
      <c r="B401" s="2" t="s">
        <v>691</v>
      </c>
      <c r="C401" s="5" t="s">
        <v>362</v>
      </c>
      <c r="D401" s="21" t="n">
        <v>1.394</v>
      </c>
      <c r="E401" s="23" t="n">
        <v>1</v>
      </c>
      <c r="F401" s="13" t="n">
        <f aca="false">INDEX(Machine_Rates!$C$5:$C$38,MATCH(C401,Machine_Rates!$A$5:$A$38,0))</f>
        <v>18.797</v>
      </c>
      <c r="G401" s="22" t="n">
        <f aca="false">D401*E401*F401</f>
        <v>26.203018</v>
      </c>
    </row>
    <row r="402" customFormat="false" ht="15" hidden="false" customHeight="false" outlineLevel="0" collapsed="false">
      <c r="A402" s="5" t="s">
        <v>542</v>
      </c>
      <c r="B402" s="2" t="s">
        <v>691</v>
      </c>
      <c r="C402" s="5" t="s">
        <v>353</v>
      </c>
      <c r="D402" s="21" t="n">
        <v>2.818</v>
      </c>
      <c r="E402" s="23" t="n">
        <v>1</v>
      </c>
      <c r="F402" s="13" t="n">
        <f aca="false">INDEX(Machine_Rates!$C$5:$C$38,MATCH(C402,Machine_Rates!$A$5:$A$38,0))</f>
        <v>16.82</v>
      </c>
      <c r="G402" s="22" t="n">
        <f aca="false">D402*E402*F402</f>
        <v>47.39876</v>
      </c>
    </row>
    <row r="403" customFormat="false" ht="15" hidden="false" customHeight="false" outlineLevel="0" collapsed="false">
      <c r="A403" s="5" t="s">
        <v>542</v>
      </c>
      <c r="B403" s="2" t="s">
        <v>691</v>
      </c>
      <c r="C403" s="5" t="s">
        <v>362</v>
      </c>
      <c r="D403" s="21" t="n">
        <v>2.035</v>
      </c>
      <c r="E403" s="23" t="n">
        <v>1</v>
      </c>
      <c r="F403" s="13" t="n">
        <f aca="false">INDEX(Machine_Rates!$C$5:$C$38,MATCH(C403,Machine_Rates!$A$5:$A$38,0))</f>
        <v>18.797</v>
      </c>
      <c r="G403" s="22" t="n">
        <f aca="false">D403*E403*F403</f>
        <v>38.251895</v>
      </c>
    </row>
    <row r="404" customFormat="false" ht="15" hidden="false" customHeight="false" outlineLevel="0" collapsed="false">
      <c r="A404" s="5" t="s">
        <v>544</v>
      </c>
      <c r="B404" s="2" t="s">
        <v>692</v>
      </c>
      <c r="C404" s="5" t="s">
        <v>370</v>
      </c>
      <c r="D404" s="21" t="n">
        <v>1.21</v>
      </c>
      <c r="E404" s="23" t="n">
        <v>3</v>
      </c>
      <c r="F404" s="13" t="n">
        <f aca="false">INDEX(Machine_Rates!$C$5:$C$38,MATCH(C404,Machine_Rates!$A$5:$A$38,0))</f>
        <v>0</v>
      </c>
      <c r="G404" s="22" t="n">
        <f aca="false">D404*E404*F404</f>
        <v>0</v>
      </c>
    </row>
    <row r="405" customFormat="false" ht="15" hidden="false" customHeight="false" outlineLevel="0" collapsed="false">
      <c r="A405" s="5" t="s">
        <v>544</v>
      </c>
      <c r="B405" s="2" t="s">
        <v>692</v>
      </c>
      <c r="C405" s="5" t="s">
        <v>375</v>
      </c>
      <c r="D405" s="21" t="n">
        <v>0.871</v>
      </c>
      <c r="E405" s="23" t="n">
        <v>3</v>
      </c>
      <c r="F405" s="13" t="n">
        <f aca="false">INDEX(Machine_Rates!$C$5:$C$38,MATCH(C405,Machine_Rates!$A$5:$A$38,0))</f>
        <v>15.0115</v>
      </c>
      <c r="G405" s="22" t="n">
        <f aca="false">D405*E405*F405</f>
        <v>39.2250495</v>
      </c>
    </row>
    <row r="406" customFormat="false" ht="15" hidden="false" customHeight="false" outlineLevel="0" collapsed="false">
      <c r="A406" s="5" t="s">
        <v>544</v>
      </c>
      <c r="B406" s="2" t="s">
        <v>692</v>
      </c>
      <c r="C406" s="5" t="s">
        <v>367</v>
      </c>
      <c r="D406" s="21" t="n">
        <v>1.295</v>
      </c>
      <c r="E406" s="23" t="n">
        <v>3</v>
      </c>
      <c r="F406" s="13" t="n">
        <f aca="false">INDEX(Machine_Rates!$C$5:$C$38,MATCH(C406,Machine_Rates!$A$5:$A$38,0))</f>
        <v>37.1611</v>
      </c>
      <c r="G406" s="22" t="n">
        <f aca="false">D406*E406*F406</f>
        <v>144.3708735</v>
      </c>
    </row>
    <row r="407" customFormat="false" ht="15" hidden="false" customHeight="false" outlineLevel="0" collapsed="false">
      <c r="A407" s="5" t="s">
        <v>544</v>
      </c>
      <c r="B407" s="2" t="s">
        <v>692</v>
      </c>
      <c r="C407" s="5" t="s">
        <v>377</v>
      </c>
      <c r="D407" s="21" t="n">
        <v>1.556</v>
      </c>
      <c r="E407" s="23" t="n">
        <v>3</v>
      </c>
      <c r="F407" s="13" t="n">
        <f aca="false">INDEX(Machine_Rates!$C$5:$C$38,MATCH(C407,Machine_Rates!$A$5:$A$38,0))</f>
        <v>5.3171</v>
      </c>
      <c r="G407" s="22" t="n">
        <f aca="false">D407*E407*F407</f>
        <v>24.8202228</v>
      </c>
    </row>
    <row r="408" customFormat="false" ht="15" hidden="false" customHeight="false" outlineLevel="0" collapsed="false">
      <c r="A408" s="5" t="s">
        <v>544</v>
      </c>
      <c r="B408" s="2" t="s">
        <v>692</v>
      </c>
      <c r="C408" s="5" t="s">
        <v>353</v>
      </c>
      <c r="D408" s="21" t="n">
        <v>1.867</v>
      </c>
      <c r="E408" s="23" t="n">
        <v>1</v>
      </c>
      <c r="F408" s="13" t="n">
        <f aca="false">INDEX(Machine_Rates!$C$5:$C$38,MATCH(C408,Machine_Rates!$A$5:$A$38,0))</f>
        <v>16.82</v>
      </c>
      <c r="G408" s="22" t="n">
        <f aca="false">D408*E408*F408</f>
        <v>31.40294</v>
      </c>
    </row>
    <row r="409" customFormat="false" ht="15" hidden="false" customHeight="false" outlineLevel="0" collapsed="false">
      <c r="A409" s="5" t="s">
        <v>544</v>
      </c>
      <c r="B409" s="2" t="s">
        <v>692</v>
      </c>
      <c r="C409" s="5" t="s">
        <v>362</v>
      </c>
      <c r="D409" s="21" t="n">
        <v>1.19</v>
      </c>
      <c r="E409" s="23" t="n">
        <v>1</v>
      </c>
      <c r="F409" s="13" t="n">
        <f aca="false">INDEX(Machine_Rates!$C$5:$C$38,MATCH(C409,Machine_Rates!$A$5:$A$38,0))</f>
        <v>18.797</v>
      </c>
      <c r="G409" s="22" t="n">
        <f aca="false">D409*E409*F409</f>
        <v>22.36843</v>
      </c>
    </row>
    <row r="410" customFormat="false" ht="15" hidden="false" customHeight="false" outlineLevel="0" collapsed="false">
      <c r="A410" s="5" t="s">
        <v>544</v>
      </c>
      <c r="B410" s="2" t="s">
        <v>692</v>
      </c>
      <c r="C410" s="5" t="s">
        <v>353</v>
      </c>
      <c r="D410" s="21" t="n">
        <v>1.701</v>
      </c>
      <c r="E410" s="23" t="n">
        <v>1</v>
      </c>
      <c r="F410" s="13" t="n">
        <f aca="false">INDEX(Machine_Rates!$C$5:$C$38,MATCH(C410,Machine_Rates!$A$5:$A$38,0))</f>
        <v>16.82</v>
      </c>
      <c r="G410" s="22" t="n">
        <f aca="false">D410*E410*F410</f>
        <v>28.61082</v>
      </c>
    </row>
    <row r="411" customFormat="false" ht="15" hidden="false" customHeight="false" outlineLevel="0" collapsed="false">
      <c r="A411" s="5" t="s">
        <v>544</v>
      </c>
      <c r="B411" s="2" t="s">
        <v>692</v>
      </c>
      <c r="C411" s="5" t="s">
        <v>362</v>
      </c>
      <c r="D411" s="21" t="n">
        <v>1.546</v>
      </c>
      <c r="E411" s="23" t="n">
        <v>1</v>
      </c>
      <c r="F411" s="13" t="n">
        <f aca="false">INDEX(Machine_Rates!$C$5:$C$38,MATCH(C411,Machine_Rates!$A$5:$A$38,0))</f>
        <v>18.797</v>
      </c>
      <c r="G411" s="22" t="n">
        <f aca="false">D411*E411*F411</f>
        <v>29.060162</v>
      </c>
    </row>
    <row r="412" customFormat="false" ht="15" hidden="false" customHeight="false" outlineLevel="0" collapsed="false">
      <c r="A412" s="5" t="s">
        <v>546</v>
      </c>
      <c r="B412" s="2" t="s">
        <v>693</v>
      </c>
      <c r="C412" s="5" t="s">
        <v>370</v>
      </c>
      <c r="D412" s="21" t="n">
        <v>0.723</v>
      </c>
      <c r="E412" s="23" t="n">
        <v>3</v>
      </c>
      <c r="F412" s="13" t="n">
        <f aca="false">INDEX(Machine_Rates!$C$5:$C$38,MATCH(C412,Machine_Rates!$A$5:$A$38,0))</f>
        <v>0</v>
      </c>
      <c r="G412" s="22" t="n">
        <f aca="false">D412*E412*F412</f>
        <v>0</v>
      </c>
    </row>
    <row r="413" customFormat="false" ht="15" hidden="false" customHeight="false" outlineLevel="0" collapsed="false">
      <c r="A413" s="5" t="s">
        <v>546</v>
      </c>
      <c r="B413" s="2" t="s">
        <v>693</v>
      </c>
      <c r="C413" s="5" t="s">
        <v>339</v>
      </c>
      <c r="D413" s="21" t="n">
        <v>0.217</v>
      </c>
      <c r="E413" s="23" t="n">
        <v>3</v>
      </c>
      <c r="F413" s="13" t="n">
        <f aca="false">INDEX(Machine_Rates!$C$5:$C$38,MATCH(C413,Machine_Rates!$A$5:$A$38,0))</f>
        <v>4.129</v>
      </c>
      <c r="G413" s="22" t="n">
        <f aca="false">D413*E413*F413</f>
        <v>2.687979</v>
      </c>
    </row>
    <row r="414" customFormat="false" ht="15" hidden="false" customHeight="false" outlineLevel="0" collapsed="false">
      <c r="A414" s="5" t="s">
        <v>546</v>
      </c>
      <c r="B414" s="2" t="s">
        <v>693</v>
      </c>
      <c r="C414" s="5" t="s">
        <v>364</v>
      </c>
      <c r="D414" s="21" t="n">
        <v>0.154</v>
      </c>
      <c r="E414" s="23" t="n">
        <v>3</v>
      </c>
      <c r="F414" s="13" t="n">
        <f aca="false">INDEX(Machine_Rates!$C$5:$C$38,MATCH(C414,Machine_Rates!$A$5:$A$38,0))</f>
        <v>8.4956</v>
      </c>
      <c r="G414" s="22" t="n">
        <f aca="false">D414*E414*F414</f>
        <v>3.9249672</v>
      </c>
    </row>
    <row r="415" customFormat="false" ht="15" hidden="false" customHeight="false" outlineLevel="0" collapsed="false">
      <c r="A415" s="5" t="s">
        <v>546</v>
      </c>
      <c r="B415" s="2" t="s">
        <v>693</v>
      </c>
      <c r="C415" s="5" t="s">
        <v>373</v>
      </c>
      <c r="D415" s="21" t="n">
        <v>0.823</v>
      </c>
      <c r="E415" s="23" t="n">
        <v>1</v>
      </c>
      <c r="F415" s="13" t="n">
        <f aca="false">INDEX(Machine_Rates!$C$5:$C$38,MATCH(C415,Machine_Rates!$A$5:$A$38,0))</f>
        <v>20.293</v>
      </c>
      <c r="G415" s="22" t="n">
        <f aca="false">D415*E415*F415</f>
        <v>16.701139</v>
      </c>
    </row>
    <row r="416" customFormat="false" ht="15" hidden="false" customHeight="false" outlineLevel="0" collapsed="false">
      <c r="A416" s="5" t="s">
        <v>546</v>
      </c>
      <c r="B416" s="2" t="s">
        <v>693</v>
      </c>
      <c r="C416" s="5" t="s">
        <v>365</v>
      </c>
      <c r="D416" s="21" t="n">
        <v>0.579</v>
      </c>
      <c r="E416" s="23" t="n">
        <v>1</v>
      </c>
      <c r="F416" s="13" t="n">
        <f aca="false">INDEX(Machine_Rates!$C$5:$C$38,MATCH(C416,Machine_Rates!$A$5:$A$38,0))</f>
        <v>10.9057</v>
      </c>
      <c r="G416" s="22" t="n">
        <f aca="false">D416*E416*F416</f>
        <v>6.3144003</v>
      </c>
    </row>
    <row r="417" customFormat="false" ht="15" hidden="false" customHeight="false" outlineLevel="0" collapsed="false">
      <c r="A417" s="5" t="s">
        <v>546</v>
      </c>
      <c r="B417" s="2" t="s">
        <v>693</v>
      </c>
      <c r="C417" s="5" t="s">
        <v>373</v>
      </c>
      <c r="D417" s="21" t="n">
        <v>0.846</v>
      </c>
      <c r="E417" s="23" t="n">
        <v>1</v>
      </c>
      <c r="F417" s="13" t="n">
        <f aca="false">INDEX(Machine_Rates!$C$5:$C$38,MATCH(C417,Machine_Rates!$A$5:$A$38,0))</f>
        <v>20.293</v>
      </c>
      <c r="G417" s="22" t="n">
        <f aca="false">D417*E417*F417</f>
        <v>17.167878</v>
      </c>
    </row>
    <row r="418" customFormat="false" ht="15" hidden="false" customHeight="false" outlineLevel="0" collapsed="false">
      <c r="A418" s="5" t="s">
        <v>546</v>
      </c>
      <c r="B418" s="2" t="s">
        <v>693</v>
      </c>
      <c r="C418" s="5" t="s">
        <v>365</v>
      </c>
      <c r="D418" s="21" t="n">
        <v>0.676</v>
      </c>
      <c r="E418" s="23" t="n">
        <v>1</v>
      </c>
      <c r="F418" s="13" t="n">
        <f aca="false">INDEX(Machine_Rates!$C$5:$C$38,MATCH(C418,Machine_Rates!$A$5:$A$38,0))</f>
        <v>10.9057</v>
      </c>
      <c r="G418" s="22" t="n">
        <f aca="false">D418*E418*F418</f>
        <v>7.3722532</v>
      </c>
    </row>
    <row r="419" customFormat="false" ht="15" hidden="false" customHeight="false" outlineLevel="0" collapsed="false">
      <c r="A419" s="5" t="s">
        <v>548</v>
      </c>
      <c r="B419" s="2" t="s">
        <v>694</v>
      </c>
      <c r="C419" s="5" t="s">
        <v>370</v>
      </c>
      <c r="D419" s="21" t="n">
        <v>2.179</v>
      </c>
      <c r="E419" s="23" t="n">
        <v>3</v>
      </c>
      <c r="F419" s="13" t="n">
        <f aca="false">INDEX(Machine_Rates!$C$5:$C$38,MATCH(C419,Machine_Rates!$A$5:$A$38,0))</f>
        <v>0</v>
      </c>
      <c r="G419" s="22" t="n">
        <f aca="false">D419*E419*F419</f>
        <v>0</v>
      </c>
    </row>
    <row r="420" customFormat="false" ht="15" hidden="false" customHeight="false" outlineLevel="0" collapsed="false">
      <c r="A420" s="5" t="s">
        <v>548</v>
      </c>
      <c r="B420" s="2" t="s">
        <v>694</v>
      </c>
      <c r="C420" s="5" t="s">
        <v>375</v>
      </c>
      <c r="D420" s="21" t="n">
        <v>0.735</v>
      </c>
      <c r="E420" s="23" t="n">
        <v>3</v>
      </c>
      <c r="F420" s="13" t="n">
        <f aca="false">INDEX(Machine_Rates!$C$5:$C$38,MATCH(C420,Machine_Rates!$A$5:$A$38,0))</f>
        <v>15.0115</v>
      </c>
      <c r="G420" s="22" t="n">
        <f aca="false">D420*E420*F420</f>
        <v>33.1003575</v>
      </c>
    </row>
    <row r="421" customFormat="false" ht="15" hidden="false" customHeight="false" outlineLevel="0" collapsed="false">
      <c r="A421" s="5" t="s">
        <v>548</v>
      </c>
      <c r="B421" s="2" t="s">
        <v>694</v>
      </c>
      <c r="C421" s="5" t="s">
        <v>367</v>
      </c>
      <c r="D421" s="21" t="n">
        <v>0.905</v>
      </c>
      <c r="E421" s="23" t="n">
        <v>3</v>
      </c>
      <c r="F421" s="13" t="n">
        <f aca="false">INDEX(Machine_Rates!$C$5:$C$38,MATCH(C421,Machine_Rates!$A$5:$A$38,0))</f>
        <v>37.1611</v>
      </c>
      <c r="G421" s="22" t="n">
        <f aca="false">D421*E421*F421</f>
        <v>100.8923865</v>
      </c>
    </row>
    <row r="422" customFormat="false" ht="15" hidden="false" customHeight="false" outlineLevel="0" collapsed="false">
      <c r="A422" s="5" t="s">
        <v>548</v>
      </c>
      <c r="B422" s="2" t="s">
        <v>694</v>
      </c>
      <c r="C422" s="5" t="s">
        <v>377</v>
      </c>
      <c r="D422" s="21" t="n">
        <v>1.556</v>
      </c>
      <c r="E422" s="23" t="n">
        <v>3</v>
      </c>
      <c r="F422" s="13" t="n">
        <f aca="false">INDEX(Machine_Rates!$C$5:$C$38,MATCH(C422,Machine_Rates!$A$5:$A$38,0))</f>
        <v>5.3171</v>
      </c>
      <c r="G422" s="22" t="n">
        <f aca="false">D422*E422*F422</f>
        <v>24.8202228</v>
      </c>
    </row>
    <row r="423" customFormat="false" ht="15" hidden="false" customHeight="false" outlineLevel="0" collapsed="false">
      <c r="A423" s="5" t="s">
        <v>548</v>
      </c>
      <c r="B423" s="2" t="s">
        <v>694</v>
      </c>
      <c r="C423" s="5" t="s">
        <v>355</v>
      </c>
      <c r="D423" s="21" t="n">
        <v>1.709</v>
      </c>
      <c r="E423" s="23" t="n">
        <v>1</v>
      </c>
      <c r="F423" s="13" t="n">
        <f aca="false">INDEX(Machine_Rates!$C$5:$C$38,MATCH(C423,Machine_Rates!$A$5:$A$38,0))</f>
        <v>16.82</v>
      </c>
      <c r="G423" s="22" t="n">
        <f aca="false">D423*E423*F423</f>
        <v>28.74538</v>
      </c>
    </row>
    <row r="424" customFormat="false" ht="15" hidden="false" customHeight="false" outlineLevel="0" collapsed="false">
      <c r="A424" s="5" t="s">
        <v>548</v>
      </c>
      <c r="B424" s="2" t="s">
        <v>694</v>
      </c>
      <c r="C424" s="5" t="s">
        <v>362</v>
      </c>
      <c r="D424" s="21" t="n">
        <v>1.443</v>
      </c>
      <c r="E424" s="23" t="n">
        <v>1</v>
      </c>
      <c r="F424" s="13" t="n">
        <f aca="false">INDEX(Machine_Rates!$C$5:$C$38,MATCH(C424,Machine_Rates!$A$5:$A$38,0))</f>
        <v>18.797</v>
      </c>
      <c r="G424" s="22" t="n">
        <f aca="false">D424*E424*F424</f>
        <v>27.124071</v>
      </c>
    </row>
    <row r="425" customFormat="false" ht="15" hidden="false" customHeight="false" outlineLevel="0" collapsed="false">
      <c r="A425" s="5" t="s">
        <v>548</v>
      </c>
      <c r="B425" s="2" t="s">
        <v>694</v>
      </c>
      <c r="C425" s="5" t="s">
        <v>355</v>
      </c>
      <c r="D425" s="21" t="n">
        <v>1.701</v>
      </c>
      <c r="E425" s="23" t="n">
        <v>1</v>
      </c>
      <c r="F425" s="13" t="n">
        <f aca="false">INDEX(Machine_Rates!$C$5:$C$38,MATCH(C425,Machine_Rates!$A$5:$A$38,0))</f>
        <v>16.82</v>
      </c>
      <c r="G425" s="22" t="n">
        <f aca="false">D425*E425*F425</f>
        <v>28.61082</v>
      </c>
    </row>
    <row r="426" customFormat="false" ht="15" hidden="false" customHeight="false" outlineLevel="0" collapsed="false">
      <c r="A426" s="5" t="s">
        <v>548</v>
      </c>
      <c r="B426" s="2" t="s">
        <v>694</v>
      </c>
      <c r="C426" s="5" t="s">
        <v>362</v>
      </c>
      <c r="D426" s="21" t="n">
        <v>1.587</v>
      </c>
      <c r="E426" s="23" t="n">
        <v>1</v>
      </c>
      <c r="F426" s="13" t="n">
        <f aca="false">INDEX(Machine_Rates!$C$5:$C$38,MATCH(C426,Machine_Rates!$A$5:$A$38,0))</f>
        <v>18.797</v>
      </c>
      <c r="G426" s="22" t="n">
        <f aca="false">D426*E426*F426</f>
        <v>29.830839</v>
      </c>
    </row>
    <row r="427" customFormat="false" ht="15" hidden="false" customHeight="false" outlineLevel="0" collapsed="false">
      <c r="A427" s="5" t="s">
        <v>550</v>
      </c>
      <c r="B427" s="2" t="s">
        <v>695</v>
      </c>
      <c r="C427" s="5" t="s">
        <v>370</v>
      </c>
      <c r="D427" s="21" t="n">
        <v>2.179</v>
      </c>
      <c r="E427" s="23" t="n">
        <v>3</v>
      </c>
      <c r="F427" s="13" t="n">
        <f aca="false">INDEX(Machine_Rates!$C$5:$C$38,MATCH(C427,Machine_Rates!$A$5:$A$38,0))</f>
        <v>0</v>
      </c>
      <c r="G427" s="22" t="n">
        <f aca="false">D427*E427*F427</f>
        <v>0</v>
      </c>
    </row>
    <row r="428" customFormat="false" ht="15" hidden="false" customHeight="false" outlineLevel="0" collapsed="false">
      <c r="A428" s="5" t="s">
        <v>550</v>
      </c>
      <c r="B428" s="2" t="s">
        <v>695</v>
      </c>
      <c r="C428" s="5" t="s">
        <v>375</v>
      </c>
      <c r="D428" s="21" t="n">
        <v>0.735</v>
      </c>
      <c r="E428" s="23" t="n">
        <v>3</v>
      </c>
      <c r="F428" s="13" t="n">
        <f aca="false">INDEX(Machine_Rates!$C$5:$C$38,MATCH(C428,Machine_Rates!$A$5:$A$38,0))</f>
        <v>15.0115</v>
      </c>
      <c r="G428" s="22" t="n">
        <f aca="false">D428*E428*F428</f>
        <v>33.1003575</v>
      </c>
    </row>
    <row r="429" customFormat="false" ht="15" hidden="false" customHeight="false" outlineLevel="0" collapsed="false">
      <c r="A429" s="5" t="s">
        <v>550</v>
      </c>
      <c r="B429" s="2" t="s">
        <v>695</v>
      </c>
      <c r="C429" s="5" t="s">
        <v>361</v>
      </c>
      <c r="D429" s="21" t="n">
        <v>0.592</v>
      </c>
      <c r="E429" s="23" t="n">
        <v>3</v>
      </c>
      <c r="F429" s="13" t="n">
        <f aca="false">INDEX(Machine_Rates!$C$5:$C$38,MATCH(C429,Machine_Rates!$A$5:$A$38,0))</f>
        <v>18.7972</v>
      </c>
      <c r="G429" s="22" t="n">
        <f aca="false">D429*E429*F429</f>
        <v>33.3838272</v>
      </c>
    </row>
    <row r="430" customFormat="false" ht="15" hidden="false" customHeight="false" outlineLevel="0" collapsed="false">
      <c r="A430" s="5" t="s">
        <v>550</v>
      </c>
      <c r="B430" s="2" t="s">
        <v>695</v>
      </c>
      <c r="C430" s="5" t="s">
        <v>356</v>
      </c>
      <c r="D430" s="21" t="n">
        <v>1.563</v>
      </c>
      <c r="E430" s="23" t="n">
        <v>1</v>
      </c>
      <c r="F430" s="13" t="n">
        <f aca="false">INDEX(Machine_Rates!$C$5:$C$38,MATCH(C430,Machine_Rates!$A$5:$A$38,0))</f>
        <v>16.82</v>
      </c>
      <c r="G430" s="22" t="n">
        <f aca="false">D430*E430*F430</f>
        <v>26.28966</v>
      </c>
    </row>
    <row r="431" customFormat="false" ht="15" hidden="false" customHeight="false" outlineLevel="0" collapsed="false">
      <c r="A431" s="5" t="s">
        <v>550</v>
      </c>
      <c r="B431" s="2" t="s">
        <v>695</v>
      </c>
      <c r="C431" s="5" t="s">
        <v>363</v>
      </c>
      <c r="D431" s="21" t="n">
        <v>1.184</v>
      </c>
      <c r="E431" s="23" t="n">
        <v>1</v>
      </c>
      <c r="F431" s="13" t="n">
        <f aca="false">INDEX(Machine_Rates!$C$5:$C$38,MATCH(C431,Machine_Rates!$A$5:$A$38,0))</f>
        <v>18.7974</v>
      </c>
      <c r="G431" s="22" t="n">
        <f aca="false">D431*E431*F431</f>
        <v>22.2561216</v>
      </c>
    </row>
    <row r="432" customFormat="false" ht="15" hidden="false" customHeight="false" outlineLevel="0" collapsed="false">
      <c r="A432" s="5" t="s">
        <v>550</v>
      </c>
      <c r="B432" s="2" t="s">
        <v>695</v>
      </c>
      <c r="C432" s="5" t="s">
        <v>356</v>
      </c>
      <c r="D432" s="21" t="n">
        <v>1.587</v>
      </c>
      <c r="E432" s="23" t="n">
        <v>1</v>
      </c>
      <c r="F432" s="13" t="n">
        <f aca="false">INDEX(Machine_Rates!$C$5:$C$38,MATCH(C432,Machine_Rates!$A$5:$A$38,0))</f>
        <v>16.82</v>
      </c>
      <c r="G432" s="22" t="n">
        <f aca="false">D432*E432*F432</f>
        <v>26.69334</v>
      </c>
    </row>
    <row r="433" customFormat="false" ht="15" hidden="false" customHeight="false" outlineLevel="0" collapsed="false">
      <c r="A433" s="5" t="s">
        <v>550</v>
      </c>
      <c r="B433" s="2" t="s">
        <v>695</v>
      </c>
      <c r="C433" s="5" t="s">
        <v>361</v>
      </c>
      <c r="D433" s="21" t="n">
        <v>1.543</v>
      </c>
      <c r="E433" s="23" t="n">
        <v>1</v>
      </c>
      <c r="F433" s="13" t="n">
        <f aca="false">INDEX(Machine_Rates!$C$5:$C$38,MATCH(C433,Machine_Rates!$A$5:$A$38,0))</f>
        <v>18.7972</v>
      </c>
      <c r="G433" s="22" t="n">
        <f aca="false">D433*E433*F433</f>
        <v>29.0040796</v>
      </c>
    </row>
    <row r="434" customFormat="false" ht="15" hidden="false" customHeight="false" outlineLevel="0" collapsed="false">
      <c r="A434" s="5" t="s">
        <v>552</v>
      </c>
      <c r="B434" s="2" t="s">
        <v>696</v>
      </c>
      <c r="C434" s="5" t="s">
        <v>370</v>
      </c>
      <c r="D434" s="21" t="n">
        <v>2.572</v>
      </c>
      <c r="E434" s="23" t="n">
        <v>3</v>
      </c>
      <c r="F434" s="13" t="n">
        <f aca="false">INDEX(Machine_Rates!$C$5:$C$38,MATCH(C434,Machine_Rates!$A$5:$A$38,0))</f>
        <v>0</v>
      </c>
      <c r="G434" s="22" t="n">
        <f aca="false">D434*E434*F434</f>
        <v>0</v>
      </c>
    </row>
    <row r="435" customFormat="false" ht="15" hidden="false" customHeight="false" outlineLevel="0" collapsed="false">
      <c r="A435" s="5" t="s">
        <v>552</v>
      </c>
      <c r="B435" s="2" t="s">
        <v>696</v>
      </c>
      <c r="C435" s="5" t="s">
        <v>375</v>
      </c>
      <c r="D435" s="21" t="n">
        <v>0.7</v>
      </c>
      <c r="E435" s="23" t="n">
        <v>3</v>
      </c>
      <c r="F435" s="13" t="n">
        <f aca="false">INDEX(Machine_Rates!$C$5:$C$38,MATCH(C435,Machine_Rates!$A$5:$A$38,0))</f>
        <v>15.0115</v>
      </c>
      <c r="G435" s="22" t="n">
        <f aca="false">D435*E435*F435</f>
        <v>31.52415</v>
      </c>
    </row>
    <row r="436" customFormat="false" ht="15" hidden="false" customHeight="false" outlineLevel="0" collapsed="false">
      <c r="A436" s="5" t="s">
        <v>552</v>
      </c>
      <c r="B436" s="2" t="s">
        <v>696</v>
      </c>
      <c r="C436" s="5" t="s">
        <v>361</v>
      </c>
      <c r="D436" s="21" t="n">
        <v>0.592</v>
      </c>
      <c r="E436" s="23" t="n">
        <v>3</v>
      </c>
      <c r="F436" s="13" t="n">
        <f aca="false">INDEX(Machine_Rates!$C$5:$C$38,MATCH(C436,Machine_Rates!$A$5:$A$38,0))</f>
        <v>18.7972</v>
      </c>
      <c r="G436" s="22" t="n">
        <f aca="false">D436*E436*F436</f>
        <v>33.3838272</v>
      </c>
    </row>
    <row r="437" customFormat="false" ht="15" hidden="false" customHeight="false" outlineLevel="0" collapsed="false">
      <c r="A437" s="5" t="s">
        <v>552</v>
      </c>
      <c r="B437" s="2" t="s">
        <v>696</v>
      </c>
      <c r="C437" s="5" t="s">
        <v>356</v>
      </c>
      <c r="D437" s="21" t="n">
        <v>1.603</v>
      </c>
      <c r="E437" s="23" t="n">
        <v>1</v>
      </c>
      <c r="F437" s="13" t="n">
        <f aca="false">INDEX(Machine_Rates!$C$5:$C$38,MATCH(C437,Machine_Rates!$A$5:$A$38,0))</f>
        <v>16.82</v>
      </c>
      <c r="G437" s="22" t="n">
        <f aca="false">D437*E437*F437</f>
        <v>26.96246</v>
      </c>
    </row>
    <row r="438" customFormat="false" ht="15" hidden="false" customHeight="false" outlineLevel="0" collapsed="false">
      <c r="A438" s="5" t="s">
        <v>552</v>
      </c>
      <c r="B438" s="2" t="s">
        <v>696</v>
      </c>
      <c r="C438" s="5" t="s">
        <v>363</v>
      </c>
      <c r="D438" s="21" t="n">
        <v>1.389</v>
      </c>
      <c r="E438" s="23" t="n">
        <v>1</v>
      </c>
      <c r="F438" s="13" t="n">
        <f aca="false">INDEX(Machine_Rates!$C$5:$C$38,MATCH(C438,Machine_Rates!$A$5:$A$38,0))</f>
        <v>18.7974</v>
      </c>
      <c r="G438" s="22" t="n">
        <f aca="false">D438*E438*F438</f>
        <v>26.1095886</v>
      </c>
    </row>
    <row r="439" customFormat="false" ht="15" hidden="false" customHeight="false" outlineLevel="0" collapsed="false">
      <c r="A439" s="5" t="s">
        <v>552</v>
      </c>
      <c r="B439" s="2" t="s">
        <v>696</v>
      </c>
      <c r="C439" s="5" t="s">
        <v>356</v>
      </c>
      <c r="D439" s="21" t="n">
        <v>1.671</v>
      </c>
      <c r="E439" s="23" t="n">
        <v>1</v>
      </c>
      <c r="F439" s="13" t="n">
        <f aca="false">INDEX(Machine_Rates!$C$5:$C$38,MATCH(C439,Machine_Rates!$A$5:$A$38,0))</f>
        <v>16.82</v>
      </c>
      <c r="G439" s="22" t="n">
        <f aca="false">D439*E439*F439</f>
        <v>28.10622</v>
      </c>
    </row>
    <row r="440" customFormat="false" ht="15" hidden="false" customHeight="false" outlineLevel="0" collapsed="false">
      <c r="A440" s="5" t="s">
        <v>552</v>
      </c>
      <c r="B440" s="2" t="s">
        <v>696</v>
      </c>
      <c r="C440" s="5" t="s">
        <v>361</v>
      </c>
      <c r="D440" s="21" t="n">
        <v>1.736</v>
      </c>
      <c r="E440" s="23" t="n">
        <v>1</v>
      </c>
      <c r="F440" s="13" t="n">
        <f aca="false">INDEX(Machine_Rates!$C$5:$C$38,MATCH(C440,Machine_Rates!$A$5:$A$38,0))</f>
        <v>18.7972</v>
      </c>
      <c r="G440" s="22" t="n">
        <f aca="false">D440*E440*F440</f>
        <v>32.6319392</v>
      </c>
    </row>
    <row r="441" customFormat="false" ht="15" hidden="false" customHeight="false" outlineLevel="0" collapsed="false">
      <c r="A441" s="5" t="s">
        <v>554</v>
      </c>
      <c r="B441" s="2" t="s">
        <v>697</v>
      </c>
      <c r="C441" s="5" t="s">
        <v>370</v>
      </c>
      <c r="D441" s="21" t="n">
        <v>0.827</v>
      </c>
      <c r="E441" s="23" t="n">
        <v>3</v>
      </c>
      <c r="F441" s="13" t="n">
        <f aca="false">INDEX(Machine_Rates!$C$5:$C$38,MATCH(C441,Machine_Rates!$A$5:$A$38,0))</f>
        <v>0</v>
      </c>
      <c r="G441" s="22" t="n">
        <f aca="false">D441*E441*F441</f>
        <v>0</v>
      </c>
    </row>
    <row r="442" customFormat="false" ht="15" hidden="false" customHeight="false" outlineLevel="0" collapsed="false">
      <c r="A442" s="5" t="s">
        <v>554</v>
      </c>
      <c r="B442" s="2" t="s">
        <v>697</v>
      </c>
      <c r="C442" s="5" t="s">
        <v>345</v>
      </c>
      <c r="D442" s="21" t="n">
        <v>0.289</v>
      </c>
      <c r="E442" s="23" t="n">
        <v>3</v>
      </c>
      <c r="F442" s="13" t="n">
        <f aca="false">INDEX(Machine_Rates!$C$5:$C$38,MATCH(C442,Machine_Rates!$A$5:$A$38,0))</f>
        <v>4.1336</v>
      </c>
      <c r="G442" s="22" t="n">
        <f aca="false">D442*E442*F442</f>
        <v>3.5838312</v>
      </c>
    </row>
    <row r="443" customFormat="false" ht="15" hidden="false" customHeight="false" outlineLevel="0" collapsed="false">
      <c r="A443" s="5" t="s">
        <v>554</v>
      </c>
      <c r="B443" s="2" t="s">
        <v>697</v>
      </c>
      <c r="C443" s="5" t="s">
        <v>365</v>
      </c>
      <c r="D443" s="21" t="n">
        <v>0.193</v>
      </c>
      <c r="E443" s="23" t="n">
        <v>3</v>
      </c>
      <c r="F443" s="13" t="n">
        <f aca="false">INDEX(Machine_Rates!$C$5:$C$38,MATCH(C443,Machine_Rates!$A$5:$A$38,0))</f>
        <v>10.9057</v>
      </c>
      <c r="G443" s="22" t="n">
        <f aca="false">D443*E443*F443</f>
        <v>6.3144003</v>
      </c>
    </row>
    <row r="444" customFormat="false" ht="15" hidden="false" customHeight="false" outlineLevel="0" collapsed="false">
      <c r="A444" s="5" t="s">
        <v>554</v>
      </c>
      <c r="B444" s="2" t="s">
        <v>697</v>
      </c>
      <c r="C444" s="5" t="s">
        <v>373</v>
      </c>
      <c r="D444" s="21" t="n">
        <v>0.686</v>
      </c>
      <c r="E444" s="23" t="n">
        <v>1</v>
      </c>
      <c r="F444" s="13" t="n">
        <f aca="false">INDEX(Machine_Rates!$C$5:$C$38,MATCH(C444,Machine_Rates!$A$5:$A$38,0))</f>
        <v>20.293</v>
      </c>
      <c r="G444" s="22" t="n">
        <f aca="false">D444*E444*F444</f>
        <v>13.920998</v>
      </c>
    </row>
    <row r="445" customFormat="false" ht="15" hidden="false" customHeight="false" outlineLevel="0" collapsed="false">
      <c r="A445" s="5" t="s">
        <v>554</v>
      </c>
      <c r="B445" s="2" t="s">
        <v>697</v>
      </c>
      <c r="C445" s="5" t="s">
        <v>365</v>
      </c>
      <c r="D445" s="21" t="n">
        <v>0.592</v>
      </c>
      <c r="E445" s="23" t="n">
        <v>1</v>
      </c>
      <c r="F445" s="13" t="n">
        <f aca="false">INDEX(Machine_Rates!$C$5:$C$38,MATCH(C445,Machine_Rates!$A$5:$A$38,0))</f>
        <v>10.9057</v>
      </c>
      <c r="G445" s="22" t="n">
        <f aca="false">D445*E445*F445</f>
        <v>6.4561744</v>
      </c>
    </row>
    <row r="446" customFormat="false" ht="15" hidden="false" customHeight="false" outlineLevel="0" collapsed="false">
      <c r="A446" s="5" t="s">
        <v>554</v>
      </c>
      <c r="B446" s="2" t="s">
        <v>697</v>
      </c>
      <c r="C446" s="5" t="s">
        <v>373</v>
      </c>
      <c r="D446" s="21" t="n">
        <v>0.846</v>
      </c>
      <c r="E446" s="23" t="n">
        <v>1</v>
      </c>
      <c r="F446" s="13" t="n">
        <f aca="false">INDEX(Machine_Rates!$C$5:$C$38,MATCH(C446,Machine_Rates!$A$5:$A$38,0))</f>
        <v>20.293</v>
      </c>
      <c r="G446" s="22" t="n">
        <f aca="false">D446*E446*F446</f>
        <v>17.167878</v>
      </c>
    </row>
    <row r="447" customFormat="false" ht="15" hidden="false" customHeight="false" outlineLevel="0" collapsed="false">
      <c r="A447" s="5" t="s">
        <v>554</v>
      </c>
      <c r="B447" s="2" t="s">
        <v>697</v>
      </c>
      <c r="C447" s="5" t="s">
        <v>360</v>
      </c>
      <c r="D447" s="21" t="n">
        <v>0.7</v>
      </c>
      <c r="E447" s="23" t="n">
        <v>1</v>
      </c>
      <c r="F447" s="13" t="n">
        <f aca="false">INDEX(Machine_Rates!$C$5:$C$38,MATCH(C447,Machine_Rates!$A$5:$A$38,0))</f>
        <v>12.3201</v>
      </c>
      <c r="G447" s="22" t="n">
        <f aca="false">D447*E447*F447</f>
        <v>8.62407</v>
      </c>
    </row>
    <row r="448" customFormat="false" ht="15" hidden="false" customHeight="false" outlineLevel="0" collapsed="false">
      <c r="A448" s="5" t="s">
        <v>556</v>
      </c>
      <c r="B448" s="2" t="s">
        <v>698</v>
      </c>
      <c r="C448" s="5" t="s">
        <v>370</v>
      </c>
      <c r="D448" s="21" t="n">
        <v>1.21</v>
      </c>
      <c r="E448" s="23" t="n">
        <v>3</v>
      </c>
      <c r="F448" s="13" t="n">
        <f aca="false">INDEX(Machine_Rates!$C$5:$C$38,MATCH(C448,Machine_Rates!$A$5:$A$38,0))</f>
        <v>0</v>
      </c>
      <c r="G448" s="22" t="n">
        <f aca="false">D448*E448*F448</f>
        <v>0</v>
      </c>
    </row>
    <row r="449" customFormat="false" ht="15" hidden="false" customHeight="false" outlineLevel="0" collapsed="false">
      <c r="A449" s="5" t="s">
        <v>556</v>
      </c>
      <c r="B449" s="2" t="s">
        <v>698</v>
      </c>
      <c r="C449" s="5" t="s">
        <v>375</v>
      </c>
      <c r="D449" s="21" t="n">
        <v>0.809</v>
      </c>
      <c r="E449" s="23" t="n">
        <v>3</v>
      </c>
      <c r="F449" s="13" t="n">
        <f aca="false">INDEX(Machine_Rates!$C$5:$C$38,MATCH(C449,Machine_Rates!$A$5:$A$38,0))</f>
        <v>15.0115</v>
      </c>
      <c r="G449" s="22" t="n">
        <f aca="false">D449*E449*F449</f>
        <v>36.4329105</v>
      </c>
    </row>
    <row r="450" customFormat="false" ht="15" hidden="false" customHeight="false" outlineLevel="0" collapsed="false">
      <c r="A450" s="5" t="s">
        <v>556</v>
      </c>
      <c r="B450" s="2" t="s">
        <v>698</v>
      </c>
      <c r="C450" s="5" t="s">
        <v>367</v>
      </c>
      <c r="D450" s="21" t="n">
        <v>1.093</v>
      </c>
      <c r="E450" s="23" t="n">
        <v>3</v>
      </c>
      <c r="F450" s="13" t="n">
        <f aca="false">INDEX(Machine_Rates!$C$5:$C$38,MATCH(C450,Machine_Rates!$A$5:$A$38,0))</f>
        <v>37.1611</v>
      </c>
      <c r="G450" s="22" t="n">
        <f aca="false">D450*E450*F450</f>
        <v>121.8512469</v>
      </c>
    </row>
    <row r="451" customFormat="false" ht="15" hidden="false" customHeight="false" outlineLevel="0" collapsed="false">
      <c r="A451" s="5" t="s">
        <v>556</v>
      </c>
      <c r="B451" s="2" t="s">
        <v>698</v>
      </c>
      <c r="C451" s="5" t="s">
        <v>377</v>
      </c>
      <c r="D451" s="21" t="n">
        <v>1.556</v>
      </c>
      <c r="E451" s="23" t="n">
        <v>3</v>
      </c>
      <c r="F451" s="13" t="n">
        <f aca="false">INDEX(Machine_Rates!$C$5:$C$38,MATCH(C451,Machine_Rates!$A$5:$A$38,0))</f>
        <v>5.3171</v>
      </c>
      <c r="G451" s="22" t="n">
        <f aca="false">D451*E451*F451</f>
        <v>24.8202228</v>
      </c>
    </row>
    <row r="452" customFormat="false" ht="15" hidden="false" customHeight="false" outlineLevel="0" collapsed="false">
      <c r="A452" s="5" t="s">
        <v>556</v>
      </c>
      <c r="B452" s="2" t="s">
        <v>698</v>
      </c>
      <c r="C452" s="5" t="s">
        <v>355</v>
      </c>
      <c r="D452" s="21" t="n">
        <v>1.832</v>
      </c>
      <c r="E452" s="23" t="n">
        <v>1</v>
      </c>
      <c r="F452" s="13" t="n">
        <f aca="false">INDEX(Machine_Rates!$C$5:$C$38,MATCH(C452,Machine_Rates!$A$5:$A$38,0))</f>
        <v>16.82</v>
      </c>
      <c r="G452" s="22" t="n">
        <f aca="false">D452*E452*F452</f>
        <v>30.81424</v>
      </c>
    </row>
    <row r="453" customFormat="false" ht="15" hidden="false" customHeight="false" outlineLevel="0" collapsed="false">
      <c r="A453" s="5" t="s">
        <v>556</v>
      </c>
      <c r="B453" s="2" t="s">
        <v>698</v>
      </c>
      <c r="C453" s="5" t="s">
        <v>362</v>
      </c>
      <c r="D453" s="21" t="n">
        <v>1.764</v>
      </c>
      <c r="E453" s="23" t="n">
        <v>1</v>
      </c>
      <c r="F453" s="13" t="n">
        <f aca="false">INDEX(Machine_Rates!$C$5:$C$38,MATCH(C453,Machine_Rates!$A$5:$A$38,0))</f>
        <v>18.797</v>
      </c>
      <c r="G453" s="22" t="n">
        <f aca="false">D453*E453*F453</f>
        <v>33.157908</v>
      </c>
    </row>
    <row r="454" customFormat="false" ht="15" hidden="false" customHeight="false" outlineLevel="0" collapsed="false">
      <c r="A454" s="5" t="s">
        <v>556</v>
      </c>
      <c r="B454" s="2" t="s">
        <v>698</v>
      </c>
      <c r="C454" s="5" t="s">
        <v>355</v>
      </c>
      <c r="D454" s="21" t="n">
        <v>2.442</v>
      </c>
      <c r="E454" s="23" t="n">
        <v>1</v>
      </c>
      <c r="F454" s="13" t="n">
        <f aca="false">INDEX(Machine_Rates!$C$5:$C$38,MATCH(C454,Machine_Rates!$A$5:$A$38,0))</f>
        <v>16.82</v>
      </c>
      <c r="G454" s="22" t="n">
        <f aca="false">D454*E454*F454</f>
        <v>41.07444</v>
      </c>
    </row>
    <row r="455" customFormat="false" ht="15" hidden="false" customHeight="false" outlineLevel="0" collapsed="false">
      <c r="A455" s="5" t="s">
        <v>556</v>
      </c>
      <c r="B455" s="2" t="s">
        <v>698</v>
      </c>
      <c r="C455" s="5" t="s">
        <v>362</v>
      </c>
      <c r="D455" s="21" t="n">
        <v>2.126</v>
      </c>
      <c r="E455" s="23" t="n">
        <v>1</v>
      </c>
      <c r="F455" s="13" t="n">
        <f aca="false">INDEX(Machine_Rates!$C$5:$C$38,MATCH(C455,Machine_Rates!$A$5:$A$38,0))</f>
        <v>18.797</v>
      </c>
      <c r="G455" s="22" t="n">
        <f aca="false">D455*E455*F455</f>
        <v>39.962422</v>
      </c>
    </row>
    <row r="456" customFormat="false" ht="15" hidden="false" customHeight="false" outlineLevel="0" collapsed="false">
      <c r="A456" s="5" t="s">
        <v>558</v>
      </c>
      <c r="B456" s="2" t="s">
        <v>699</v>
      </c>
      <c r="C456" s="5" t="s">
        <v>370</v>
      </c>
      <c r="D456" s="21" t="n">
        <v>1.21</v>
      </c>
      <c r="E456" s="23" t="n">
        <v>3</v>
      </c>
      <c r="F456" s="13" t="n">
        <f aca="false">INDEX(Machine_Rates!$C$5:$C$38,MATCH(C456,Machine_Rates!$A$5:$A$38,0))</f>
        <v>0</v>
      </c>
      <c r="G456" s="22" t="n">
        <f aca="false">D456*E456*F456</f>
        <v>0</v>
      </c>
    </row>
    <row r="457" customFormat="false" ht="15" hidden="false" customHeight="false" outlineLevel="0" collapsed="false">
      <c r="A457" s="5" t="s">
        <v>558</v>
      </c>
      <c r="B457" s="2" t="s">
        <v>699</v>
      </c>
      <c r="C457" s="5" t="s">
        <v>375</v>
      </c>
      <c r="D457" s="21" t="n">
        <v>0.809</v>
      </c>
      <c r="E457" s="23" t="n">
        <v>3</v>
      </c>
      <c r="F457" s="13" t="n">
        <f aca="false">INDEX(Machine_Rates!$C$5:$C$38,MATCH(C457,Machine_Rates!$A$5:$A$38,0))</f>
        <v>15.0115</v>
      </c>
      <c r="G457" s="22" t="n">
        <f aca="false">D457*E457*F457</f>
        <v>36.4329105</v>
      </c>
    </row>
    <row r="458" customFormat="false" ht="15" hidden="false" customHeight="false" outlineLevel="0" collapsed="false">
      <c r="A458" s="5" t="s">
        <v>558</v>
      </c>
      <c r="B458" s="2" t="s">
        <v>699</v>
      </c>
      <c r="C458" s="5" t="s">
        <v>361</v>
      </c>
      <c r="D458" s="21" t="n">
        <v>0.592</v>
      </c>
      <c r="E458" s="23" t="n">
        <v>3</v>
      </c>
      <c r="F458" s="13" t="n">
        <f aca="false">INDEX(Machine_Rates!$C$5:$C$38,MATCH(C458,Machine_Rates!$A$5:$A$38,0))</f>
        <v>18.7972</v>
      </c>
      <c r="G458" s="22" t="n">
        <f aca="false">D458*E458*F458</f>
        <v>33.3838272</v>
      </c>
    </row>
    <row r="459" customFormat="false" ht="15" hidden="false" customHeight="false" outlineLevel="0" collapsed="false">
      <c r="A459" s="5" t="s">
        <v>558</v>
      </c>
      <c r="B459" s="2" t="s">
        <v>699</v>
      </c>
      <c r="C459" s="5" t="s">
        <v>356</v>
      </c>
      <c r="D459" s="21" t="n">
        <v>1.852</v>
      </c>
      <c r="E459" s="23" t="n">
        <v>1</v>
      </c>
      <c r="F459" s="13" t="n">
        <f aca="false">INDEX(Machine_Rates!$C$5:$C$38,MATCH(C459,Machine_Rates!$A$5:$A$38,0))</f>
        <v>16.82</v>
      </c>
      <c r="G459" s="22" t="n">
        <f aca="false">D459*E459*F459</f>
        <v>31.15064</v>
      </c>
    </row>
    <row r="460" customFormat="false" ht="15" hidden="false" customHeight="false" outlineLevel="0" collapsed="false">
      <c r="A460" s="5" t="s">
        <v>558</v>
      </c>
      <c r="B460" s="2" t="s">
        <v>699</v>
      </c>
      <c r="C460" s="5" t="s">
        <v>363</v>
      </c>
      <c r="D460" s="21" t="n">
        <v>1.543</v>
      </c>
      <c r="E460" s="23" t="n">
        <v>1</v>
      </c>
      <c r="F460" s="13" t="n">
        <f aca="false">INDEX(Machine_Rates!$C$5:$C$38,MATCH(C460,Machine_Rates!$A$5:$A$38,0))</f>
        <v>18.7974</v>
      </c>
      <c r="G460" s="22" t="n">
        <f aca="false">D460*E460*F460</f>
        <v>29.0043882</v>
      </c>
    </row>
    <row r="461" customFormat="false" ht="15" hidden="false" customHeight="false" outlineLevel="0" collapsed="false">
      <c r="A461" s="5" t="s">
        <v>558</v>
      </c>
      <c r="B461" s="2" t="s">
        <v>699</v>
      </c>
      <c r="C461" s="5" t="s">
        <v>356</v>
      </c>
      <c r="D461" s="21" t="n">
        <v>1.899</v>
      </c>
      <c r="E461" s="23" t="n">
        <v>1</v>
      </c>
      <c r="F461" s="13" t="n">
        <f aca="false">INDEX(Machine_Rates!$C$5:$C$38,MATCH(C461,Machine_Rates!$A$5:$A$38,0))</f>
        <v>16.82</v>
      </c>
      <c r="G461" s="22" t="n">
        <f aca="false">D461*E461*F461</f>
        <v>31.94118</v>
      </c>
    </row>
    <row r="462" customFormat="false" ht="15" hidden="false" customHeight="false" outlineLevel="0" collapsed="false">
      <c r="A462" s="5" t="s">
        <v>558</v>
      </c>
      <c r="B462" s="2" t="s">
        <v>699</v>
      </c>
      <c r="C462" s="5" t="s">
        <v>361</v>
      </c>
      <c r="D462" s="21" t="n">
        <v>2.126</v>
      </c>
      <c r="E462" s="23" t="n">
        <v>1</v>
      </c>
      <c r="F462" s="13" t="n">
        <f aca="false">INDEX(Machine_Rates!$C$5:$C$38,MATCH(C462,Machine_Rates!$A$5:$A$38,0))</f>
        <v>18.7972</v>
      </c>
      <c r="G462" s="22" t="n">
        <f aca="false">D462*E462*F462</f>
        <v>39.9628472</v>
      </c>
    </row>
    <row r="463" customFormat="false" ht="15" hidden="false" customHeight="false" outlineLevel="0" collapsed="false">
      <c r="A463" s="5" t="s">
        <v>560</v>
      </c>
      <c r="B463" s="2" t="s">
        <v>700</v>
      </c>
      <c r="C463" s="5" t="s">
        <v>370</v>
      </c>
      <c r="D463" s="21" t="n">
        <v>2.179</v>
      </c>
      <c r="E463" s="23" t="n">
        <v>3</v>
      </c>
      <c r="F463" s="13" t="n">
        <f aca="false">INDEX(Machine_Rates!$C$5:$C$38,MATCH(C463,Machine_Rates!$A$5:$A$38,0))</f>
        <v>0</v>
      </c>
      <c r="G463" s="22" t="n">
        <f aca="false">D463*E463*F463</f>
        <v>0</v>
      </c>
    </row>
    <row r="464" customFormat="false" ht="15" hidden="false" customHeight="false" outlineLevel="0" collapsed="false">
      <c r="A464" s="5" t="s">
        <v>560</v>
      </c>
      <c r="B464" s="2" t="s">
        <v>700</v>
      </c>
      <c r="C464" s="5" t="s">
        <v>376</v>
      </c>
      <c r="D464" s="21" t="n">
        <v>0.701</v>
      </c>
      <c r="E464" s="23" t="n">
        <v>3</v>
      </c>
      <c r="F464" s="13" t="n">
        <f aca="false">INDEX(Machine_Rates!$C$5:$C$38,MATCH(C464,Machine_Rates!$A$5:$A$38,0))</f>
        <v>15.0109</v>
      </c>
      <c r="G464" s="22" t="n">
        <f aca="false">D464*E464*F464</f>
        <v>31.5679227</v>
      </c>
    </row>
    <row r="465" customFormat="false" ht="15" hidden="false" customHeight="false" outlineLevel="0" collapsed="false">
      <c r="A465" s="5" t="s">
        <v>560</v>
      </c>
      <c r="B465" s="2" t="s">
        <v>700</v>
      </c>
      <c r="C465" s="5" t="s">
        <v>367</v>
      </c>
      <c r="D465" s="21" t="n">
        <v>1.233</v>
      </c>
      <c r="E465" s="23" t="n">
        <v>3</v>
      </c>
      <c r="F465" s="13" t="n">
        <f aca="false">INDEX(Machine_Rates!$C$5:$C$38,MATCH(C465,Machine_Rates!$A$5:$A$38,0))</f>
        <v>37.1611</v>
      </c>
      <c r="G465" s="22" t="n">
        <f aca="false">D465*E465*F465</f>
        <v>137.4589089</v>
      </c>
    </row>
    <row r="466" customFormat="false" ht="15" hidden="false" customHeight="false" outlineLevel="0" collapsed="false">
      <c r="A466" s="5" t="s">
        <v>560</v>
      </c>
      <c r="B466" s="2" t="s">
        <v>700</v>
      </c>
      <c r="C466" s="5" t="s">
        <v>379</v>
      </c>
      <c r="D466" s="21" t="n">
        <v>1.613</v>
      </c>
      <c r="E466" s="23" t="n">
        <v>3</v>
      </c>
      <c r="F466" s="13" t="n">
        <f aca="false">INDEX(Machine_Rates!$C$5:$C$38,MATCH(C466,Machine_Rates!$A$5:$A$38,0))</f>
        <v>5.317</v>
      </c>
      <c r="G466" s="22" t="n">
        <f aca="false">D466*E466*F466</f>
        <v>25.728963</v>
      </c>
    </row>
    <row r="467" customFormat="false" ht="15" hidden="false" customHeight="false" outlineLevel="0" collapsed="false">
      <c r="A467" s="5" t="s">
        <v>560</v>
      </c>
      <c r="B467" s="2" t="s">
        <v>700</v>
      </c>
      <c r="C467" s="5" t="s">
        <v>355</v>
      </c>
      <c r="D467" s="21" t="n">
        <v>2.442</v>
      </c>
      <c r="E467" s="23" t="n">
        <v>1</v>
      </c>
      <c r="F467" s="13" t="n">
        <f aca="false">INDEX(Machine_Rates!$C$5:$C$38,MATCH(C467,Machine_Rates!$A$5:$A$38,0))</f>
        <v>16.82</v>
      </c>
      <c r="G467" s="22" t="n">
        <f aca="false">D467*E467*F467</f>
        <v>41.07444</v>
      </c>
    </row>
    <row r="468" customFormat="false" ht="15" hidden="false" customHeight="false" outlineLevel="0" collapsed="false">
      <c r="A468" s="5" t="s">
        <v>560</v>
      </c>
      <c r="B468" s="2" t="s">
        <v>700</v>
      </c>
      <c r="C468" s="5" t="s">
        <v>362</v>
      </c>
      <c r="D468" s="21" t="n">
        <v>2.126</v>
      </c>
      <c r="E468" s="23" t="n">
        <v>1</v>
      </c>
      <c r="F468" s="13" t="n">
        <f aca="false">INDEX(Machine_Rates!$C$5:$C$38,MATCH(C468,Machine_Rates!$A$5:$A$38,0))</f>
        <v>18.797</v>
      </c>
      <c r="G468" s="22" t="n">
        <f aca="false">D468*E468*F468</f>
        <v>39.962422</v>
      </c>
    </row>
    <row r="469" customFormat="false" ht="15" hidden="false" customHeight="false" outlineLevel="0" collapsed="false">
      <c r="A469" s="5" t="s">
        <v>560</v>
      </c>
      <c r="B469" s="2" t="s">
        <v>700</v>
      </c>
      <c r="C469" s="5" t="s">
        <v>355</v>
      </c>
      <c r="D469" s="21" t="n">
        <v>3.307</v>
      </c>
      <c r="E469" s="23" t="n">
        <v>1</v>
      </c>
      <c r="F469" s="13" t="n">
        <f aca="false">INDEX(Machine_Rates!$C$5:$C$38,MATCH(C469,Machine_Rates!$A$5:$A$38,0))</f>
        <v>16.82</v>
      </c>
      <c r="G469" s="22" t="n">
        <f aca="false">D469*E469*F469</f>
        <v>55.62374</v>
      </c>
    </row>
    <row r="470" customFormat="false" ht="15" hidden="false" customHeight="false" outlineLevel="0" collapsed="false">
      <c r="A470" s="5" t="s">
        <v>560</v>
      </c>
      <c r="B470" s="2" t="s">
        <v>700</v>
      </c>
      <c r="C470" s="5" t="s">
        <v>362</v>
      </c>
      <c r="D470" s="21" t="n">
        <v>2.616</v>
      </c>
      <c r="E470" s="23" t="n">
        <v>1</v>
      </c>
      <c r="F470" s="13" t="n">
        <f aca="false">INDEX(Machine_Rates!$C$5:$C$38,MATCH(C470,Machine_Rates!$A$5:$A$38,0))</f>
        <v>18.797</v>
      </c>
      <c r="G470" s="22" t="n">
        <f aca="false">D470*E470*F470</f>
        <v>49.172952</v>
      </c>
    </row>
    <row r="471" customFormat="false" ht="15" hidden="false" customHeight="false" outlineLevel="0" collapsed="false">
      <c r="A471" s="5" t="s">
        <v>562</v>
      </c>
      <c r="B471" s="2" t="s">
        <v>701</v>
      </c>
      <c r="C471" s="5" t="s">
        <v>370</v>
      </c>
      <c r="D471" s="21" t="n">
        <v>2.179</v>
      </c>
      <c r="E471" s="23" t="n">
        <v>3</v>
      </c>
      <c r="F471" s="13" t="n">
        <f aca="false">INDEX(Machine_Rates!$C$5:$C$38,MATCH(C471,Machine_Rates!$A$5:$A$38,0))</f>
        <v>0</v>
      </c>
      <c r="G471" s="22" t="n">
        <f aca="false">D471*E471*F471</f>
        <v>0</v>
      </c>
    </row>
    <row r="472" customFormat="false" ht="15" hidden="false" customHeight="false" outlineLevel="0" collapsed="false">
      <c r="A472" s="5" t="s">
        <v>562</v>
      </c>
      <c r="B472" s="2" t="s">
        <v>701</v>
      </c>
      <c r="C472" s="5" t="s">
        <v>376</v>
      </c>
      <c r="D472" s="21" t="n">
        <v>0.809</v>
      </c>
      <c r="E472" s="23" t="n">
        <v>3</v>
      </c>
      <c r="F472" s="13" t="n">
        <f aca="false">INDEX(Machine_Rates!$C$5:$C$38,MATCH(C472,Machine_Rates!$A$5:$A$38,0))</f>
        <v>15.0109</v>
      </c>
      <c r="G472" s="22" t="n">
        <f aca="false">D472*E472*F472</f>
        <v>36.4314543</v>
      </c>
    </row>
    <row r="473" customFormat="false" ht="15" hidden="false" customHeight="false" outlineLevel="0" collapsed="false">
      <c r="A473" s="5" t="s">
        <v>562</v>
      </c>
      <c r="B473" s="2" t="s">
        <v>701</v>
      </c>
      <c r="C473" s="5" t="s">
        <v>361</v>
      </c>
      <c r="D473" s="21" t="n">
        <v>0.7</v>
      </c>
      <c r="E473" s="23" t="n">
        <v>3</v>
      </c>
      <c r="F473" s="13" t="n">
        <f aca="false">INDEX(Machine_Rates!$C$5:$C$38,MATCH(C473,Machine_Rates!$A$5:$A$38,0))</f>
        <v>18.7972</v>
      </c>
      <c r="G473" s="22" t="n">
        <f aca="false">D473*E473*F473</f>
        <v>39.47412</v>
      </c>
    </row>
    <row r="474" customFormat="false" ht="15" hidden="false" customHeight="false" outlineLevel="0" collapsed="false">
      <c r="A474" s="5" t="s">
        <v>562</v>
      </c>
      <c r="B474" s="2" t="s">
        <v>701</v>
      </c>
      <c r="C474" s="5" t="s">
        <v>356</v>
      </c>
      <c r="D474" s="21" t="n">
        <v>2.469</v>
      </c>
      <c r="E474" s="23" t="n">
        <v>1</v>
      </c>
      <c r="F474" s="13" t="n">
        <f aca="false">INDEX(Machine_Rates!$C$5:$C$38,MATCH(C474,Machine_Rates!$A$5:$A$38,0))</f>
        <v>16.82</v>
      </c>
      <c r="G474" s="22" t="n">
        <f aca="false">D474*E474*F474</f>
        <v>41.52858</v>
      </c>
    </row>
    <row r="475" customFormat="false" ht="15" hidden="false" customHeight="false" outlineLevel="0" collapsed="false">
      <c r="A475" s="5" t="s">
        <v>562</v>
      </c>
      <c r="B475" s="2" t="s">
        <v>701</v>
      </c>
      <c r="C475" s="5" t="s">
        <v>363</v>
      </c>
      <c r="D475" s="21" t="n">
        <v>1.736</v>
      </c>
      <c r="E475" s="23" t="n">
        <v>1</v>
      </c>
      <c r="F475" s="13" t="n">
        <f aca="false">INDEX(Machine_Rates!$C$5:$C$38,MATCH(C475,Machine_Rates!$A$5:$A$38,0))</f>
        <v>18.7974</v>
      </c>
      <c r="G475" s="22" t="n">
        <f aca="false">D475*E475*F475</f>
        <v>32.6322864</v>
      </c>
    </row>
    <row r="476" customFormat="false" ht="15" hidden="false" customHeight="false" outlineLevel="0" collapsed="false">
      <c r="A476" s="5" t="s">
        <v>562</v>
      </c>
      <c r="B476" s="2" t="s">
        <v>701</v>
      </c>
      <c r="C476" s="5" t="s">
        <v>356</v>
      </c>
      <c r="D476" s="21" t="n">
        <v>2.205</v>
      </c>
      <c r="E476" s="23" t="n">
        <v>1</v>
      </c>
      <c r="F476" s="13" t="n">
        <f aca="false">INDEX(Machine_Rates!$C$5:$C$38,MATCH(C476,Machine_Rates!$A$5:$A$38,0))</f>
        <v>16.82</v>
      </c>
      <c r="G476" s="22" t="n">
        <f aca="false">D476*E476*F476</f>
        <v>37.0881</v>
      </c>
    </row>
    <row r="477" customFormat="false" ht="15" hidden="false" customHeight="false" outlineLevel="0" collapsed="false">
      <c r="A477" s="5" t="s">
        <v>562</v>
      </c>
      <c r="B477" s="2" t="s">
        <v>701</v>
      </c>
      <c r="C477" s="5" t="s">
        <v>361</v>
      </c>
      <c r="D477" s="21" t="n">
        <v>2.646</v>
      </c>
      <c r="E477" s="23" t="n">
        <v>1</v>
      </c>
      <c r="F477" s="13" t="n">
        <f aca="false">INDEX(Machine_Rates!$C$5:$C$38,MATCH(C477,Machine_Rates!$A$5:$A$38,0))</f>
        <v>18.7972</v>
      </c>
      <c r="G477" s="22" t="n">
        <f aca="false">D477*E477*F477</f>
        <v>49.7373912</v>
      </c>
    </row>
    <row r="478" customFormat="false" ht="15" hidden="false" customHeight="false" outlineLevel="0" collapsed="false">
      <c r="A478" s="5" t="s">
        <v>564</v>
      </c>
      <c r="B478" s="2" t="s">
        <v>702</v>
      </c>
      <c r="C478" s="5" t="s">
        <v>372</v>
      </c>
      <c r="D478" s="21" t="n">
        <v>1.102</v>
      </c>
      <c r="E478" s="23" t="n">
        <v>3</v>
      </c>
      <c r="F478" s="13" t="n">
        <f aca="false">INDEX(Machine_Rates!$C$5:$C$38,MATCH(C478,Machine_Rates!$A$5:$A$38,0))</f>
        <v>0</v>
      </c>
      <c r="G478" s="22" t="n">
        <f aca="false">D478*E478*F478</f>
        <v>0</v>
      </c>
    </row>
    <row r="479" customFormat="false" ht="15" hidden="false" customHeight="false" outlineLevel="0" collapsed="false">
      <c r="A479" s="5" t="s">
        <v>564</v>
      </c>
      <c r="B479" s="2" t="s">
        <v>702</v>
      </c>
      <c r="C479" s="5" t="s">
        <v>345</v>
      </c>
      <c r="D479" s="21" t="n">
        <v>0.229</v>
      </c>
      <c r="E479" s="23" t="n">
        <v>3</v>
      </c>
      <c r="F479" s="13" t="n">
        <f aca="false">INDEX(Machine_Rates!$C$5:$C$38,MATCH(C479,Machine_Rates!$A$5:$A$38,0))</f>
        <v>4.1336</v>
      </c>
      <c r="G479" s="22" t="n">
        <f aca="false">D479*E479*F479</f>
        <v>2.8397832</v>
      </c>
    </row>
    <row r="480" customFormat="false" ht="15" hidden="false" customHeight="false" outlineLevel="0" collapsed="false">
      <c r="A480" s="5" t="s">
        <v>564</v>
      </c>
      <c r="B480" s="2" t="s">
        <v>702</v>
      </c>
      <c r="C480" s="5" t="s">
        <v>365</v>
      </c>
      <c r="D480" s="21" t="n">
        <v>0.231</v>
      </c>
      <c r="E480" s="23" t="n">
        <v>3</v>
      </c>
      <c r="F480" s="13" t="n">
        <f aca="false">INDEX(Machine_Rates!$C$5:$C$38,MATCH(C480,Machine_Rates!$A$5:$A$38,0))</f>
        <v>10.9057</v>
      </c>
      <c r="G480" s="22" t="n">
        <f aca="false">D480*E480*F480</f>
        <v>7.5576501</v>
      </c>
    </row>
    <row r="481" customFormat="false" ht="15" hidden="false" customHeight="false" outlineLevel="0" collapsed="false">
      <c r="A481" s="5" t="s">
        <v>564</v>
      </c>
      <c r="B481" s="2" t="s">
        <v>702</v>
      </c>
      <c r="C481" s="5" t="s">
        <v>373</v>
      </c>
      <c r="D481" s="21" t="n">
        <v>1.184</v>
      </c>
      <c r="E481" s="23" t="n">
        <v>1</v>
      </c>
      <c r="F481" s="13" t="n">
        <f aca="false">INDEX(Machine_Rates!$C$5:$C$38,MATCH(C481,Machine_Rates!$A$5:$A$38,0))</f>
        <v>20.293</v>
      </c>
      <c r="G481" s="22" t="n">
        <f aca="false">D481*E481*F481</f>
        <v>24.026912</v>
      </c>
    </row>
    <row r="482" customFormat="false" ht="15" hidden="false" customHeight="false" outlineLevel="0" collapsed="false">
      <c r="A482" s="5" t="s">
        <v>564</v>
      </c>
      <c r="B482" s="2" t="s">
        <v>702</v>
      </c>
      <c r="C482" s="5" t="s">
        <v>359</v>
      </c>
      <c r="D482" s="21" t="n">
        <v>0.592</v>
      </c>
      <c r="E482" s="23" t="n">
        <v>1</v>
      </c>
      <c r="F482" s="13" t="n">
        <f aca="false">INDEX(Machine_Rates!$C$5:$C$38,MATCH(C482,Machine_Rates!$A$5:$A$38,0))</f>
        <v>13.1531</v>
      </c>
      <c r="G482" s="22" t="n">
        <f aca="false">D482*E482*F482</f>
        <v>7.7866352</v>
      </c>
    </row>
    <row r="483" customFormat="false" ht="15" hidden="false" customHeight="false" outlineLevel="0" collapsed="false">
      <c r="A483" s="5" t="s">
        <v>564</v>
      </c>
      <c r="B483" s="2" t="s">
        <v>702</v>
      </c>
      <c r="C483" s="5" t="s">
        <v>351</v>
      </c>
      <c r="D483" s="21" t="n">
        <v>1.452</v>
      </c>
      <c r="E483" s="23" t="n">
        <v>1</v>
      </c>
      <c r="F483" s="13" t="n">
        <f aca="false">INDEX(Machine_Rates!$C$5:$C$38,MATCH(C483,Machine_Rates!$A$5:$A$38,0))</f>
        <v>12.2442</v>
      </c>
      <c r="G483" s="22" t="n">
        <f aca="false">D483*E483*F483</f>
        <v>17.7785784</v>
      </c>
    </row>
    <row r="484" customFormat="false" ht="15" hidden="false" customHeight="false" outlineLevel="0" collapsed="false">
      <c r="A484" s="5" t="s">
        <v>564</v>
      </c>
      <c r="B484" s="2" t="s">
        <v>702</v>
      </c>
      <c r="C484" s="5" t="s">
        <v>359</v>
      </c>
      <c r="D484" s="21" t="n">
        <v>0.743</v>
      </c>
      <c r="E484" s="23" t="n">
        <v>1</v>
      </c>
      <c r="F484" s="13" t="n">
        <f aca="false">INDEX(Machine_Rates!$C$5:$C$38,MATCH(C484,Machine_Rates!$A$5:$A$38,0))</f>
        <v>13.1531</v>
      </c>
      <c r="G484" s="22" t="n">
        <f aca="false">D484*E484*F484</f>
        <v>9.7727533</v>
      </c>
    </row>
    <row r="485" customFormat="false" ht="15" hidden="false" customHeight="false" outlineLevel="0" collapsed="false">
      <c r="A485" s="5" t="s">
        <v>566</v>
      </c>
      <c r="B485" s="2" t="s">
        <v>703</v>
      </c>
      <c r="C485" s="5" t="s">
        <v>370</v>
      </c>
      <c r="D485" s="21" t="n">
        <v>1.21</v>
      </c>
      <c r="E485" s="23" t="n">
        <v>3</v>
      </c>
      <c r="F485" s="13" t="n">
        <f aca="false">INDEX(Machine_Rates!$C$5:$C$38,MATCH(C485,Machine_Rates!$A$5:$A$38,0))</f>
        <v>0</v>
      </c>
      <c r="G485" s="22" t="n">
        <f aca="false">D485*E485*F485</f>
        <v>0</v>
      </c>
    </row>
    <row r="486" customFormat="false" ht="15" hidden="false" customHeight="false" outlineLevel="0" collapsed="false">
      <c r="A486" s="5" t="s">
        <v>566</v>
      </c>
      <c r="B486" s="2" t="s">
        <v>703</v>
      </c>
      <c r="C486" s="5" t="s">
        <v>376</v>
      </c>
      <c r="D486" s="21" t="n">
        <v>1.307</v>
      </c>
      <c r="E486" s="23" t="n">
        <v>3</v>
      </c>
      <c r="F486" s="13" t="n">
        <f aca="false">INDEX(Machine_Rates!$C$5:$C$38,MATCH(C486,Machine_Rates!$A$5:$A$38,0))</f>
        <v>15.0109</v>
      </c>
      <c r="G486" s="22" t="n">
        <f aca="false">D486*E486*F486</f>
        <v>58.8577389</v>
      </c>
    </row>
    <row r="487" customFormat="false" ht="15" hidden="false" customHeight="false" outlineLevel="0" collapsed="false">
      <c r="A487" s="5" t="s">
        <v>566</v>
      </c>
      <c r="B487" s="2" t="s">
        <v>703</v>
      </c>
      <c r="C487" s="5" t="s">
        <v>366</v>
      </c>
      <c r="D487" s="21" t="n">
        <v>1.345</v>
      </c>
      <c r="E487" s="23" t="n">
        <v>3</v>
      </c>
      <c r="F487" s="13" t="n">
        <f aca="false">INDEX(Machine_Rates!$C$5:$C$38,MATCH(C487,Machine_Rates!$A$5:$A$38,0))</f>
        <v>37.161</v>
      </c>
      <c r="G487" s="22" t="n">
        <f aca="false">D487*E487*F487</f>
        <v>149.944635</v>
      </c>
    </row>
    <row r="488" customFormat="false" ht="15" hidden="false" customHeight="false" outlineLevel="0" collapsed="false">
      <c r="A488" s="5" t="s">
        <v>566</v>
      </c>
      <c r="B488" s="2" t="s">
        <v>703</v>
      </c>
      <c r="C488" s="5" t="s">
        <v>379</v>
      </c>
      <c r="D488" s="21" t="n">
        <v>1.613</v>
      </c>
      <c r="E488" s="23" t="n">
        <v>3</v>
      </c>
      <c r="F488" s="13" t="n">
        <f aca="false">INDEX(Machine_Rates!$C$5:$C$38,MATCH(C488,Machine_Rates!$A$5:$A$38,0))</f>
        <v>5.317</v>
      </c>
      <c r="G488" s="22" t="n">
        <f aca="false">D488*E488*F488</f>
        <v>25.728963</v>
      </c>
    </row>
    <row r="489" customFormat="false" ht="15" hidden="false" customHeight="false" outlineLevel="0" collapsed="false">
      <c r="A489" s="5" t="s">
        <v>566</v>
      </c>
      <c r="B489" s="2" t="s">
        <v>703</v>
      </c>
      <c r="C489" s="5" t="s">
        <v>355</v>
      </c>
      <c r="D489" s="21" t="n">
        <v>3.307</v>
      </c>
      <c r="E489" s="23" t="n">
        <v>1</v>
      </c>
      <c r="F489" s="13" t="n">
        <f aca="false">INDEX(Machine_Rates!$C$5:$C$38,MATCH(C489,Machine_Rates!$A$5:$A$38,0))</f>
        <v>16.82</v>
      </c>
      <c r="G489" s="22" t="n">
        <f aca="false">D489*E489*F489</f>
        <v>55.62374</v>
      </c>
    </row>
    <row r="490" customFormat="false" ht="15" hidden="false" customHeight="false" outlineLevel="0" collapsed="false">
      <c r="A490" s="5" t="s">
        <v>566</v>
      </c>
      <c r="B490" s="2" t="s">
        <v>703</v>
      </c>
      <c r="C490" s="5" t="s">
        <v>362</v>
      </c>
      <c r="D490" s="21" t="n">
        <v>2.43</v>
      </c>
      <c r="E490" s="23" t="n">
        <v>1</v>
      </c>
      <c r="F490" s="13" t="n">
        <f aca="false">INDEX(Machine_Rates!$C$5:$C$38,MATCH(C490,Machine_Rates!$A$5:$A$38,0))</f>
        <v>18.797</v>
      </c>
      <c r="G490" s="22" t="n">
        <f aca="false">D490*E490*F490</f>
        <v>45.67671</v>
      </c>
    </row>
    <row r="491" customFormat="false" ht="15" hidden="false" customHeight="false" outlineLevel="0" collapsed="false">
      <c r="A491" s="5" t="s">
        <v>566</v>
      </c>
      <c r="B491" s="2" t="s">
        <v>703</v>
      </c>
      <c r="C491" s="5" t="s">
        <v>355</v>
      </c>
      <c r="D491" s="21" t="n">
        <v>4.274</v>
      </c>
      <c r="E491" s="23" t="n">
        <v>1</v>
      </c>
      <c r="F491" s="13" t="n">
        <f aca="false">INDEX(Machine_Rates!$C$5:$C$38,MATCH(C491,Machine_Rates!$A$5:$A$38,0))</f>
        <v>16.82</v>
      </c>
      <c r="G491" s="22" t="n">
        <f aca="false">D491*E491*F491</f>
        <v>71.88868</v>
      </c>
    </row>
    <row r="492" customFormat="false" ht="15" hidden="false" customHeight="false" outlineLevel="0" collapsed="false">
      <c r="A492" s="5" t="s">
        <v>566</v>
      </c>
      <c r="B492" s="2" t="s">
        <v>703</v>
      </c>
      <c r="C492" s="5" t="s">
        <v>362</v>
      </c>
      <c r="D492" s="21" t="n">
        <v>3.034</v>
      </c>
      <c r="E492" s="23" t="n">
        <v>1</v>
      </c>
      <c r="F492" s="13" t="n">
        <f aca="false">INDEX(Machine_Rates!$C$5:$C$38,MATCH(C492,Machine_Rates!$A$5:$A$38,0))</f>
        <v>18.797</v>
      </c>
      <c r="G492" s="22" t="n">
        <f aca="false">D492*E492*F492</f>
        <v>57.030098</v>
      </c>
    </row>
    <row r="493" customFormat="false" ht="15" hidden="false" customHeight="false" outlineLevel="0" collapsed="false">
      <c r="A493" s="5" t="s">
        <v>568</v>
      </c>
      <c r="B493" s="2" t="s">
        <v>704</v>
      </c>
      <c r="C493" s="5" t="s">
        <v>370</v>
      </c>
      <c r="D493" s="21" t="n">
        <v>1.21</v>
      </c>
      <c r="E493" s="23" t="n">
        <v>3</v>
      </c>
      <c r="F493" s="13" t="n">
        <f aca="false">INDEX(Machine_Rates!$C$5:$C$38,MATCH(C493,Machine_Rates!$A$5:$A$38,0))</f>
        <v>0</v>
      </c>
      <c r="G493" s="22" t="n">
        <f aca="false">D493*E493*F493</f>
        <v>0</v>
      </c>
    </row>
    <row r="494" customFormat="false" ht="15" hidden="false" customHeight="false" outlineLevel="0" collapsed="false">
      <c r="A494" s="5" t="s">
        <v>568</v>
      </c>
      <c r="B494" s="2" t="s">
        <v>704</v>
      </c>
      <c r="C494" s="5" t="s">
        <v>376</v>
      </c>
      <c r="D494" s="21" t="n">
        <v>0.939</v>
      </c>
      <c r="E494" s="23" t="n">
        <v>3</v>
      </c>
      <c r="F494" s="13" t="n">
        <f aca="false">INDEX(Machine_Rates!$C$5:$C$38,MATCH(C494,Machine_Rates!$A$5:$A$38,0))</f>
        <v>15.0109</v>
      </c>
      <c r="G494" s="22" t="n">
        <f aca="false">D494*E494*F494</f>
        <v>42.2857053</v>
      </c>
    </row>
    <row r="495" customFormat="false" ht="15" hidden="false" customHeight="false" outlineLevel="0" collapsed="false">
      <c r="A495" s="5" t="s">
        <v>568</v>
      </c>
      <c r="B495" s="2" t="s">
        <v>704</v>
      </c>
      <c r="C495" s="5" t="s">
        <v>361</v>
      </c>
      <c r="D495" s="21" t="n">
        <v>1.218</v>
      </c>
      <c r="E495" s="23" t="n">
        <v>3</v>
      </c>
      <c r="F495" s="13" t="n">
        <f aca="false">INDEX(Machine_Rates!$C$5:$C$38,MATCH(C495,Machine_Rates!$A$5:$A$38,0))</f>
        <v>18.7972</v>
      </c>
      <c r="G495" s="22" t="n">
        <f aca="false">D495*E495*F495</f>
        <v>68.6849688</v>
      </c>
    </row>
    <row r="496" customFormat="false" ht="15" hidden="false" customHeight="false" outlineLevel="0" collapsed="false">
      <c r="A496" s="5" t="s">
        <v>568</v>
      </c>
      <c r="B496" s="2" t="s">
        <v>704</v>
      </c>
      <c r="C496" s="5" t="s">
        <v>356</v>
      </c>
      <c r="D496" s="21" t="n">
        <v>3.307</v>
      </c>
      <c r="E496" s="23" t="n">
        <v>1</v>
      </c>
      <c r="F496" s="13" t="n">
        <f aca="false">INDEX(Machine_Rates!$C$5:$C$38,MATCH(C496,Machine_Rates!$A$5:$A$38,0))</f>
        <v>16.82</v>
      </c>
      <c r="G496" s="22" t="n">
        <f aca="false">D496*E496*F496</f>
        <v>55.62374</v>
      </c>
    </row>
    <row r="497" customFormat="false" ht="15" hidden="false" customHeight="false" outlineLevel="0" collapsed="false">
      <c r="A497" s="5" t="s">
        <v>568</v>
      </c>
      <c r="B497" s="2" t="s">
        <v>704</v>
      </c>
      <c r="C497" s="5" t="s">
        <v>363</v>
      </c>
      <c r="D497" s="21" t="n">
        <v>2.126</v>
      </c>
      <c r="E497" s="23" t="n">
        <v>1</v>
      </c>
      <c r="F497" s="13" t="n">
        <f aca="false">INDEX(Machine_Rates!$C$5:$C$38,MATCH(C497,Machine_Rates!$A$5:$A$38,0))</f>
        <v>18.7974</v>
      </c>
      <c r="G497" s="22" t="n">
        <f aca="false">D497*E497*F497</f>
        <v>39.9632724</v>
      </c>
    </row>
    <row r="498" customFormat="false" ht="15" hidden="false" customHeight="false" outlineLevel="0" collapsed="false">
      <c r="A498" s="5" t="s">
        <v>568</v>
      </c>
      <c r="B498" s="2" t="s">
        <v>704</v>
      </c>
      <c r="C498" s="5" t="s">
        <v>356</v>
      </c>
      <c r="D498" s="21" t="n">
        <v>2.48</v>
      </c>
      <c r="E498" s="23" t="n">
        <v>1</v>
      </c>
      <c r="F498" s="13" t="n">
        <f aca="false">INDEX(Machine_Rates!$C$5:$C$38,MATCH(C498,Machine_Rates!$A$5:$A$38,0))</f>
        <v>16.82</v>
      </c>
      <c r="G498" s="22" t="n">
        <f aca="false">D498*E498*F498</f>
        <v>41.7136</v>
      </c>
    </row>
    <row r="499" customFormat="false" ht="15" hidden="false" customHeight="false" outlineLevel="0" collapsed="false">
      <c r="A499" s="5" t="s">
        <v>568</v>
      </c>
      <c r="B499" s="2" t="s">
        <v>704</v>
      </c>
      <c r="C499" s="5" t="s">
        <v>361</v>
      </c>
      <c r="D499" s="21" t="n">
        <v>3.175</v>
      </c>
      <c r="E499" s="23" t="n">
        <v>1</v>
      </c>
      <c r="F499" s="13" t="n">
        <f aca="false">INDEX(Machine_Rates!$C$5:$C$38,MATCH(C499,Machine_Rates!$A$5:$A$38,0))</f>
        <v>18.7972</v>
      </c>
      <c r="G499" s="22" t="n">
        <f aca="false">D499*E499*F499</f>
        <v>59.68111</v>
      </c>
    </row>
    <row r="500" customFormat="false" ht="15" hidden="false" customHeight="false" outlineLevel="0" collapsed="false">
      <c r="A500" s="5" t="s">
        <v>570</v>
      </c>
      <c r="B500" s="2" t="s">
        <v>705</v>
      </c>
      <c r="C500" s="5" t="s">
        <v>372</v>
      </c>
      <c r="D500" s="21" t="n">
        <v>1.102</v>
      </c>
      <c r="E500" s="23" t="n">
        <v>3</v>
      </c>
      <c r="F500" s="13" t="n">
        <f aca="false">INDEX(Machine_Rates!$C$5:$C$38,MATCH(C500,Machine_Rates!$A$5:$A$38,0))</f>
        <v>0</v>
      </c>
      <c r="G500" s="22" t="n">
        <f aca="false">D500*E500*F500</f>
        <v>0</v>
      </c>
    </row>
    <row r="501" customFormat="false" ht="15" hidden="false" customHeight="false" outlineLevel="0" collapsed="false">
      <c r="A501" s="5" t="s">
        <v>570</v>
      </c>
      <c r="B501" s="2" t="s">
        <v>705</v>
      </c>
      <c r="C501" s="5" t="s">
        <v>345</v>
      </c>
      <c r="D501" s="21" t="n">
        <v>0.205</v>
      </c>
      <c r="E501" s="23" t="n">
        <v>3</v>
      </c>
      <c r="F501" s="13" t="n">
        <f aca="false">INDEX(Machine_Rates!$C$5:$C$38,MATCH(C501,Machine_Rates!$A$5:$A$38,0))</f>
        <v>4.1336</v>
      </c>
      <c r="G501" s="22" t="n">
        <f aca="false">D501*E501*F501</f>
        <v>2.542164</v>
      </c>
    </row>
    <row r="502" customFormat="false" ht="15" hidden="false" customHeight="false" outlineLevel="0" collapsed="false">
      <c r="A502" s="5" t="s">
        <v>570</v>
      </c>
      <c r="B502" s="2" t="s">
        <v>705</v>
      </c>
      <c r="C502" s="5" t="s">
        <v>367</v>
      </c>
      <c r="D502" s="21" t="n">
        <v>0.557</v>
      </c>
      <c r="E502" s="23" t="n">
        <v>3</v>
      </c>
      <c r="F502" s="13" t="n">
        <f aca="false">INDEX(Machine_Rates!$C$5:$C$38,MATCH(C502,Machine_Rates!$A$5:$A$38,0))</f>
        <v>37.1611</v>
      </c>
      <c r="G502" s="22" t="n">
        <f aca="false">D502*E502*F502</f>
        <v>62.0961981</v>
      </c>
    </row>
    <row r="503" customFormat="false" ht="15" hidden="false" customHeight="false" outlineLevel="0" collapsed="false">
      <c r="A503" s="5" t="s">
        <v>570</v>
      </c>
      <c r="B503" s="2" t="s">
        <v>705</v>
      </c>
      <c r="C503" s="5" t="s">
        <v>377</v>
      </c>
      <c r="D503" s="21" t="n">
        <v>1.286</v>
      </c>
      <c r="E503" s="23" t="n">
        <v>3</v>
      </c>
      <c r="F503" s="13" t="n">
        <f aca="false">INDEX(Machine_Rates!$C$5:$C$38,MATCH(C503,Machine_Rates!$A$5:$A$38,0))</f>
        <v>5.3171</v>
      </c>
      <c r="G503" s="22" t="n">
        <f aca="false">D503*E503*F503</f>
        <v>20.5133718</v>
      </c>
    </row>
    <row r="504" customFormat="false" ht="15" hidden="false" customHeight="false" outlineLevel="0" collapsed="false">
      <c r="A504" s="5" t="s">
        <v>570</v>
      </c>
      <c r="B504" s="2" t="s">
        <v>705</v>
      </c>
      <c r="C504" s="5" t="s">
        <v>353</v>
      </c>
      <c r="D504" s="21" t="n">
        <v>1.302</v>
      </c>
      <c r="E504" s="23" t="n">
        <v>1</v>
      </c>
      <c r="F504" s="13" t="n">
        <f aca="false">INDEX(Machine_Rates!$C$5:$C$38,MATCH(C504,Machine_Rates!$A$5:$A$38,0))</f>
        <v>16.82</v>
      </c>
      <c r="G504" s="22" t="n">
        <f aca="false">D504*E504*F504</f>
        <v>21.89964</v>
      </c>
    </row>
    <row r="505" customFormat="false" ht="15" hidden="false" customHeight="false" outlineLevel="0" collapsed="false">
      <c r="A505" s="5" t="s">
        <v>570</v>
      </c>
      <c r="B505" s="2" t="s">
        <v>705</v>
      </c>
      <c r="C505" s="5" t="s">
        <v>362</v>
      </c>
      <c r="D505" s="21" t="n">
        <v>0.868</v>
      </c>
      <c r="E505" s="23" t="n">
        <v>1</v>
      </c>
      <c r="F505" s="13" t="n">
        <f aca="false">INDEX(Machine_Rates!$C$5:$C$38,MATCH(C505,Machine_Rates!$A$5:$A$38,0))</f>
        <v>18.797</v>
      </c>
      <c r="G505" s="22" t="n">
        <f aca="false">D505*E505*F505</f>
        <v>16.315796</v>
      </c>
    </row>
    <row r="506" customFormat="false" ht="15" hidden="false" customHeight="false" outlineLevel="0" collapsed="false">
      <c r="A506" s="5" t="s">
        <v>570</v>
      </c>
      <c r="B506" s="2" t="s">
        <v>705</v>
      </c>
      <c r="C506" s="5" t="s">
        <v>353</v>
      </c>
      <c r="D506" s="21" t="n">
        <v>1.481</v>
      </c>
      <c r="E506" s="23" t="n">
        <v>1</v>
      </c>
      <c r="F506" s="13" t="n">
        <f aca="false">INDEX(Machine_Rates!$C$5:$C$38,MATCH(C506,Machine_Rates!$A$5:$A$38,0))</f>
        <v>16.82</v>
      </c>
      <c r="G506" s="22" t="n">
        <f aca="false">D506*E506*F506</f>
        <v>24.91042</v>
      </c>
    </row>
    <row r="507" customFormat="false" ht="15" hidden="false" customHeight="false" outlineLevel="0" collapsed="false">
      <c r="A507" s="5" t="s">
        <v>570</v>
      </c>
      <c r="B507" s="2" t="s">
        <v>705</v>
      </c>
      <c r="C507" s="5" t="s">
        <v>362</v>
      </c>
      <c r="D507" s="21" t="n">
        <v>0.926</v>
      </c>
      <c r="E507" s="23" t="n">
        <v>1</v>
      </c>
      <c r="F507" s="13" t="n">
        <f aca="false">INDEX(Machine_Rates!$C$5:$C$38,MATCH(C507,Machine_Rates!$A$5:$A$38,0))</f>
        <v>18.797</v>
      </c>
      <c r="G507" s="22" t="n">
        <f aca="false">D507*E507*F507</f>
        <v>17.406022</v>
      </c>
    </row>
    <row r="508" customFormat="false" ht="15" hidden="false" customHeight="false" outlineLevel="0" collapsed="false">
      <c r="A508" s="5" t="s">
        <v>572</v>
      </c>
      <c r="B508" s="2" t="s">
        <v>706</v>
      </c>
      <c r="C508" s="5" t="s">
        <v>372</v>
      </c>
      <c r="D508" s="21" t="n">
        <v>1.102</v>
      </c>
      <c r="E508" s="23" t="n">
        <v>3</v>
      </c>
      <c r="F508" s="13" t="n">
        <f aca="false">INDEX(Machine_Rates!$C$5:$C$38,MATCH(C508,Machine_Rates!$A$5:$A$38,0))</f>
        <v>0</v>
      </c>
      <c r="G508" s="22" t="n">
        <f aca="false">D508*E508*F508</f>
        <v>0</v>
      </c>
    </row>
    <row r="509" customFormat="false" ht="15" hidden="false" customHeight="false" outlineLevel="0" collapsed="false">
      <c r="A509" s="5" t="s">
        <v>572</v>
      </c>
      <c r="B509" s="2" t="s">
        <v>706</v>
      </c>
      <c r="C509" s="5" t="s">
        <v>345</v>
      </c>
      <c r="D509" s="21" t="n">
        <v>0.229</v>
      </c>
      <c r="E509" s="23" t="n">
        <v>3</v>
      </c>
      <c r="F509" s="13" t="n">
        <f aca="false">INDEX(Machine_Rates!$C$5:$C$38,MATCH(C509,Machine_Rates!$A$5:$A$38,0))</f>
        <v>4.1336</v>
      </c>
      <c r="G509" s="22" t="n">
        <f aca="false">D509*E509*F509</f>
        <v>2.8397832</v>
      </c>
    </row>
    <row r="510" customFormat="false" ht="15" hidden="false" customHeight="false" outlineLevel="0" collapsed="false">
      <c r="A510" s="5" t="s">
        <v>572</v>
      </c>
      <c r="B510" s="2" t="s">
        <v>706</v>
      </c>
      <c r="C510" s="5" t="s">
        <v>365</v>
      </c>
      <c r="D510" s="21" t="n">
        <v>0.257</v>
      </c>
      <c r="E510" s="23" t="n">
        <v>3</v>
      </c>
      <c r="F510" s="13" t="n">
        <f aca="false">INDEX(Machine_Rates!$C$5:$C$38,MATCH(C510,Machine_Rates!$A$5:$A$38,0))</f>
        <v>10.9057</v>
      </c>
      <c r="G510" s="22" t="n">
        <f aca="false">D510*E510*F510</f>
        <v>8.4082947</v>
      </c>
    </row>
    <row r="511" customFormat="false" ht="15" hidden="false" customHeight="false" outlineLevel="0" collapsed="false">
      <c r="A511" s="5" t="s">
        <v>572</v>
      </c>
      <c r="B511" s="2" t="s">
        <v>706</v>
      </c>
      <c r="C511" s="5" t="s">
        <v>351</v>
      </c>
      <c r="D511" s="21" t="n">
        <v>1.48</v>
      </c>
      <c r="E511" s="23" t="n">
        <v>1</v>
      </c>
      <c r="F511" s="13" t="n">
        <f aca="false">INDEX(Machine_Rates!$C$5:$C$38,MATCH(C511,Machine_Rates!$A$5:$A$38,0))</f>
        <v>12.2442</v>
      </c>
      <c r="G511" s="22" t="n">
        <f aca="false">D511*E511*F511</f>
        <v>18.121416</v>
      </c>
    </row>
    <row r="512" customFormat="false" ht="15" hidden="false" customHeight="false" outlineLevel="0" collapsed="false">
      <c r="A512" s="5" t="s">
        <v>572</v>
      </c>
      <c r="B512" s="2" t="s">
        <v>706</v>
      </c>
      <c r="C512" s="5" t="s">
        <v>359</v>
      </c>
      <c r="D512" s="21" t="n">
        <v>0.623</v>
      </c>
      <c r="E512" s="23" t="n">
        <v>1</v>
      </c>
      <c r="F512" s="13" t="n">
        <f aca="false">INDEX(Machine_Rates!$C$5:$C$38,MATCH(C512,Machine_Rates!$A$5:$A$38,0))</f>
        <v>13.1531</v>
      </c>
      <c r="G512" s="22" t="n">
        <f aca="false">D512*E512*F512</f>
        <v>8.1943813</v>
      </c>
    </row>
    <row r="513" customFormat="false" ht="15" hidden="false" customHeight="false" outlineLevel="0" collapsed="false">
      <c r="A513" s="5" t="s">
        <v>572</v>
      </c>
      <c r="B513" s="2" t="s">
        <v>706</v>
      </c>
      <c r="C513" s="5" t="s">
        <v>351</v>
      </c>
      <c r="D513" s="21" t="n">
        <v>1.452</v>
      </c>
      <c r="E513" s="23" t="n">
        <v>1</v>
      </c>
      <c r="F513" s="13" t="n">
        <f aca="false">INDEX(Machine_Rates!$C$5:$C$38,MATCH(C513,Machine_Rates!$A$5:$A$38,0))</f>
        <v>12.2442</v>
      </c>
      <c r="G513" s="22" t="n">
        <f aca="false">D513*E513*F513</f>
        <v>17.7785784</v>
      </c>
    </row>
    <row r="514" customFormat="false" ht="15" hidden="false" customHeight="false" outlineLevel="0" collapsed="false">
      <c r="A514" s="5" t="s">
        <v>572</v>
      </c>
      <c r="B514" s="2" t="s">
        <v>706</v>
      </c>
      <c r="C514" s="5" t="s">
        <v>359</v>
      </c>
      <c r="D514" s="21" t="n">
        <v>0.977</v>
      </c>
      <c r="E514" s="23" t="n">
        <v>1</v>
      </c>
      <c r="F514" s="13" t="n">
        <f aca="false">INDEX(Machine_Rates!$C$5:$C$38,MATCH(C514,Machine_Rates!$A$5:$A$38,0))</f>
        <v>13.1531</v>
      </c>
      <c r="G514" s="22" t="n">
        <f aca="false">D514*E514*F514</f>
        <v>12.8505787</v>
      </c>
    </row>
    <row r="515" customFormat="false" ht="15" hidden="false" customHeight="false" outlineLevel="0" collapsed="false">
      <c r="A515" s="5" t="s">
        <v>574</v>
      </c>
      <c r="B515" s="2" t="s">
        <v>707</v>
      </c>
      <c r="C515" s="5" t="s">
        <v>370</v>
      </c>
      <c r="D515" s="21" t="n">
        <v>1.006</v>
      </c>
      <c r="E515" s="23" t="n">
        <v>3</v>
      </c>
      <c r="F515" s="13" t="n">
        <f aca="false">INDEX(Machine_Rates!$C$5:$C$38,MATCH(C515,Machine_Rates!$A$5:$A$38,0))</f>
        <v>0</v>
      </c>
      <c r="G515" s="22" t="n">
        <f aca="false">D515*E515*F515</f>
        <v>0</v>
      </c>
    </row>
    <row r="516" customFormat="false" ht="15" hidden="false" customHeight="false" outlineLevel="0" collapsed="false">
      <c r="A516" s="5" t="s">
        <v>574</v>
      </c>
      <c r="B516" s="2" t="s">
        <v>707</v>
      </c>
      <c r="C516" s="5" t="s">
        <v>345</v>
      </c>
      <c r="D516" s="21" t="n">
        <v>0.176</v>
      </c>
      <c r="E516" s="23" t="n">
        <v>3</v>
      </c>
      <c r="F516" s="13" t="n">
        <f aca="false">INDEX(Machine_Rates!$C$5:$C$38,MATCH(C516,Machine_Rates!$A$5:$A$38,0))</f>
        <v>4.1336</v>
      </c>
      <c r="G516" s="22" t="n">
        <f aca="false">D516*E516*F516</f>
        <v>2.1825408</v>
      </c>
    </row>
    <row r="517" customFormat="false" ht="15" hidden="false" customHeight="false" outlineLevel="0" collapsed="false">
      <c r="A517" s="5" t="s">
        <v>574</v>
      </c>
      <c r="B517" s="2" t="s">
        <v>707</v>
      </c>
      <c r="C517" s="5" t="s">
        <v>367</v>
      </c>
      <c r="D517" s="21" t="n">
        <v>1.014</v>
      </c>
      <c r="E517" s="23" t="n">
        <v>3</v>
      </c>
      <c r="F517" s="13" t="n">
        <f aca="false">INDEX(Machine_Rates!$C$5:$C$38,MATCH(C517,Machine_Rates!$A$5:$A$38,0))</f>
        <v>37.1611</v>
      </c>
      <c r="G517" s="22" t="n">
        <f aca="false">D517*E517*F517</f>
        <v>113.0440662</v>
      </c>
    </row>
    <row r="518" customFormat="false" ht="15" hidden="false" customHeight="false" outlineLevel="0" collapsed="false">
      <c r="A518" s="5" t="s">
        <v>574</v>
      </c>
      <c r="B518" s="2" t="s">
        <v>707</v>
      </c>
      <c r="C518" s="5" t="s">
        <v>377</v>
      </c>
      <c r="D518" s="21" t="n">
        <v>1.403</v>
      </c>
      <c r="E518" s="23" t="n">
        <v>3</v>
      </c>
      <c r="F518" s="13" t="n">
        <f aca="false">INDEX(Machine_Rates!$C$5:$C$38,MATCH(C518,Machine_Rates!$A$5:$A$38,0))</f>
        <v>5.3171</v>
      </c>
      <c r="G518" s="22" t="n">
        <f aca="false">D518*E518*F518</f>
        <v>22.3796739</v>
      </c>
    </row>
    <row r="519" customFormat="false" ht="15" hidden="false" customHeight="false" outlineLevel="0" collapsed="false">
      <c r="A519" s="5" t="s">
        <v>574</v>
      </c>
      <c r="B519" s="2" t="s">
        <v>707</v>
      </c>
      <c r="C519" s="5" t="s">
        <v>353</v>
      </c>
      <c r="D519" s="21" t="n">
        <v>1.559</v>
      </c>
      <c r="E519" s="23" t="n">
        <v>1</v>
      </c>
      <c r="F519" s="13" t="n">
        <f aca="false">INDEX(Machine_Rates!$C$5:$C$38,MATCH(C519,Machine_Rates!$A$5:$A$38,0))</f>
        <v>16.82</v>
      </c>
      <c r="G519" s="22" t="n">
        <f aca="false">D519*E519*F519</f>
        <v>26.22238</v>
      </c>
    </row>
    <row r="520" customFormat="false" ht="15" hidden="false" customHeight="false" outlineLevel="0" collapsed="false">
      <c r="A520" s="5" t="s">
        <v>574</v>
      </c>
      <c r="B520" s="2" t="s">
        <v>707</v>
      </c>
      <c r="C520" s="5" t="s">
        <v>362</v>
      </c>
      <c r="D520" s="21" t="n">
        <v>1.063</v>
      </c>
      <c r="E520" s="23" t="n">
        <v>1</v>
      </c>
      <c r="F520" s="13" t="n">
        <f aca="false">INDEX(Machine_Rates!$C$5:$C$38,MATCH(C520,Machine_Rates!$A$5:$A$38,0))</f>
        <v>18.797</v>
      </c>
      <c r="G520" s="22" t="n">
        <f aca="false">D520*E520*F520</f>
        <v>19.981211</v>
      </c>
    </row>
    <row r="521" customFormat="false" ht="15" hidden="false" customHeight="false" outlineLevel="0" collapsed="false">
      <c r="A521" s="5" t="s">
        <v>574</v>
      </c>
      <c r="B521" s="2" t="s">
        <v>707</v>
      </c>
      <c r="C521" s="5" t="s">
        <v>353</v>
      </c>
      <c r="D521" s="21" t="n">
        <v>1.701</v>
      </c>
      <c r="E521" s="23" t="n">
        <v>1</v>
      </c>
      <c r="F521" s="13" t="n">
        <f aca="false">INDEX(Machine_Rates!$C$5:$C$38,MATCH(C521,Machine_Rates!$A$5:$A$38,0))</f>
        <v>16.82</v>
      </c>
      <c r="G521" s="22" t="n">
        <f aca="false">D521*E521*F521</f>
        <v>28.61082</v>
      </c>
    </row>
    <row r="522" customFormat="false" ht="15" hidden="false" customHeight="false" outlineLevel="0" collapsed="false">
      <c r="A522" s="5" t="s">
        <v>574</v>
      </c>
      <c r="B522" s="2" t="s">
        <v>707</v>
      </c>
      <c r="C522" s="5" t="s">
        <v>362</v>
      </c>
      <c r="D522" s="21" t="n">
        <v>1.361</v>
      </c>
      <c r="E522" s="23" t="n">
        <v>1</v>
      </c>
      <c r="F522" s="13" t="n">
        <f aca="false">INDEX(Machine_Rates!$C$5:$C$38,MATCH(C522,Machine_Rates!$A$5:$A$38,0))</f>
        <v>18.797</v>
      </c>
      <c r="G522" s="22" t="n">
        <f aca="false">D522*E522*F522</f>
        <v>25.582717</v>
      </c>
    </row>
    <row r="523" customFormat="false" ht="15" hidden="false" customHeight="false" outlineLevel="0" collapsed="false">
      <c r="A523" s="5" t="s">
        <v>507</v>
      </c>
      <c r="B523" s="2" t="s">
        <v>708</v>
      </c>
      <c r="C523" s="5" t="s">
        <v>370</v>
      </c>
      <c r="D523" s="21" t="n">
        <v>2.179</v>
      </c>
      <c r="E523" s="23" t="n">
        <v>3</v>
      </c>
      <c r="F523" s="13" t="n">
        <f aca="false">INDEX(Machine_Rates!$C$5:$C$38,MATCH(C523,Machine_Rates!$A$5:$A$38,0))</f>
        <v>0</v>
      </c>
      <c r="G523" s="22" t="n">
        <f aca="false">D523*E523*F523</f>
        <v>0</v>
      </c>
    </row>
    <row r="524" customFormat="false" ht="15" hidden="false" customHeight="false" outlineLevel="0" collapsed="false">
      <c r="A524" s="5" t="s">
        <v>507</v>
      </c>
      <c r="B524" s="2" t="s">
        <v>708</v>
      </c>
      <c r="C524" s="5" t="s">
        <v>345</v>
      </c>
      <c r="D524" s="21" t="n">
        <v>0.176</v>
      </c>
      <c r="E524" s="23" t="n">
        <v>3</v>
      </c>
      <c r="F524" s="13" t="n">
        <f aca="false">INDEX(Machine_Rates!$C$5:$C$38,MATCH(C524,Machine_Rates!$A$5:$A$38,0))</f>
        <v>4.1336</v>
      </c>
      <c r="G524" s="22" t="n">
        <f aca="false">D524*E524*F524</f>
        <v>2.1825408</v>
      </c>
    </row>
    <row r="525" customFormat="false" ht="15" hidden="false" customHeight="false" outlineLevel="0" collapsed="false">
      <c r="A525" s="5" t="s">
        <v>507</v>
      </c>
      <c r="B525" s="2" t="s">
        <v>708</v>
      </c>
      <c r="C525" s="5" t="s">
        <v>365</v>
      </c>
      <c r="D525" s="21" t="n">
        <v>0.329</v>
      </c>
      <c r="E525" s="23" t="n">
        <v>3</v>
      </c>
      <c r="F525" s="13" t="n">
        <f aca="false">INDEX(Machine_Rates!$C$5:$C$38,MATCH(C525,Machine_Rates!$A$5:$A$38,0))</f>
        <v>10.9057</v>
      </c>
      <c r="G525" s="22" t="n">
        <f aca="false">D525*E525*F525</f>
        <v>10.7639259</v>
      </c>
    </row>
    <row r="526" customFormat="false" ht="15" hidden="false" customHeight="false" outlineLevel="0" collapsed="false">
      <c r="A526" s="5" t="s">
        <v>507</v>
      </c>
      <c r="B526" s="2" t="s">
        <v>708</v>
      </c>
      <c r="C526" s="5" t="s">
        <v>351</v>
      </c>
      <c r="D526" s="21" t="n">
        <v>1.148</v>
      </c>
      <c r="E526" s="23" t="n">
        <v>1</v>
      </c>
      <c r="F526" s="13" t="n">
        <f aca="false">INDEX(Machine_Rates!$C$5:$C$38,MATCH(C526,Machine_Rates!$A$5:$A$38,0))</f>
        <v>12.2442</v>
      </c>
      <c r="G526" s="22" t="n">
        <f aca="false">D526*E526*F526</f>
        <v>14.0563416</v>
      </c>
    </row>
    <row r="527" customFormat="false" ht="15" hidden="false" customHeight="false" outlineLevel="0" collapsed="false">
      <c r="A527" s="5" t="s">
        <v>507</v>
      </c>
      <c r="B527" s="2" t="s">
        <v>708</v>
      </c>
      <c r="C527" s="5" t="s">
        <v>359</v>
      </c>
      <c r="D527" s="21" t="n">
        <v>0.7</v>
      </c>
      <c r="E527" s="23" t="n">
        <v>1</v>
      </c>
      <c r="F527" s="13" t="n">
        <f aca="false">INDEX(Machine_Rates!$C$5:$C$38,MATCH(C527,Machine_Rates!$A$5:$A$38,0))</f>
        <v>13.1531</v>
      </c>
      <c r="G527" s="22" t="n">
        <f aca="false">D527*E527*F527</f>
        <v>9.20717</v>
      </c>
    </row>
    <row r="528" customFormat="false" ht="15" hidden="false" customHeight="false" outlineLevel="0" collapsed="false">
      <c r="A528" s="5" t="s">
        <v>507</v>
      </c>
      <c r="B528" s="2" t="s">
        <v>708</v>
      </c>
      <c r="C528" s="5" t="s">
        <v>351</v>
      </c>
      <c r="D528" s="21" t="n">
        <v>1.648</v>
      </c>
      <c r="E528" s="23" t="n">
        <v>1</v>
      </c>
      <c r="F528" s="13" t="n">
        <f aca="false">INDEX(Machine_Rates!$C$5:$C$38,MATCH(C528,Machine_Rates!$A$5:$A$38,0))</f>
        <v>12.2442</v>
      </c>
      <c r="G528" s="22" t="n">
        <f aca="false">D528*E528*F528</f>
        <v>20.1784416</v>
      </c>
    </row>
    <row r="529" customFormat="false" ht="15" hidden="false" customHeight="false" outlineLevel="0" collapsed="false">
      <c r="A529" s="5" t="s">
        <v>507</v>
      </c>
      <c r="B529" s="2" t="s">
        <v>708</v>
      </c>
      <c r="C529" s="5" t="s">
        <v>360</v>
      </c>
      <c r="D529" s="21" t="n">
        <v>1.016</v>
      </c>
      <c r="E529" s="23" t="n">
        <v>1</v>
      </c>
      <c r="F529" s="13" t="n">
        <f aca="false">INDEX(Machine_Rates!$C$5:$C$38,MATCH(C529,Machine_Rates!$A$5:$A$38,0))</f>
        <v>12.3201</v>
      </c>
      <c r="G529" s="22" t="n">
        <f aca="false">D529*E529*F529</f>
        <v>12.5172216</v>
      </c>
    </row>
    <row r="530" customFormat="false" ht="15" hidden="false" customHeight="false" outlineLevel="0" collapsed="false">
      <c r="A530" s="5" t="s">
        <v>576</v>
      </c>
      <c r="B530" s="2" t="s">
        <v>709</v>
      </c>
      <c r="C530" s="5" t="s">
        <v>372</v>
      </c>
      <c r="D530" s="21" t="n">
        <v>1.102</v>
      </c>
      <c r="E530" s="23" t="n">
        <v>3</v>
      </c>
      <c r="F530" s="13" t="n">
        <f aca="false">INDEX(Machine_Rates!$C$5:$C$38,MATCH(C530,Machine_Rates!$A$5:$A$38,0))</f>
        <v>0</v>
      </c>
      <c r="G530" s="22" t="n">
        <f aca="false">D530*E530*F530</f>
        <v>0</v>
      </c>
    </row>
    <row r="531" customFormat="false" ht="15" hidden="false" customHeight="false" outlineLevel="0" collapsed="false">
      <c r="A531" s="5" t="s">
        <v>576</v>
      </c>
      <c r="B531" s="2" t="s">
        <v>709</v>
      </c>
      <c r="C531" s="5" t="s">
        <v>368</v>
      </c>
      <c r="D531" s="21" t="n">
        <v>4.873</v>
      </c>
      <c r="E531" s="23" t="n">
        <v>3</v>
      </c>
      <c r="F531" s="13" t="n">
        <f aca="false">INDEX(Machine_Rates!$C$5:$C$38,MATCH(C531,Machine_Rates!$A$5:$A$38,0))</f>
        <v>0</v>
      </c>
      <c r="G531" s="22" t="n">
        <f aca="false">D531*E531*F531</f>
        <v>0</v>
      </c>
    </row>
    <row r="532" customFormat="false" ht="15" hidden="false" customHeight="false" outlineLevel="0" collapsed="false">
      <c r="A532" s="5" t="s">
        <v>576</v>
      </c>
      <c r="B532" s="2" t="s">
        <v>709</v>
      </c>
      <c r="C532" s="5" t="s">
        <v>344</v>
      </c>
      <c r="D532" s="21" t="n">
        <v>0.111</v>
      </c>
      <c r="E532" s="23" t="n">
        <v>3</v>
      </c>
      <c r="F532" s="13" t="n">
        <f aca="false">INDEX(Machine_Rates!$C$5:$C$38,MATCH(C532,Machine_Rates!$A$5:$A$38,0))</f>
        <v>1.7156</v>
      </c>
      <c r="G532" s="22" t="n">
        <f aca="false">D532*E532*F532</f>
        <v>0.5712948</v>
      </c>
    </row>
    <row r="533" customFormat="false" ht="15" hidden="false" customHeight="false" outlineLevel="0" collapsed="false">
      <c r="A533" s="5" t="s">
        <v>576</v>
      </c>
      <c r="B533" s="2" t="s">
        <v>709</v>
      </c>
      <c r="C533" s="5" t="s">
        <v>364</v>
      </c>
      <c r="D533" s="21" t="n">
        <v>0.062</v>
      </c>
      <c r="E533" s="23" t="n">
        <v>3</v>
      </c>
      <c r="F533" s="13" t="n">
        <f aca="false">INDEX(Machine_Rates!$C$5:$C$38,MATCH(C533,Machine_Rates!$A$5:$A$38,0))</f>
        <v>8.4956</v>
      </c>
      <c r="G533" s="22" t="n">
        <f aca="false">D533*E533*F533</f>
        <v>1.5801816</v>
      </c>
    </row>
    <row r="534" customFormat="false" ht="15" hidden="false" customHeight="false" outlineLevel="0" collapsed="false">
      <c r="A534" s="5" t="s">
        <v>576</v>
      </c>
      <c r="B534" s="2" t="s">
        <v>709</v>
      </c>
      <c r="C534" s="5" t="s">
        <v>341</v>
      </c>
      <c r="D534" s="21" t="n">
        <v>0.772</v>
      </c>
      <c r="E534" s="23" t="n">
        <v>1</v>
      </c>
      <c r="F534" s="13" t="n">
        <f aca="false">INDEX(Machine_Rates!$C$5:$C$38,MATCH(C534,Machine_Rates!$A$5:$A$38,0))</f>
        <v>4.1332</v>
      </c>
      <c r="G534" s="22" t="n">
        <f aca="false">D534*E534*F534</f>
        <v>3.1908304</v>
      </c>
    </row>
    <row r="535" customFormat="false" ht="15" hidden="false" customHeight="false" outlineLevel="0" collapsed="false">
      <c r="A535" s="5" t="s">
        <v>576</v>
      </c>
      <c r="B535" s="2" t="s">
        <v>709</v>
      </c>
      <c r="C535" s="5" t="s">
        <v>365</v>
      </c>
      <c r="D535" s="21" t="n">
        <v>0.579</v>
      </c>
      <c r="E535" s="23" t="n">
        <v>1</v>
      </c>
      <c r="F535" s="13" t="n">
        <f aca="false">INDEX(Machine_Rates!$C$5:$C$38,MATCH(C535,Machine_Rates!$A$5:$A$38,0))</f>
        <v>10.9057</v>
      </c>
      <c r="G535" s="22" t="n">
        <f aca="false">D535*E535*F535</f>
        <v>6.3144003</v>
      </c>
    </row>
    <row r="536" customFormat="false" ht="15" hidden="false" customHeight="false" outlineLevel="0" collapsed="false">
      <c r="A536" s="5" t="s">
        <v>576</v>
      </c>
      <c r="B536" s="2" t="s">
        <v>709</v>
      </c>
      <c r="C536" s="5" t="s">
        <v>337</v>
      </c>
      <c r="D536" s="21" t="n">
        <v>2.315</v>
      </c>
      <c r="E536" s="23" t="n">
        <v>1</v>
      </c>
      <c r="F536" s="13" t="n">
        <f aca="false">INDEX(Machine_Rates!$C$5:$C$38,MATCH(C536,Machine_Rates!$A$5:$A$38,0))</f>
        <v>4.3539</v>
      </c>
      <c r="G536" s="22" t="n">
        <f aca="false">D536*E536*F536</f>
        <v>10.0792785</v>
      </c>
    </row>
    <row r="537" customFormat="false" ht="15" hidden="false" customHeight="false" outlineLevel="0" collapsed="false">
      <c r="A537" s="5" t="s">
        <v>576</v>
      </c>
      <c r="B537" s="2" t="s">
        <v>709</v>
      </c>
      <c r="C537" s="5" t="s">
        <v>359</v>
      </c>
      <c r="D537" s="21" t="n">
        <v>0.676</v>
      </c>
      <c r="E537" s="23" t="n">
        <v>1</v>
      </c>
      <c r="F537" s="13" t="n">
        <f aca="false">INDEX(Machine_Rates!$C$5:$C$38,MATCH(C537,Machine_Rates!$A$5:$A$38,0))</f>
        <v>13.1531</v>
      </c>
      <c r="G537" s="22" t="n">
        <f aca="false">D537*E537*F537</f>
        <v>8.8914956</v>
      </c>
    </row>
    <row r="538" customFormat="false" ht="15" hidden="false" customHeight="false" outlineLevel="0" collapsed="false">
      <c r="A538" s="5" t="s">
        <v>540</v>
      </c>
      <c r="B538" s="2" t="s">
        <v>710</v>
      </c>
      <c r="C538" s="5" t="s">
        <v>370</v>
      </c>
      <c r="D538" s="21" t="n">
        <v>1.102</v>
      </c>
      <c r="E538" s="23" t="n">
        <v>3</v>
      </c>
      <c r="F538" s="13" t="n">
        <f aca="false">INDEX(Machine_Rates!$C$5:$C$38,MATCH(C538,Machine_Rates!$A$5:$A$38,0))</f>
        <v>0</v>
      </c>
      <c r="G538" s="22" t="n">
        <f aca="false">D538*E538*F538</f>
        <v>0</v>
      </c>
    </row>
    <row r="539" customFormat="false" ht="15" hidden="false" customHeight="false" outlineLevel="0" collapsed="false">
      <c r="A539" s="5" t="s">
        <v>540</v>
      </c>
      <c r="B539" s="2" t="s">
        <v>710</v>
      </c>
      <c r="C539" s="5" t="s">
        <v>345</v>
      </c>
      <c r="D539" s="21" t="n">
        <v>0.205</v>
      </c>
      <c r="E539" s="23" t="n">
        <v>3</v>
      </c>
      <c r="F539" s="13" t="n">
        <f aca="false">INDEX(Machine_Rates!$C$5:$C$38,MATCH(C539,Machine_Rates!$A$5:$A$38,0))</f>
        <v>4.1336</v>
      </c>
      <c r="G539" s="22" t="n">
        <f aca="false">D539*E539*F539</f>
        <v>2.542164</v>
      </c>
    </row>
    <row r="540" customFormat="false" ht="15" hidden="false" customHeight="false" outlineLevel="0" collapsed="false">
      <c r="A540" s="5" t="s">
        <v>540</v>
      </c>
      <c r="B540" s="2" t="s">
        <v>710</v>
      </c>
      <c r="C540" s="5" t="s">
        <v>367</v>
      </c>
      <c r="D540" s="21" t="n">
        <v>1.148</v>
      </c>
      <c r="E540" s="23" t="n">
        <v>3</v>
      </c>
      <c r="F540" s="13" t="n">
        <f aca="false">INDEX(Machine_Rates!$C$5:$C$38,MATCH(C540,Machine_Rates!$A$5:$A$38,0))</f>
        <v>37.1611</v>
      </c>
      <c r="G540" s="22" t="n">
        <f aca="false">D540*E540*F540</f>
        <v>127.9828284</v>
      </c>
    </row>
    <row r="541" customFormat="false" ht="15" hidden="false" customHeight="false" outlineLevel="0" collapsed="false">
      <c r="A541" s="5" t="s">
        <v>540</v>
      </c>
      <c r="B541" s="2" t="s">
        <v>710</v>
      </c>
      <c r="C541" s="5" t="s">
        <v>377</v>
      </c>
      <c r="D541" s="21" t="n">
        <v>1.452</v>
      </c>
      <c r="E541" s="23" t="n">
        <v>3</v>
      </c>
      <c r="F541" s="13" t="n">
        <f aca="false">INDEX(Machine_Rates!$C$5:$C$38,MATCH(C541,Machine_Rates!$A$5:$A$38,0))</f>
        <v>5.3171</v>
      </c>
      <c r="G541" s="22" t="n">
        <f aca="false">D541*E541*F541</f>
        <v>23.1612876</v>
      </c>
    </row>
    <row r="542" customFormat="false" ht="15" hidden="false" customHeight="false" outlineLevel="0" collapsed="false">
      <c r="A542" s="5" t="s">
        <v>540</v>
      </c>
      <c r="B542" s="2" t="s">
        <v>710</v>
      </c>
      <c r="C542" s="5" t="s">
        <v>353</v>
      </c>
      <c r="D542" s="21" t="n">
        <v>1.867</v>
      </c>
      <c r="E542" s="23" t="n">
        <v>1</v>
      </c>
      <c r="F542" s="13" t="n">
        <f aca="false">INDEX(Machine_Rates!$C$5:$C$38,MATCH(C542,Machine_Rates!$A$5:$A$38,0))</f>
        <v>16.82</v>
      </c>
      <c r="G542" s="22" t="n">
        <f aca="false">D542*E542*F542</f>
        <v>31.40294</v>
      </c>
    </row>
    <row r="543" customFormat="false" ht="15" hidden="false" customHeight="false" outlineLevel="0" collapsed="false">
      <c r="A543" s="5" t="s">
        <v>540</v>
      </c>
      <c r="B543" s="2" t="s">
        <v>710</v>
      </c>
      <c r="C543" s="5" t="s">
        <v>362</v>
      </c>
      <c r="D543" s="21" t="n">
        <v>1.063</v>
      </c>
      <c r="E543" s="23" t="n">
        <v>1</v>
      </c>
      <c r="F543" s="13" t="n">
        <f aca="false">INDEX(Machine_Rates!$C$5:$C$38,MATCH(C543,Machine_Rates!$A$5:$A$38,0))</f>
        <v>18.797</v>
      </c>
      <c r="G543" s="22" t="n">
        <f aca="false">D543*E543*F543</f>
        <v>19.981211</v>
      </c>
    </row>
    <row r="544" customFormat="false" ht="15" hidden="false" customHeight="false" outlineLevel="0" collapsed="false">
      <c r="A544" s="5" t="s">
        <v>540</v>
      </c>
      <c r="B544" s="2" t="s">
        <v>710</v>
      </c>
      <c r="C544" s="5" t="s">
        <v>353</v>
      </c>
      <c r="D544" s="21" t="n">
        <v>1.701</v>
      </c>
      <c r="E544" s="23" t="n">
        <v>1</v>
      </c>
      <c r="F544" s="13" t="n">
        <f aca="false">INDEX(Machine_Rates!$C$5:$C$38,MATCH(C544,Machine_Rates!$A$5:$A$38,0))</f>
        <v>16.82</v>
      </c>
      <c r="G544" s="22" t="n">
        <f aca="false">D544*E544*F544</f>
        <v>28.61082</v>
      </c>
    </row>
    <row r="545" customFormat="false" ht="15" hidden="false" customHeight="false" outlineLevel="0" collapsed="false">
      <c r="A545" s="5" t="s">
        <v>540</v>
      </c>
      <c r="B545" s="2" t="s">
        <v>710</v>
      </c>
      <c r="C545" s="5" t="s">
        <v>362</v>
      </c>
      <c r="D545" s="21" t="n">
        <v>1.546</v>
      </c>
      <c r="E545" s="23" t="n">
        <v>1</v>
      </c>
      <c r="F545" s="13" t="n">
        <f aca="false">INDEX(Machine_Rates!$C$5:$C$38,MATCH(C545,Machine_Rates!$A$5:$A$38,0))</f>
        <v>18.797</v>
      </c>
      <c r="G545" s="22" t="n">
        <f aca="false">D545*E545*F545</f>
        <v>29.060162</v>
      </c>
    </row>
    <row r="546" customFormat="false" ht="15" hidden="false" customHeight="false" outlineLevel="0" collapsed="false">
      <c r="A546" s="5" t="s">
        <v>578</v>
      </c>
      <c r="B546" s="2" t="s">
        <v>711</v>
      </c>
      <c r="C546" s="5" t="s">
        <v>370</v>
      </c>
      <c r="D546" s="21" t="n">
        <v>1.102</v>
      </c>
      <c r="E546" s="23" t="n">
        <v>3</v>
      </c>
      <c r="F546" s="13" t="n">
        <f aca="false">INDEX(Machine_Rates!$C$5:$C$38,MATCH(C546,Machine_Rates!$A$5:$A$38,0))</f>
        <v>0</v>
      </c>
      <c r="G546" s="22" t="n">
        <f aca="false">D546*E546*F546</f>
        <v>0</v>
      </c>
    </row>
    <row r="547" customFormat="false" ht="15" hidden="false" customHeight="false" outlineLevel="0" collapsed="false">
      <c r="A547" s="5" t="s">
        <v>578</v>
      </c>
      <c r="B547" s="2" t="s">
        <v>711</v>
      </c>
      <c r="C547" s="5" t="s">
        <v>345</v>
      </c>
      <c r="D547" s="21" t="n">
        <v>0.161</v>
      </c>
      <c r="E547" s="23" t="n">
        <v>3</v>
      </c>
      <c r="F547" s="13" t="n">
        <f aca="false">INDEX(Machine_Rates!$C$5:$C$38,MATCH(C547,Machine_Rates!$A$5:$A$38,0))</f>
        <v>4.1336</v>
      </c>
      <c r="G547" s="22" t="n">
        <f aca="false">D547*E547*F547</f>
        <v>1.9965288</v>
      </c>
    </row>
    <row r="548" customFormat="false" ht="15" hidden="false" customHeight="false" outlineLevel="0" collapsed="false">
      <c r="A548" s="5" t="s">
        <v>578</v>
      </c>
      <c r="B548" s="2" t="s">
        <v>711</v>
      </c>
      <c r="C548" s="5" t="s">
        <v>365</v>
      </c>
      <c r="D548" s="21" t="n">
        <v>0.412</v>
      </c>
      <c r="E548" s="23" t="n">
        <v>3</v>
      </c>
      <c r="F548" s="13" t="n">
        <f aca="false">INDEX(Machine_Rates!$C$5:$C$38,MATCH(C548,Machine_Rates!$A$5:$A$38,0))</f>
        <v>10.9057</v>
      </c>
      <c r="G548" s="22" t="n">
        <f aca="false">D548*E548*F548</f>
        <v>13.4794452</v>
      </c>
    </row>
    <row r="549" customFormat="false" ht="15" hidden="false" customHeight="false" outlineLevel="0" collapsed="false">
      <c r="A549" s="5" t="s">
        <v>578</v>
      </c>
      <c r="B549" s="2" t="s">
        <v>711</v>
      </c>
      <c r="C549" s="5" t="s">
        <v>353</v>
      </c>
      <c r="D549" s="21" t="n">
        <v>1.743</v>
      </c>
      <c r="E549" s="23" t="n">
        <v>1</v>
      </c>
      <c r="F549" s="13" t="n">
        <f aca="false">INDEX(Machine_Rates!$C$5:$C$38,MATCH(C549,Machine_Rates!$A$5:$A$38,0))</f>
        <v>16.82</v>
      </c>
      <c r="G549" s="22" t="n">
        <f aca="false">D549*E549*F549</f>
        <v>29.31726</v>
      </c>
    </row>
    <row r="550" customFormat="false" ht="15" hidden="false" customHeight="false" outlineLevel="0" collapsed="false">
      <c r="A550" s="5" t="s">
        <v>578</v>
      </c>
      <c r="B550" s="2" t="s">
        <v>711</v>
      </c>
      <c r="C550" s="5" t="s">
        <v>363</v>
      </c>
      <c r="D550" s="21" t="n">
        <v>0.766</v>
      </c>
      <c r="E550" s="23" t="n">
        <v>1</v>
      </c>
      <c r="F550" s="13" t="n">
        <f aca="false">INDEX(Machine_Rates!$C$5:$C$38,MATCH(C550,Machine_Rates!$A$5:$A$38,0))</f>
        <v>18.7974</v>
      </c>
      <c r="G550" s="22" t="n">
        <f aca="false">D550*E550*F550</f>
        <v>14.3988084</v>
      </c>
    </row>
    <row r="551" customFormat="false" ht="15" hidden="false" customHeight="false" outlineLevel="0" collapsed="false">
      <c r="A551" s="5" t="s">
        <v>578</v>
      </c>
      <c r="B551" s="2" t="s">
        <v>711</v>
      </c>
      <c r="C551" s="5" t="s">
        <v>353</v>
      </c>
      <c r="D551" s="21" t="n">
        <v>1.613</v>
      </c>
      <c r="E551" s="23" t="n">
        <v>1</v>
      </c>
      <c r="F551" s="13" t="n">
        <f aca="false">INDEX(Machine_Rates!$C$5:$C$38,MATCH(C551,Machine_Rates!$A$5:$A$38,0))</f>
        <v>16.82</v>
      </c>
      <c r="G551" s="22" t="n">
        <f aca="false">D551*E551*F551</f>
        <v>27.13066</v>
      </c>
    </row>
    <row r="552" customFormat="false" ht="15" hidden="false" customHeight="false" outlineLevel="0" collapsed="false">
      <c r="A552" s="5" t="s">
        <v>578</v>
      </c>
      <c r="B552" s="2" t="s">
        <v>711</v>
      </c>
      <c r="C552" s="5" t="s">
        <v>363</v>
      </c>
      <c r="D552" s="21" t="n">
        <v>1.447</v>
      </c>
      <c r="E552" s="23" t="n">
        <v>1</v>
      </c>
      <c r="F552" s="13" t="n">
        <f aca="false">INDEX(Machine_Rates!$C$5:$C$38,MATCH(C552,Machine_Rates!$A$5:$A$38,0))</f>
        <v>18.7974</v>
      </c>
      <c r="G552" s="22" t="n">
        <f aca="false">D552*E552*F552</f>
        <v>27.1998378</v>
      </c>
    </row>
    <row r="553" customFormat="false" ht="15" hidden="false" customHeight="false" outlineLevel="0" collapsed="false">
      <c r="A553" s="5" t="s">
        <v>580</v>
      </c>
      <c r="B553" s="2" t="s">
        <v>712</v>
      </c>
      <c r="C553" s="5" t="s">
        <v>370</v>
      </c>
      <c r="D553" s="21" t="n">
        <v>1.102</v>
      </c>
      <c r="E553" s="23" t="n">
        <v>3</v>
      </c>
      <c r="F553" s="13" t="n">
        <f aca="false">INDEX(Machine_Rates!$C$5:$C$38,MATCH(C553,Machine_Rates!$A$5:$A$38,0))</f>
        <v>0</v>
      </c>
      <c r="G553" s="22" t="n">
        <f aca="false">D553*E553*F553</f>
        <v>0</v>
      </c>
    </row>
    <row r="554" customFormat="false" ht="15" hidden="false" customHeight="false" outlineLevel="0" collapsed="false">
      <c r="A554" s="5" t="s">
        <v>580</v>
      </c>
      <c r="B554" s="2" t="s">
        <v>712</v>
      </c>
      <c r="C554" s="5" t="s">
        <v>345</v>
      </c>
      <c r="D554" s="21" t="n">
        <v>0.205</v>
      </c>
      <c r="E554" s="23" t="n">
        <v>3</v>
      </c>
      <c r="F554" s="13" t="n">
        <f aca="false">INDEX(Machine_Rates!$C$5:$C$38,MATCH(C554,Machine_Rates!$A$5:$A$38,0))</f>
        <v>4.1336</v>
      </c>
      <c r="G554" s="22" t="n">
        <f aca="false">D554*E554*F554</f>
        <v>2.542164</v>
      </c>
    </row>
    <row r="555" customFormat="false" ht="15" hidden="false" customHeight="false" outlineLevel="0" collapsed="false">
      <c r="A555" s="5" t="s">
        <v>580</v>
      </c>
      <c r="B555" s="2" t="s">
        <v>712</v>
      </c>
      <c r="C555" s="5" t="s">
        <v>367</v>
      </c>
      <c r="D555" s="21" t="n">
        <v>0.727</v>
      </c>
      <c r="E555" s="23" t="n">
        <v>3</v>
      </c>
      <c r="F555" s="13" t="n">
        <f aca="false">INDEX(Machine_Rates!$C$5:$C$38,MATCH(C555,Machine_Rates!$A$5:$A$38,0))</f>
        <v>37.1611</v>
      </c>
      <c r="G555" s="22" t="n">
        <f aca="false">D555*E555*F555</f>
        <v>81.0483591</v>
      </c>
    </row>
    <row r="556" customFormat="false" ht="15" hidden="false" customHeight="false" outlineLevel="0" collapsed="false">
      <c r="A556" s="5" t="s">
        <v>580</v>
      </c>
      <c r="B556" s="2" t="s">
        <v>712</v>
      </c>
      <c r="C556" s="5" t="s">
        <v>377</v>
      </c>
      <c r="D556" s="21" t="n">
        <v>1.403</v>
      </c>
      <c r="E556" s="23" t="n">
        <v>3</v>
      </c>
      <c r="F556" s="13" t="n">
        <f aca="false">INDEX(Machine_Rates!$C$5:$C$38,MATCH(C556,Machine_Rates!$A$5:$A$38,0))</f>
        <v>5.3171</v>
      </c>
      <c r="G556" s="22" t="n">
        <f aca="false">D556*E556*F556</f>
        <v>22.3796739</v>
      </c>
    </row>
    <row r="557" customFormat="false" ht="15" hidden="false" customHeight="false" outlineLevel="0" collapsed="false">
      <c r="A557" s="5" t="s">
        <v>580</v>
      </c>
      <c r="B557" s="2" t="s">
        <v>712</v>
      </c>
      <c r="C557" s="5" t="s">
        <v>353</v>
      </c>
      <c r="D557" s="21" t="n">
        <v>1.481</v>
      </c>
      <c r="E557" s="23" t="n">
        <v>1</v>
      </c>
      <c r="F557" s="13" t="n">
        <f aca="false">INDEX(Machine_Rates!$C$5:$C$38,MATCH(C557,Machine_Rates!$A$5:$A$38,0))</f>
        <v>16.82</v>
      </c>
      <c r="G557" s="22" t="n">
        <f aca="false">D557*E557*F557</f>
        <v>24.91042</v>
      </c>
    </row>
    <row r="558" customFormat="false" ht="15" hidden="false" customHeight="false" outlineLevel="0" collapsed="false">
      <c r="A558" s="5" t="s">
        <v>580</v>
      </c>
      <c r="B558" s="2" t="s">
        <v>712</v>
      </c>
      <c r="C558" s="5" t="s">
        <v>362</v>
      </c>
      <c r="D558" s="21" t="n">
        <v>0.992</v>
      </c>
      <c r="E558" s="23" t="n">
        <v>1</v>
      </c>
      <c r="F558" s="13" t="n">
        <f aca="false">INDEX(Machine_Rates!$C$5:$C$38,MATCH(C558,Machine_Rates!$A$5:$A$38,0))</f>
        <v>18.797</v>
      </c>
      <c r="G558" s="22" t="n">
        <f aca="false">D558*E558*F558</f>
        <v>18.646624</v>
      </c>
    </row>
    <row r="559" customFormat="false" ht="15" hidden="false" customHeight="false" outlineLevel="0" collapsed="false">
      <c r="A559" s="5" t="s">
        <v>580</v>
      </c>
      <c r="B559" s="2" t="s">
        <v>712</v>
      </c>
      <c r="C559" s="5" t="s">
        <v>353</v>
      </c>
      <c r="D559" s="21" t="n">
        <v>1.587</v>
      </c>
      <c r="E559" s="23" t="n">
        <v>1</v>
      </c>
      <c r="F559" s="13" t="n">
        <f aca="false">INDEX(Machine_Rates!$C$5:$C$38,MATCH(C559,Machine_Rates!$A$5:$A$38,0))</f>
        <v>16.82</v>
      </c>
      <c r="G559" s="22" t="n">
        <f aca="false">D559*E559*F559</f>
        <v>26.69334</v>
      </c>
    </row>
    <row r="560" customFormat="false" ht="15" hidden="false" customHeight="false" outlineLevel="0" collapsed="false">
      <c r="A560" s="5" t="s">
        <v>580</v>
      </c>
      <c r="B560" s="2" t="s">
        <v>712</v>
      </c>
      <c r="C560" s="5" t="s">
        <v>362</v>
      </c>
      <c r="D560" s="21" t="n">
        <v>1.176</v>
      </c>
      <c r="E560" s="23" t="n">
        <v>1</v>
      </c>
      <c r="F560" s="13" t="n">
        <f aca="false">INDEX(Machine_Rates!$C$5:$C$38,MATCH(C560,Machine_Rates!$A$5:$A$38,0))</f>
        <v>18.797</v>
      </c>
      <c r="G560" s="22" t="n">
        <f aca="false">D560*E560*F560</f>
        <v>22.105272</v>
      </c>
    </row>
    <row r="561" customFormat="false" ht="15" hidden="false" customHeight="false" outlineLevel="0" collapsed="false">
      <c r="A561" s="5" t="s">
        <v>582</v>
      </c>
      <c r="B561" s="2" t="s">
        <v>713</v>
      </c>
      <c r="C561" s="5" t="s">
        <v>370</v>
      </c>
      <c r="D561" s="21" t="n">
        <v>1.21</v>
      </c>
      <c r="E561" s="23" t="n">
        <v>3</v>
      </c>
      <c r="F561" s="13" t="n">
        <f aca="false">INDEX(Machine_Rates!$C$5:$C$38,MATCH(C561,Machine_Rates!$A$5:$A$38,0))</f>
        <v>0</v>
      </c>
      <c r="G561" s="22" t="n">
        <f aca="false">D561*E561*F561</f>
        <v>0</v>
      </c>
    </row>
    <row r="562" customFormat="false" ht="15" hidden="false" customHeight="false" outlineLevel="0" collapsed="false">
      <c r="A562" s="5" t="s">
        <v>582</v>
      </c>
      <c r="B562" s="2" t="s">
        <v>713</v>
      </c>
      <c r="C562" s="5" t="s">
        <v>375</v>
      </c>
      <c r="D562" s="21" t="n">
        <v>0.871</v>
      </c>
      <c r="E562" s="23" t="n">
        <v>3</v>
      </c>
      <c r="F562" s="13" t="n">
        <f aca="false">INDEX(Machine_Rates!$C$5:$C$38,MATCH(C562,Machine_Rates!$A$5:$A$38,0))</f>
        <v>15.0115</v>
      </c>
      <c r="G562" s="22" t="n">
        <f aca="false">D562*E562*F562</f>
        <v>39.2250495</v>
      </c>
    </row>
    <row r="563" customFormat="false" ht="15" hidden="false" customHeight="false" outlineLevel="0" collapsed="false">
      <c r="A563" s="5" t="s">
        <v>582</v>
      </c>
      <c r="B563" s="2" t="s">
        <v>713</v>
      </c>
      <c r="C563" s="5" t="s">
        <v>367</v>
      </c>
      <c r="D563" s="21" t="n">
        <v>2.145</v>
      </c>
      <c r="E563" s="23" t="n">
        <v>3</v>
      </c>
      <c r="F563" s="13" t="n">
        <f aca="false">INDEX(Machine_Rates!$C$5:$C$38,MATCH(C563,Machine_Rates!$A$5:$A$38,0))</f>
        <v>37.1611</v>
      </c>
      <c r="G563" s="22" t="n">
        <f aca="false">D563*E563*F563</f>
        <v>239.1316785</v>
      </c>
    </row>
    <row r="564" customFormat="false" ht="15" hidden="false" customHeight="false" outlineLevel="0" collapsed="false">
      <c r="A564" s="5" t="s">
        <v>582</v>
      </c>
      <c r="B564" s="2" t="s">
        <v>713</v>
      </c>
      <c r="C564" s="5" t="s">
        <v>377</v>
      </c>
      <c r="D564" s="21" t="n">
        <v>2.315</v>
      </c>
      <c r="E564" s="23" t="n">
        <v>3</v>
      </c>
      <c r="F564" s="13" t="n">
        <f aca="false">INDEX(Machine_Rates!$C$5:$C$38,MATCH(C564,Machine_Rates!$A$5:$A$38,0))</f>
        <v>5.3171</v>
      </c>
      <c r="G564" s="22" t="n">
        <f aca="false">D564*E564*F564</f>
        <v>36.9272595</v>
      </c>
    </row>
    <row r="565" customFormat="false" ht="15" hidden="false" customHeight="false" outlineLevel="0" collapsed="false">
      <c r="A565" s="5" t="s">
        <v>582</v>
      </c>
      <c r="B565" s="2" t="s">
        <v>713</v>
      </c>
      <c r="C565" s="5" t="s">
        <v>353</v>
      </c>
      <c r="D565" s="21" t="n">
        <v>2.849</v>
      </c>
      <c r="E565" s="23" t="n">
        <v>1</v>
      </c>
      <c r="F565" s="13" t="n">
        <f aca="false">INDEX(Machine_Rates!$C$5:$C$38,MATCH(C565,Machine_Rates!$A$5:$A$38,0))</f>
        <v>16.82</v>
      </c>
      <c r="G565" s="22" t="n">
        <f aca="false">D565*E565*F565</f>
        <v>47.92018</v>
      </c>
    </row>
    <row r="566" customFormat="false" ht="15" hidden="false" customHeight="false" outlineLevel="0" collapsed="false">
      <c r="A566" s="5" t="s">
        <v>582</v>
      </c>
      <c r="B566" s="2" t="s">
        <v>713</v>
      </c>
      <c r="C566" s="5" t="s">
        <v>362</v>
      </c>
      <c r="D566" s="21" t="n">
        <v>1.526</v>
      </c>
      <c r="E566" s="23" t="n">
        <v>1</v>
      </c>
      <c r="F566" s="13" t="n">
        <f aca="false">INDEX(Machine_Rates!$C$5:$C$38,MATCH(C566,Machine_Rates!$A$5:$A$38,0))</f>
        <v>18.797</v>
      </c>
      <c r="G566" s="22" t="n">
        <f aca="false">D566*E566*F566</f>
        <v>28.684222</v>
      </c>
    </row>
    <row r="567" customFormat="false" ht="15" hidden="false" customHeight="false" outlineLevel="0" collapsed="false">
      <c r="A567" s="5" t="s">
        <v>582</v>
      </c>
      <c r="B567" s="2" t="s">
        <v>713</v>
      </c>
      <c r="C567" s="5" t="s">
        <v>353</v>
      </c>
      <c r="D567" s="21" t="n">
        <v>2.818</v>
      </c>
      <c r="E567" s="23" t="n">
        <v>1</v>
      </c>
      <c r="F567" s="13" t="n">
        <f aca="false">INDEX(Machine_Rates!$C$5:$C$38,MATCH(C567,Machine_Rates!$A$5:$A$38,0))</f>
        <v>16.82</v>
      </c>
      <c r="G567" s="22" t="n">
        <f aca="false">D567*E567*F567</f>
        <v>47.39876</v>
      </c>
    </row>
    <row r="568" customFormat="false" ht="15" hidden="false" customHeight="false" outlineLevel="0" collapsed="false">
      <c r="A568" s="5" t="s">
        <v>582</v>
      </c>
      <c r="B568" s="2" t="s">
        <v>713</v>
      </c>
      <c r="C568" s="5" t="s">
        <v>362</v>
      </c>
      <c r="D568" s="21" t="n">
        <v>2.035</v>
      </c>
      <c r="E568" s="23" t="n">
        <v>1</v>
      </c>
      <c r="F568" s="13" t="n">
        <f aca="false">INDEX(Machine_Rates!$C$5:$C$38,MATCH(C568,Machine_Rates!$A$5:$A$38,0))</f>
        <v>18.797</v>
      </c>
      <c r="G568" s="22" t="n">
        <f aca="false">D568*E568*F568</f>
        <v>38.251895</v>
      </c>
    </row>
    <row r="569" customFormat="false" ht="15" hidden="false" customHeight="false" outlineLevel="0" collapsed="false">
      <c r="A569" s="5" t="s">
        <v>584</v>
      </c>
      <c r="B569" s="2" t="s">
        <v>714</v>
      </c>
      <c r="C569" s="5" t="s">
        <v>370</v>
      </c>
      <c r="D569" s="21" t="n">
        <v>1.21</v>
      </c>
      <c r="E569" s="23" t="n">
        <v>3</v>
      </c>
      <c r="F569" s="13" t="n">
        <f aca="false">INDEX(Machine_Rates!$C$5:$C$38,MATCH(C569,Machine_Rates!$A$5:$A$38,0))</f>
        <v>0</v>
      </c>
      <c r="G569" s="22" t="n">
        <f aca="false">D569*E569*F569</f>
        <v>0</v>
      </c>
    </row>
    <row r="570" customFormat="false" ht="15" hidden="false" customHeight="false" outlineLevel="0" collapsed="false">
      <c r="A570" s="5" t="s">
        <v>584</v>
      </c>
      <c r="B570" s="2" t="s">
        <v>714</v>
      </c>
      <c r="C570" s="5" t="s">
        <v>375</v>
      </c>
      <c r="D570" s="21" t="n">
        <v>0.871</v>
      </c>
      <c r="E570" s="23" t="n">
        <v>3</v>
      </c>
      <c r="F570" s="13" t="n">
        <f aca="false">INDEX(Machine_Rates!$C$5:$C$38,MATCH(C570,Machine_Rates!$A$5:$A$38,0))</f>
        <v>15.0115</v>
      </c>
      <c r="G570" s="22" t="n">
        <f aca="false">D570*E570*F570</f>
        <v>39.2250495</v>
      </c>
    </row>
    <row r="571" customFormat="false" ht="15" hidden="false" customHeight="false" outlineLevel="0" collapsed="false">
      <c r="A571" s="5" t="s">
        <v>584</v>
      </c>
      <c r="B571" s="2" t="s">
        <v>714</v>
      </c>
      <c r="C571" s="5" t="s">
        <v>367</v>
      </c>
      <c r="D571" s="21" t="n">
        <v>0.824</v>
      </c>
      <c r="E571" s="23" t="n">
        <v>3</v>
      </c>
      <c r="F571" s="13" t="n">
        <f aca="false">INDEX(Machine_Rates!$C$5:$C$38,MATCH(C571,Machine_Rates!$A$5:$A$38,0))</f>
        <v>37.1611</v>
      </c>
      <c r="G571" s="22" t="n">
        <f aca="false">D571*E571*F571</f>
        <v>91.8622392</v>
      </c>
    </row>
    <row r="572" customFormat="false" ht="15" hidden="false" customHeight="false" outlineLevel="0" collapsed="false">
      <c r="A572" s="5" t="s">
        <v>584</v>
      </c>
      <c r="B572" s="2" t="s">
        <v>714</v>
      </c>
      <c r="C572" s="5" t="s">
        <v>377</v>
      </c>
      <c r="D572" s="21" t="n">
        <v>1.503</v>
      </c>
      <c r="E572" s="23" t="n">
        <v>3</v>
      </c>
      <c r="F572" s="13" t="n">
        <f aca="false">INDEX(Machine_Rates!$C$5:$C$38,MATCH(C572,Machine_Rates!$A$5:$A$38,0))</f>
        <v>5.3171</v>
      </c>
      <c r="G572" s="22" t="n">
        <f aca="false">D572*E572*F572</f>
        <v>23.9748039</v>
      </c>
    </row>
    <row r="573" customFormat="false" ht="15" hidden="false" customHeight="false" outlineLevel="0" collapsed="false">
      <c r="A573" s="5" t="s">
        <v>584</v>
      </c>
      <c r="B573" s="2" t="s">
        <v>714</v>
      </c>
      <c r="C573" s="5" t="s">
        <v>353</v>
      </c>
      <c r="D573" s="21" t="n">
        <v>1.481</v>
      </c>
      <c r="E573" s="23" t="n">
        <v>1</v>
      </c>
      <c r="F573" s="13" t="n">
        <f aca="false">INDEX(Machine_Rates!$C$5:$C$38,MATCH(C573,Machine_Rates!$A$5:$A$38,0))</f>
        <v>16.82</v>
      </c>
      <c r="G573" s="22" t="n">
        <f aca="false">D573*E573*F573</f>
        <v>24.91042</v>
      </c>
    </row>
    <row r="574" customFormat="false" ht="15" hidden="false" customHeight="false" outlineLevel="0" collapsed="false">
      <c r="A574" s="5" t="s">
        <v>584</v>
      </c>
      <c r="B574" s="2" t="s">
        <v>714</v>
      </c>
      <c r="C574" s="5" t="s">
        <v>362</v>
      </c>
      <c r="D574" s="21" t="n">
        <v>1.111</v>
      </c>
      <c r="E574" s="23" t="n">
        <v>1</v>
      </c>
      <c r="F574" s="13" t="n">
        <f aca="false">INDEX(Machine_Rates!$C$5:$C$38,MATCH(C574,Machine_Rates!$A$5:$A$38,0))</f>
        <v>18.797</v>
      </c>
      <c r="G574" s="22" t="n">
        <f aca="false">D574*E574*F574</f>
        <v>20.883467</v>
      </c>
    </row>
    <row r="575" customFormat="false" ht="15" hidden="false" customHeight="false" outlineLevel="0" collapsed="false">
      <c r="A575" s="5" t="s">
        <v>584</v>
      </c>
      <c r="B575" s="2" t="s">
        <v>714</v>
      </c>
      <c r="C575" s="5" t="s">
        <v>353</v>
      </c>
      <c r="D575" s="21" t="n">
        <v>1.701</v>
      </c>
      <c r="E575" s="23" t="n">
        <v>1</v>
      </c>
      <c r="F575" s="13" t="n">
        <f aca="false">INDEX(Machine_Rates!$C$5:$C$38,MATCH(C575,Machine_Rates!$A$5:$A$38,0))</f>
        <v>16.82</v>
      </c>
      <c r="G575" s="22" t="n">
        <f aca="false">D575*E575*F575</f>
        <v>28.61082</v>
      </c>
    </row>
    <row r="576" customFormat="false" ht="15" hidden="false" customHeight="false" outlineLevel="0" collapsed="false">
      <c r="A576" s="5" t="s">
        <v>584</v>
      </c>
      <c r="B576" s="2" t="s">
        <v>714</v>
      </c>
      <c r="C576" s="5" t="s">
        <v>362</v>
      </c>
      <c r="D576" s="21" t="n">
        <v>1.27</v>
      </c>
      <c r="E576" s="23" t="n">
        <v>1</v>
      </c>
      <c r="F576" s="13" t="n">
        <f aca="false">INDEX(Machine_Rates!$C$5:$C$38,MATCH(C576,Machine_Rates!$A$5:$A$38,0))</f>
        <v>18.797</v>
      </c>
      <c r="G576" s="22" t="n">
        <f aca="false">D576*E576*F576</f>
        <v>23.87219</v>
      </c>
    </row>
    <row r="577" customFormat="false" ht="15" hidden="false" customHeight="false" outlineLevel="0" collapsed="false">
      <c r="A577" s="5" t="s">
        <v>586</v>
      </c>
      <c r="B577" s="2" t="s">
        <v>715</v>
      </c>
      <c r="C577" s="5" t="s">
        <v>370</v>
      </c>
      <c r="D577" s="21" t="n">
        <v>1.21</v>
      </c>
      <c r="E577" s="23" t="n">
        <v>3</v>
      </c>
      <c r="F577" s="13" t="n">
        <f aca="false">INDEX(Machine_Rates!$C$5:$C$38,MATCH(C577,Machine_Rates!$A$5:$A$38,0))</f>
        <v>0</v>
      </c>
      <c r="G577" s="22" t="n">
        <f aca="false">D577*E577*F577</f>
        <v>0</v>
      </c>
    </row>
    <row r="578" customFormat="false" ht="15" hidden="false" customHeight="false" outlineLevel="0" collapsed="false">
      <c r="A578" s="5" t="s">
        <v>586</v>
      </c>
      <c r="B578" s="2" t="s">
        <v>715</v>
      </c>
      <c r="C578" s="5" t="s">
        <v>345</v>
      </c>
      <c r="D578" s="21" t="n">
        <v>0.138</v>
      </c>
      <c r="E578" s="23" t="n">
        <v>3</v>
      </c>
      <c r="F578" s="13" t="n">
        <f aca="false">INDEX(Machine_Rates!$C$5:$C$38,MATCH(C578,Machine_Rates!$A$5:$A$38,0))</f>
        <v>4.1336</v>
      </c>
      <c r="G578" s="22" t="n">
        <f aca="false">D578*E578*F578</f>
        <v>1.7113104</v>
      </c>
    </row>
    <row r="579" customFormat="false" ht="15" hidden="false" customHeight="false" outlineLevel="0" collapsed="false">
      <c r="A579" s="5" t="s">
        <v>586</v>
      </c>
      <c r="B579" s="2" t="s">
        <v>715</v>
      </c>
      <c r="C579" s="5" t="s">
        <v>365</v>
      </c>
      <c r="D579" s="21" t="n">
        <v>0.494</v>
      </c>
      <c r="E579" s="23" t="n">
        <v>3</v>
      </c>
      <c r="F579" s="13" t="n">
        <f aca="false">INDEX(Machine_Rates!$C$5:$C$38,MATCH(C579,Machine_Rates!$A$5:$A$38,0))</f>
        <v>10.9057</v>
      </c>
      <c r="G579" s="22" t="n">
        <f aca="false">D579*E579*F579</f>
        <v>16.1622474</v>
      </c>
    </row>
    <row r="580" customFormat="false" ht="15" hidden="false" customHeight="false" outlineLevel="0" collapsed="false">
      <c r="A580" s="5" t="s">
        <v>586</v>
      </c>
      <c r="B580" s="2" t="s">
        <v>715</v>
      </c>
      <c r="C580" s="5" t="s">
        <v>353</v>
      </c>
      <c r="D580" s="21" t="n">
        <v>1.807</v>
      </c>
      <c r="E580" s="23" t="n">
        <v>1</v>
      </c>
      <c r="F580" s="13" t="n">
        <f aca="false">INDEX(Machine_Rates!$C$5:$C$38,MATCH(C580,Machine_Rates!$A$5:$A$38,0))</f>
        <v>16.82</v>
      </c>
      <c r="G580" s="22" t="n">
        <f aca="false">D580*E580*F580</f>
        <v>30.39374</v>
      </c>
    </row>
    <row r="581" customFormat="false" ht="15" hidden="false" customHeight="false" outlineLevel="0" collapsed="false">
      <c r="A581" s="5" t="s">
        <v>586</v>
      </c>
      <c r="B581" s="2" t="s">
        <v>715</v>
      </c>
      <c r="C581" s="5" t="s">
        <v>363</v>
      </c>
      <c r="D581" s="21" t="n">
        <v>0.907</v>
      </c>
      <c r="E581" s="23" t="n">
        <v>1</v>
      </c>
      <c r="F581" s="13" t="n">
        <f aca="false">INDEX(Machine_Rates!$C$5:$C$38,MATCH(C581,Machine_Rates!$A$5:$A$38,0))</f>
        <v>18.7974</v>
      </c>
      <c r="G581" s="22" t="n">
        <f aca="false">D581*E581*F581</f>
        <v>17.0492418</v>
      </c>
    </row>
    <row r="582" customFormat="false" ht="15" hidden="false" customHeight="false" outlineLevel="0" collapsed="false">
      <c r="A582" s="5" t="s">
        <v>586</v>
      </c>
      <c r="B582" s="2" t="s">
        <v>715</v>
      </c>
      <c r="C582" s="5" t="s">
        <v>353</v>
      </c>
      <c r="D582" s="21" t="n">
        <v>1.417</v>
      </c>
      <c r="E582" s="23" t="n">
        <v>1</v>
      </c>
      <c r="F582" s="13" t="n">
        <f aca="false">INDEX(Machine_Rates!$C$5:$C$38,MATCH(C582,Machine_Rates!$A$5:$A$38,0))</f>
        <v>16.82</v>
      </c>
      <c r="G582" s="22" t="n">
        <f aca="false">D582*E582*F582</f>
        <v>23.83394</v>
      </c>
    </row>
    <row r="583" customFormat="false" ht="15" hidden="false" customHeight="false" outlineLevel="0" collapsed="false">
      <c r="A583" s="5" t="s">
        <v>586</v>
      </c>
      <c r="B583" s="2" t="s">
        <v>715</v>
      </c>
      <c r="C583" s="5" t="s">
        <v>361</v>
      </c>
      <c r="D583" s="21" t="n">
        <v>1.157</v>
      </c>
      <c r="E583" s="23" t="n">
        <v>1</v>
      </c>
      <c r="F583" s="13" t="n">
        <f aca="false">INDEX(Machine_Rates!$C$5:$C$38,MATCH(C583,Machine_Rates!$A$5:$A$38,0))</f>
        <v>18.7972</v>
      </c>
      <c r="G583" s="22" t="n">
        <f aca="false">D583*E583*F583</f>
        <v>21.7483604</v>
      </c>
    </row>
    <row r="584" customFormat="false" ht="15" hidden="false" customHeight="false" outlineLevel="0" collapsed="false">
      <c r="A584" s="5" t="s">
        <v>588</v>
      </c>
      <c r="B584" s="2" t="s">
        <v>716</v>
      </c>
      <c r="C584" s="5" t="s">
        <v>372</v>
      </c>
      <c r="D584" s="21" t="n">
        <v>1.102</v>
      </c>
      <c r="E584" s="23" t="n">
        <v>4</v>
      </c>
      <c r="F584" s="13" t="n">
        <f aca="false">INDEX(Machine_Rates!$C$5:$C$38,MATCH(C584,Machine_Rates!$A$5:$A$38,0))</f>
        <v>0</v>
      </c>
      <c r="G584" s="22" t="n">
        <f aca="false">D584*E584*F584</f>
        <v>0</v>
      </c>
    </row>
    <row r="585" customFormat="false" ht="15" hidden="false" customHeight="false" outlineLevel="0" collapsed="false">
      <c r="A585" s="5" t="s">
        <v>588</v>
      </c>
      <c r="B585" s="2" t="s">
        <v>716</v>
      </c>
      <c r="C585" s="5" t="s">
        <v>368</v>
      </c>
      <c r="D585" s="21" t="n">
        <v>2.058</v>
      </c>
      <c r="E585" s="23" t="n">
        <v>4</v>
      </c>
      <c r="F585" s="13" t="n">
        <f aca="false">INDEX(Machine_Rates!$C$5:$C$38,MATCH(C585,Machine_Rates!$A$5:$A$38,0))</f>
        <v>0</v>
      </c>
      <c r="G585" s="22" t="n">
        <f aca="false">D585*E585*F585</f>
        <v>0</v>
      </c>
    </row>
    <row r="586" customFormat="false" ht="15" hidden="false" customHeight="false" outlineLevel="0" collapsed="false">
      <c r="A586" s="5" t="s">
        <v>588</v>
      </c>
      <c r="B586" s="2" t="s">
        <v>716</v>
      </c>
      <c r="C586" s="5" t="s">
        <v>343</v>
      </c>
      <c r="D586" s="21" t="n">
        <v>0.13</v>
      </c>
      <c r="E586" s="23" t="n">
        <v>4</v>
      </c>
      <c r="F586" s="13" t="n">
        <f aca="false">INDEX(Machine_Rates!$C$5:$C$38,MATCH(C586,Machine_Rates!$A$5:$A$38,0))</f>
        <v>1.716</v>
      </c>
      <c r="G586" s="22" t="n">
        <f aca="false">D586*E586*F586</f>
        <v>0.89232</v>
      </c>
    </row>
    <row r="587" customFormat="false" ht="15" hidden="false" customHeight="false" outlineLevel="0" collapsed="false">
      <c r="A587" s="5" t="s">
        <v>588</v>
      </c>
      <c r="B587" s="2" t="s">
        <v>716</v>
      </c>
      <c r="C587" s="5" t="s">
        <v>364</v>
      </c>
      <c r="D587" s="21" t="n">
        <v>0.044</v>
      </c>
      <c r="E587" s="23" t="n">
        <v>4</v>
      </c>
      <c r="F587" s="13" t="n">
        <f aca="false">INDEX(Machine_Rates!$C$5:$C$38,MATCH(C587,Machine_Rates!$A$5:$A$38,0))</f>
        <v>8.4956</v>
      </c>
      <c r="G587" s="22" t="n">
        <f aca="false">D587*E587*F587</f>
        <v>1.4952256</v>
      </c>
    </row>
    <row r="588" customFormat="false" ht="15" hidden="false" customHeight="false" outlineLevel="0" collapsed="false">
      <c r="A588" s="5" t="s">
        <v>588</v>
      </c>
      <c r="B588" s="2" t="s">
        <v>716</v>
      </c>
      <c r="C588" s="5" t="s">
        <v>341</v>
      </c>
      <c r="D588" s="21" t="n">
        <v>0.772</v>
      </c>
      <c r="E588" s="23" t="n">
        <v>1</v>
      </c>
      <c r="F588" s="13" t="n">
        <f aca="false">INDEX(Machine_Rates!$C$5:$C$38,MATCH(C588,Machine_Rates!$A$5:$A$38,0))</f>
        <v>4.1332</v>
      </c>
      <c r="G588" s="22" t="n">
        <f aca="false">D588*E588*F588</f>
        <v>3.1908304</v>
      </c>
    </row>
    <row r="589" customFormat="false" ht="15" hidden="false" customHeight="false" outlineLevel="0" collapsed="false">
      <c r="A589" s="5" t="s">
        <v>588</v>
      </c>
      <c r="B589" s="2" t="s">
        <v>716</v>
      </c>
      <c r="C589" s="5" t="s">
        <v>365</v>
      </c>
      <c r="D589" s="21" t="n">
        <v>0.579</v>
      </c>
      <c r="E589" s="23" t="n">
        <v>1</v>
      </c>
      <c r="F589" s="13" t="n">
        <f aca="false">INDEX(Machine_Rates!$C$5:$C$38,MATCH(C589,Machine_Rates!$A$5:$A$38,0))</f>
        <v>10.9057</v>
      </c>
      <c r="G589" s="22" t="n">
        <f aca="false">D589*E589*F589</f>
        <v>6.3144003</v>
      </c>
    </row>
    <row r="590" customFormat="false" ht="15" hidden="false" customHeight="false" outlineLevel="0" collapsed="false">
      <c r="A590" s="5" t="s">
        <v>588</v>
      </c>
      <c r="B590" s="2" t="s">
        <v>716</v>
      </c>
      <c r="C590" s="5" t="s">
        <v>337</v>
      </c>
      <c r="D590" s="21" t="n">
        <v>2.315</v>
      </c>
      <c r="E590" s="23" t="n">
        <v>1</v>
      </c>
      <c r="F590" s="13" t="n">
        <f aca="false">INDEX(Machine_Rates!$C$5:$C$38,MATCH(C590,Machine_Rates!$A$5:$A$38,0))</f>
        <v>4.3539</v>
      </c>
      <c r="G590" s="22" t="n">
        <f aca="false">D590*E590*F590</f>
        <v>10.0792785</v>
      </c>
    </row>
    <row r="591" customFormat="false" ht="15" hidden="false" customHeight="false" outlineLevel="0" collapsed="false">
      <c r="A591" s="5" t="s">
        <v>588</v>
      </c>
      <c r="B591" s="2" t="s">
        <v>716</v>
      </c>
      <c r="C591" s="5" t="s">
        <v>359</v>
      </c>
      <c r="D591" s="21" t="n">
        <v>0.676</v>
      </c>
      <c r="E591" s="23" t="n">
        <v>1</v>
      </c>
      <c r="F591" s="13" t="n">
        <f aca="false">INDEX(Machine_Rates!$C$5:$C$38,MATCH(C591,Machine_Rates!$A$5:$A$38,0))</f>
        <v>13.1531</v>
      </c>
      <c r="G591" s="22" t="n">
        <f aca="false">D591*E591*F591</f>
        <v>8.8914956</v>
      </c>
    </row>
    <row r="592" customFormat="false" ht="15" hidden="false" customHeight="false" outlineLevel="0" collapsed="false">
      <c r="A592" s="5" t="s">
        <v>590</v>
      </c>
      <c r="B592" s="2" t="s">
        <v>717</v>
      </c>
      <c r="C592" s="5" t="s">
        <v>372</v>
      </c>
      <c r="D592" s="21" t="n">
        <v>1.102</v>
      </c>
      <c r="E592" s="23" t="n">
        <v>4</v>
      </c>
      <c r="F592" s="13" t="n">
        <f aca="false">INDEX(Machine_Rates!$C$5:$C$38,MATCH(C592,Machine_Rates!$A$5:$A$38,0))</f>
        <v>0</v>
      </c>
      <c r="G592" s="22" t="n">
        <f aca="false">D592*E592*F592</f>
        <v>0</v>
      </c>
    </row>
    <row r="593" customFormat="false" ht="15" hidden="false" customHeight="false" outlineLevel="0" collapsed="false">
      <c r="A593" s="5" t="s">
        <v>590</v>
      </c>
      <c r="B593" s="2" t="s">
        <v>717</v>
      </c>
      <c r="C593" s="5" t="s">
        <v>368</v>
      </c>
      <c r="D593" s="21" t="n">
        <v>2.437</v>
      </c>
      <c r="E593" s="23" t="n">
        <v>4</v>
      </c>
      <c r="F593" s="13" t="n">
        <f aca="false">INDEX(Machine_Rates!$C$5:$C$38,MATCH(C593,Machine_Rates!$A$5:$A$38,0))</f>
        <v>0</v>
      </c>
      <c r="G593" s="22" t="n">
        <f aca="false">D593*E593*F593</f>
        <v>0</v>
      </c>
    </row>
    <row r="594" customFormat="false" ht="15" hidden="false" customHeight="false" outlineLevel="0" collapsed="false">
      <c r="A594" s="5" t="s">
        <v>590</v>
      </c>
      <c r="B594" s="2" t="s">
        <v>717</v>
      </c>
      <c r="C594" s="5" t="s">
        <v>344</v>
      </c>
      <c r="D594" s="21" t="n">
        <v>0.139</v>
      </c>
      <c r="E594" s="23" t="n">
        <v>4</v>
      </c>
      <c r="F594" s="13" t="n">
        <f aca="false">INDEX(Machine_Rates!$C$5:$C$38,MATCH(C594,Machine_Rates!$A$5:$A$38,0))</f>
        <v>1.7156</v>
      </c>
      <c r="G594" s="22" t="n">
        <f aca="false">D594*E594*F594</f>
        <v>0.9538736</v>
      </c>
    </row>
    <row r="595" customFormat="false" ht="15" hidden="false" customHeight="false" outlineLevel="0" collapsed="false">
      <c r="A595" s="5" t="s">
        <v>590</v>
      </c>
      <c r="B595" s="2" t="s">
        <v>717</v>
      </c>
      <c r="C595" s="5" t="s">
        <v>364</v>
      </c>
      <c r="D595" s="21" t="n">
        <v>0.051</v>
      </c>
      <c r="E595" s="23" t="n">
        <v>4</v>
      </c>
      <c r="F595" s="13" t="n">
        <f aca="false">INDEX(Machine_Rates!$C$5:$C$38,MATCH(C595,Machine_Rates!$A$5:$A$38,0))</f>
        <v>8.4956</v>
      </c>
      <c r="G595" s="22" t="n">
        <f aca="false">D595*E595*F595</f>
        <v>1.7331024</v>
      </c>
    </row>
    <row r="596" customFormat="false" ht="15" hidden="false" customHeight="false" outlineLevel="0" collapsed="false">
      <c r="A596" s="5" t="s">
        <v>590</v>
      </c>
      <c r="B596" s="2" t="s">
        <v>717</v>
      </c>
      <c r="C596" s="5" t="s">
        <v>341</v>
      </c>
      <c r="D596" s="21" t="n">
        <v>0.772</v>
      </c>
      <c r="E596" s="23" t="n">
        <v>1</v>
      </c>
      <c r="F596" s="13" t="n">
        <f aca="false">INDEX(Machine_Rates!$C$5:$C$38,MATCH(C596,Machine_Rates!$A$5:$A$38,0))</f>
        <v>4.1332</v>
      </c>
      <c r="G596" s="22" t="n">
        <f aca="false">D596*E596*F596</f>
        <v>3.1908304</v>
      </c>
    </row>
    <row r="597" customFormat="false" ht="15" hidden="false" customHeight="false" outlineLevel="0" collapsed="false">
      <c r="A597" s="5" t="s">
        <v>590</v>
      </c>
      <c r="B597" s="2" t="s">
        <v>717</v>
      </c>
      <c r="C597" s="5" t="s">
        <v>365</v>
      </c>
      <c r="D597" s="21" t="n">
        <v>0.579</v>
      </c>
      <c r="E597" s="23" t="n">
        <v>1</v>
      </c>
      <c r="F597" s="13" t="n">
        <f aca="false">INDEX(Machine_Rates!$C$5:$C$38,MATCH(C597,Machine_Rates!$A$5:$A$38,0))</f>
        <v>10.9057</v>
      </c>
      <c r="G597" s="22" t="n">
        <f aca="false">D597*E597*F597</f>
        <v>6.3144003</v>
      </c>
    </row>
    <row r="598" customFormat="false" ht="15" hidden="false" customHeight="false" outlineLevel="0" collapsed="false">
      <c r="A598" s="5" t="s">
        <v>590</v>
      </c>
      <c r="B598" s="2" t="s">
        <v>717</v>
      </c>
      <c r="C598" s="5" t="s">
        <v>337</v>
      </c>
      <c r="D598" s="21" t="n">
        <v>2.315</v>
      </c>
      <c r="E598" s="23" t="n">
        <v>1</v>
      </c>
      <c r="F598" s="13" t="n">
        <f aca="false">INDEX(Machine_Rates!$C$5:$C$38,MATCH(C598,Machine_Rates!$A$5:$A$38,0))</f>
        <v>4.3539</v>
      </c>
      <c r="G598" s="22" t="n">
        <f aca="false">D598*E598*F598</f>
        <v>10.0792785</v>
      </c>
    </row>
    <row r="599" customFormat="false" ht="15" hidden="false" customHeight="false" outlineLevel="0" collapsed="false">
      <c r="A599" s="5" t="s">
        <v>590</v>
      </c>
      <c r="B599" s="2" t="s">
        <v>717</v>
      </c>
      <c r="C599" s="5" t="s">
        <v>359</v>
      </c>
      <c r="D599" s="21" t="n">
        <v>0.676</v>
      </c>
      <c r="E599" s="23" t="n">
        <v>1</v>
      </c>
      <c r="F599" s="13" t="n">
        <f aca="false">INDEX(Machine_Rates!$C$5:$C$38,MATCH(C599,Machine_Rates!$A$5:$A$38,0))</f>
        <v>13.1531</v>
      </c>
      <c r="G599" s="22" t="n">
        <f aca="false">D599*E599*F599</f>
        <v>8.8914956</v>
      </c>
    </row>
    <row r="600" customFormat="false" ht="15" hidden="false" customHeight="false" outlineLevel="0" collapsed="false">
      <c r="A600" s="5" t="s">
        <v>592</v>
      </c>
      <c r="B600" s="2" t="s">
        <v>718</v>
      </c>
      <c r="C600" s="5" t="s">
        <v>372</v>
      </c>
      <c r="D600" s="21" t="n">
        <v>1.102</v>
      </c>
      <c r="E600" s="23" t="n">
        <v>49.9199981689453</v>
      </c>
      <c r="F600" s="13" t="n">
        <f aca="false">INDEX(Machine_Rates!$C$5:$C$38,MATCH(C600,Machine_Rates!$A$5:$A$38,0))</f>
        <v>0</v>
      </c>
      <c r="G600" s="22" t="n">
        <f aca="false">D600*E600*F600</f>
        <v>0</v>
      </c>
    </row>
    <row r="601" customFormat="false" ht="15" hidden="false" customHeight="false" outlineLevel="0" collapsed="false">
      <c r="A601" s="5" t="s">
        <v>592</v>
      </c>
      <c r="B601" s="2" t="s">
        <v>718</v>
      </c>
      <c r="C601" s="5" t="s">
        <v>368</v>
      </c>
      <c r="D601" s="21" t="n">
        <v>1.157</v>
      </c>
      <c r="E601" s="23" t="n">
        <v>49.9199981689453</v>
      </c>
      <c r="F601" s="13" t="n">
        <f aca="false">INDEX(Machine_Rates!$C$5:$C$38,MATCH(C601,Machine_Rates!$A$5:$A$38,0))</f>
        <v>0</v>
      </c>
      <c r="G601" s="22" t="n">
        <f aca="false">D601*E601*F601</f>
        <v>0</v>
      </c>
    </row>
    <row r="602" customFormat="false" ht="15" hidden="false" customHeight="false" outlineLevel="0" collapsed="false">
      <c r="A602" s="5" t="s">
        <v>592</v>
      </c>
      <c r="B602" s="2" t="s">
        <v>718</v>
      </c>
      <c r="C602" s="5" t="s">
        <v>343</v>
      </c>
      <c r="D602" s="21" t="n">
        <v>0.156</v>
      </c>
      <c r="E602" s="23" t="n">
        <v>49.9199981689453</v>
      </c>
      <c r="F602" s="13" t="n">
        <f aca="false">INDEX(Machine_Rates!$C$5:$C$38,MATCH(C602,Machine_Rates!$A$5:$A$38,0))</f>
        <v>1.716</v>
      </c>
      <c r="G602" s="22" t="n">
        <f aca="false">D602*E602*F602</f>
        <v>13.363383829834</v>
      </c>
    </row>
    <row r="603" customFormat="false" ht="15" hidden="false" customHeight="false" outlineLevel="0" collapsed="false">
      <c r="A603" s="5" t="s">
        <v>592</v>
      </c>
      <c r="B603" s="2" t="s">
        <v>718</v>
      </c>
      <c r="C603" s="5" t="s">
        <v>380</v>
      </c>
      <c r="D603" s="21" t="n">
        <v>3.157</v>
      </c>
      <c r="E603" s="23" t="n">
        <v>49.9199981689453</v>
      </c>
      <c r="F603" s="13" t="n">
        <f aca="false">INDEX(Machine_Rates!$C$5:$C$38,MATCH(C603,Machine_Rates!$A$5:$A$38,0))</f>
        <v>1.771</v>
      </c>
      <c r="G603" s="22" t="n">
        <f aca="false">D603*E603*F603</f>
        <v>279.105056002487</v>
      </c>
    </row>
    <row r="604" customFormat="false" ht="15" hidden="false" customHeight="false" outlineLevel="0" collapsed="false">
      <c r="A604" s="5" t="s">
        <v>592</v>
      </c>
      <c r="B604" s="2" t="s">
        <v>718</v>
      </c>
      <c r="C604" s="5" t="s">
        <v>368</v>
      </c>
      <c r="D604" s="21" t="n">
        <v>0.926</v>
      </c>
      <c r="E604" s="23" t="n">
        <v>4.5</v>
      </c>
      <c r="F604" s="13" t="n">
        <f aca="false">INDEX(Machine_Rates!$C$5:$C$38,MATCH(C604,Machine_Rates!$A$5:$A$38,0))</f>
        <v>0</v>
      </c>
      <c r="G604" s="22" t="n">
        <f aca="false">D604*E604*F604</f>
        <v>0</v>
      </c>
    </row>
    <row r="605" customFormat="false" ht="15" hidden="false" customHeight="false" outlineLevel="0" collapsed="false">
      <c r="A605" s="5" t="s">
        <v>592</v>
      </c>
      <c r="B605" s="2" t="s">
        <v>718</v>
      </c>
      <c r="C605" s="5" t="s">
        <v>364</v>
      </c>
      <c r="D605" s="21" t="n">
        <v>0.039</v>
      </c>
      <c r="E605" s="23" t="n">
        <v>49.9199981689453</v>
      </c>
      <c r="F605" s="13" t="n">
        <f aca="false">INDEX(Machine_Rates!$C$5:$C$38,MATCH(C605,Machine_Rates!$A$5:$A$38,0))</f>
        <v>8.4956</v>
      </c>
      <c r="G605" s="22" t="n">
        <f aca="false">D605*E605*F605</f>
        <v>16.5399131213196</v>
      </c>
    </row>
    <row r="606" customFormat="false" ht="15" hidden="false" customHeight="false" outlineLevel="0" collapsed="false">
      <c r="A606" s="5" t="s">
        <v>592</v>
      </c>
      <c r="B606" s="2" t="s">
        <v>718</v>
      </c>
      <c r="C606" s="5" t="s">
        <v>376</v>
      </c>
      <c r="D606" s="21" t="n">
        <v>4.085</v>
      </c>
      <c r="E606" s="23" t="n">
        <v>1</v>
      </c>
      <c r="F606" s="13" t="n">
        <f aca="false">INDEX(Machine_Rates!$C$5:$C$38,MATCH(C606,Machine_Rates!$A$5:$A$38,0))</f>
        <v>15.0109</v>
      </c>
      <c r="G606" s="22" t="n">
        <f aca="false">D606*E606*F606</f>
        <v>61.3195265</v>
      </c>
    </row>
    <row r="607" customFormat="false" ht="15" hidden="false" customHeight="false" outlineLevel="0" collapsed="false">
      <c r="A607" s="5" t="s">
        <v>592</v>
      </c>
      <c r="B607" s="2" t="s">
        <v>718</v>
      </c>
      <c r="C607" s="5" t="s">
        <v>360</v>
      </c>
      <c r="D607" s="21" t="n">
        <v>1.042</v>
      </c>
      <c r="E607" s="23" t="n">
        <v>1</v>
      </c>
      <c r="F607" s="13" t="n">
        <f aca="false">INDEX(Machine_Rates!$C$5:$C$38,MATCH(C607,Machine_Rates!$A$5:$A$38,0))</f>
        <v>12.3201</v>
      </c>
      <c r="G607" s="22" t="n">
        <f aca="false">D607*E607*F607</f>
        <v>12.8375442</v>
      </c>
    </row>
    <row r="608" customFormat="false" ht="15" hidden="false" customHeight="false" outlineLevel="0" collapsed="false">
      <c r="A608" s="5" t="s">
        <v>592</v>
      </c>
      <c r="B608" s="2" t="s">
        <v>718</v>
      </c>
      <c r="C608" s="5" t="s">
        <v>351</v>
      </c>
      <c r="D608" s="21" t="n">
        <v>2.116</v>
      </c>
      <c r="E608" s="23" t="n">
        <v>1</v>
      </c>
      <c r="F608" s="13" t="n">
        <f aca="false">INDEX(Machine_Rates!$C$5:$C$38,MATCH(C608,Machine_Rates!$A$5:$A$38,0))</f>
        <v>12.2442</v>
      </c>
      <c r="G608" s="22" t="n">
        <f aca="false">D608*E608*F608</f>
        <v>25.9087272</v>
      </c>
    </row>
    <row r="609" customFormat="false" ht="15" hidden="false" customHeight="false" outlineLevel="0" collapsed="false">
      <c r="A609" s="5" t="s">
        <v>592</v>
      </c>
      <c r="B609" s="2" t="s">
        <v>718</v>
      </c>
      <c r="C609" s="5" t="s">
        <v>363</v>
      </c>
      <c r="D609" s="21" t="n">
        <v>1.235</v>
      </c>
      <c r="E609" s="23" t="n">
        <v>1</v>
      </c>
      <c r="F609" s="13" t="n">
        <f aca="false">INDEX(Machine_Rates!$C$5:$C$38,MATCH(C609,Machine_Rates!$A$5:$A$38,0))</f>
        <v>18.7974</v>
      </c>
      <c r="G609" s="22" t="n">
        <f aca="false">D609*E609*F609</f>
        <v>23.214789</v>
      </c>
    </row>
    <row r="610" customFormat="false" ht="15" hidden="false" customHeight="false" outlineLevel="0" collapsed="false">
      <c r="A610" s="5" t="s">
        <v>594</v>
      </c>
      <c r="B610" s="2" t="s">
        <v>719</v>
      </c>
      <c r="C610" s="5" t="s">
        <v>372</v>
      </c>
      <c r="D610" s="21" t="n">
        <v>1.102</v>
      </c>
      <c r="E610" s="23" t="n">
        <v>49.9199981689453</v>
      </c>
      <c r="F610" s="13" t="n">
        <f aca="false">INDEX(Machine_Rates!$C$5:$C$38,MATCH(C610,Machine_Rates!$A$5:$A$38,0))</f>
        <v>0</v>
      </c>
      <c r="G610" s="22" t="n">
        <f aca="false">D610*E610*F610</f>
        <v>0</v>
      </c>
    </row>
    <row r="611" customFormat="false" ht="15" hidden="false" customHeight="false" outlineLevel="0" collapsed="false">
      <c r="A611" s="5" t="s">
        <v>594</v>
      </c>
      <c r="B611" s="2" t="s">
        <v>719</v>
      </c>
      <c r="C611" s="5" t="s">
        <v>368</v>
      </c>
      <c r="D611" s="21" t="n">
        <v>2.058</v>
      </c>
      <c r="E611" s="23" t="n">
        <v>49.9199981689453</v>
      </c>
      <c r="F611" s="13" t="n">
        <f aca="false">INDEX(Machine_Rates!$C$5:$C$38,MATCH(C611,Machine_Rates!$A$5:$A$38,0))</f>
        <v>0</v>
      </c>
      <c r="G611" s="22" t="n">
        <f aca="false">D611*E611*F611</f>
        <v>0</v>
      </c>
    </row>
    <row r="612" customFormat="false" ht="15" hidden="false" customHeight="false" outlineLevel="0" collapsed="false">
      <c r="A612" s="5" t="s">
        <v>594</v>
      </c>
      <c r="B612" s="2" t="s">
        <v>719</v>
      </c>
      <c r="C612" s="5" t="s">
        <v>343</v>
      </c>
      <c r="D612" s="21" t="n">
        <v>0.13</v>
      </c>
      <c r="E612" s="23" t="n">
        <v>49.9199981689453</v>
      </c>
      <c r="F612" s="13" t="n">
        <f aca="false">INDEX(Machine_Rates!$C$5:$C$38,MATCH(C612,Machine_Rates!$A$5:$A$38,0))</f>
        <v>1.716</v>
      </c>
      <c r="G612" s="22" t="n">
        <f aca="false">D612*E612*F612</f>
        <v>11.1361531915283</v>
      </c>
    </row>
    <row r="613" customFormat="false" ht="15" hidden="false" customHeight="false" outlineLevel="0" collapsed="false">
      <c r="A613" s="5" t="s">
        <v>594</v>
      </c>
      <c r="B613" s="2" t="s">
        <v>719</v>
      </c>
      <c r="C613" s="5" t="s">
        <v>380</v>
      </c>
      <c r="D613" s="21" t="n">
        <v>2.437</v>
      </c>
      <c r="E613" s="23" t="n">
        <v>49.9199981689453</v>
      </c>
      <c r="F613" s="13" t="n">
        <f aca="false">INDEX(Machine_Rates!$C$5:$C$38,MATCH(C613,Machine_Rates!$A$5:$A$38,0))</f>
        <v>1.771</v>
      </c>
      <c r="G613" s="22" t="n">
        <f aca="false">D613*E613*F613</f>
        <v>215.451067937302</v>
      </c>
    </row>
    <row r="614" customFormat="false" ht="15" hidden="false" customHeight="false" outlineLevel="0" collapsed="false">
      <c r="A614" s="5" t="s">
        <v>594</v>
      </c>
      <c r="B614" s="2" t="s">
        <v>719</v>
      </c>
      <c r="C614" s="5" t="s">
        <v>368</v>
      </c>
      <c r="D614" s="21" t="n">
        <v>0.926</v>
      </c>
      <c r="E614" s="23" t="n">
        <v>4.5</v>
      </c>
      <c r="F614" s="13" t="n">
        <f aca="false">INDEX(Machine_Rates!$C$5:$C$38,MATCH(C614,Machine_Rates!$A$5:$A$38,0))</f>
        <v>0</v>
      </c>
      <c r="G614" s="22" t="n">
        <f aca="false">D614*E614*F614</f>
        <v>0</v>
      </c>
    </row>
    <row r="615" customFormat="false" ht="15" hidden="false" customHeight="false" outlineLevel="0" collapsed="false">
      <c r="A615" s="5" t="s">
        <v>594</v>
      </c>
      <c r="B615" s="2" t="s">
        <v>719</v>
      </c>
      <c r="C615" s="5" t="s">
        <v>364</v>
      </c>
      <c r="D615" s="21" t="n">
        <v>0.044</v>
      </c>
      <c r="E615" s="23" t="n">
        <v>49.9199981689453</v>
      </c>
      <c r="F615" s="13" t="n">
        <f aca="false">INDEX(Machine_Rates!$C$5:$C$38,MATCH(C615,Machine_Rates!$A$5:$A$38,0))</f>
        <v>8.4956</v>
      </c>
      <c r="G615" s="22" t="n">
        <f aca="false">D615*E615*F615</f>
        <v>18.66041480354</v>
      </c>
    </row>
    <row r="616" customFormat="false" ht="15" hidden="false" customHeight="false" outlineLevel="0" collapsed="false">
      <c r="A616" s="5" t="s">
        <v>594</v>
      </c>
      <c r="B616" s="2" t="s">
        <v>719</v>
      </c>
      <c r="C616" s="5" t="s">
        <v>376</v>
      </c>
      <c r="D616" s="21" t="n">
        <v>4.085</v>
      </c>
      <c r="E616" s="23" t="n">
        <v>1</v>
      </c>
      <c r="F616" s="13" t="n">
        <f aca="false">INDEX(Machine_Rates!$C$5:$C$38,MATCH(C616,Machine_Rates!$A$5:$A$38,0))</f>
        <v>15.0109</v>
      </c>
      <c r="G616" s="22" t="n">
        <f aca="false">D616*E616*F616</f>
        <v>61.3195265</v>
      </c>
    </row>
    <row r="617" customFormat="false" ht="15" hidden="false" customHeight="false" outlineLevel="0" collapsed="false">
      <c r="A617" s="5" t="s">
        <v>594</v>
      </c>
      <c r="B617" s="2" t="s">
        <v>719</v>
      </c>
      <c r="C617" s="5" t="s">
        <v>363</v>
      </c>
      <c r="D617" s="21" t="n">
        <v>1.111</v>
      </c>
      <c r="E617" s="23" t="n">
        <v>1</v>
      </c>
      <c r="F617" s="13" t="n">
        <f aca="false">INDEX(Machine_Rates!$C$5:$C$38,MATCH(C617,Machine_Rates!$A$5:$A$38,0))</f>
        <v>18.7974</v>
      </c>
      <c r="G617" s="22" t="n">
        <f aca="false">D617*E617*F617</f>
        <v>20.8839114</v>
      </c>
    </row>
    <row r="618" customFormat="false" ht="15" hidden="false" customHeight="false" outlineLevel="0" collapsed="false">
      <c r="A618" s="5" t="s">
        <v>594</v>
      </c>
      <c r="B618" s="2" t="s">
        <v>719</v>
      </c>
      <c r="C618" s="5" t="s">
        <v>353</v>
      </c>
      <c r="D618" s="21" t="n">
        <v>2.646</v>
      </c>
      <c r="E618" s="23" t="n">
        <v>1</v>
      </c>
      <c r="F618" s="13" t="n">
        <f aca="false">INDEX(Machine_Rates!$C$5:$C$38,MATCH(C618,Machine_Rates!$A$5:$A$38,0))</f>
        <v>16.82</v>
      </c>
      <c r="G618" s="22" t="n">
        <f aca="false">D618*E618*F618</f>
        <v>44.50572</v>
      </c>
    </row>
    <row r="619" customFormat="false" ht="15" hidden="false" customHeight="false" outlineLevel="0" collapsed="false">
      <c r="A619" s="5" t="s">
        <v>594</v>
      </c>
      <c r="B619" s="2" t="s">
        <v>719</v>
      </c>
      <c r="C619" s="5" t="s">
        <v>363</v>
      </c>
      <c r="D619" s="21" t="n">
        <v>1.235</v>
      </c>
      <c r="E619" s="23" t="n">
        <v>1</v>
      </c>
      <c r="F619" s="13" t="n">
        <f aca="false">INDEX(Machine_Rates!$C$5:$C$38,MATCH(C619,Machine_Rates!$A$5:$A$38,0))</f>
        <v>18.7974</v>
      </c>
      <c r="G619" s="22" t="n">
        <f aca="false">D619*E619*F619</f>
        <v>23.214789</v>
      </c>
    </row>
    <row r="620" customFormat="false" ht="15" hidden="false" customHeight="false" outlineLevel="0" collapsed="false">
      <c r="A620" s="5" t="s">
        <v>596</v>
      </c>
      <c r="B620" s="2" t="s">
        <v>720</v>
      </c>
      <c r="C620" s="5" t="s">
        <v>372</v>
      </c>
      <c r="D620" s="21" t="n">
        <v>1.102</v>
      </c>
      <c r="E620" s="23" t="n">
        <v>49.9199981689453</v>
      </c>
      <c r="F620" s="13" t="n">
        <f aca="false">INDEX(Machine_Rates!$C$5:$C$38,MATCH(C620,Machine_Rates!$A$5:$A$38,0))</f>
        <v>0</v>
      </c>
      <c r="G620" s="22" t="n">
        <f aca="false">D620*E620*F620</f>
        <v>0</v>
      </c>
    </row>
    <row r="621" customFormat="false" ht="15" hidden="false" customHeight="false" outlineLevel="0" collapsed="false">
      <c r="A621" s="5" t="s">
        <v>596</v>
      </c>
      <c r="B621" s="2" t="s">
        <v>720</v>
      </c>
      <c r="C621" s="5" t="s">
        <v>368</v>
      </c>
      <c r="D621" s="21" t="n">
        <v>2.058</v>
      </c>
      <c r="E621" s="23" t="n">
        <v>49.9199981689453</v>
      </c>
      <c r="F621" s="13" t="n">
        <f aca="false">INDEX(Machine_Rates!$C$5:$C$38,MATCH(C621,Machine_Rates!$A$5:$A$38,0))</f>
        <v>0</v>
      </c>
      <c r="G621" s="22" t="n">
        <f aca="false">D621*E621*F621</f>
        <v>0</v>
      </c>
    </row>
    <row r="622" customFormat="false" ht="15" hidden="false" customHeight="false" outlineLevel="0" collapsed="false">
      <c r="A622" s="5" t="s">
        <v>596</v>
      </c>
      <c r="B622" s="2" t="s">
        <v>720</v>
      </c>
      <c r="C622" s="5" t="s">
        <v>343</v>
      </c>
      <c r="D622" s="21" t="n">
        <v>0.13</v>
      </c>
      <c r="E622" s="23" t="n">
        <v>49.9199981689453</v>
      </c>
      <c r="F622" s="13" t="n">
        <f aca="false">INDEX(Machine_Rates!$C$5:$C$38,MATCH(C622,Machine_Rates!$A$5:$A$38,0))</f>
        <v>1.716</v>
      </c>
      <c r="G622" s="22" t="n">
        <f aca="false">D622*E622*F622</f>
        <v>11.1361531915283</v>
      </c>
    </row>
    <row r="623" customFormat="false" ht="15" hidden="false" customHeight="false" outlineLevel="0" collapsed="false">
      <c r="A623" s="5" t="s">
        <v>596</v>
      </c>
      <c r="B623" s="2" t="s">
        <v>720</v>
      </c>
      <c r="C623" s="5" t="s">
        <v>368</v>
      </c>
      <c r="D623" s="21" t="n">
        <v>0.926</v>
      </c>
      <c r="E623" s="23" t="n">
        <v>4.5</v>
      </c>
      <c r="F623" s="13" t="n">
        <f aca="false">INDEX(Machine_Rates!$C$5:$C$38,MATCH(C623,Machine_Rates!$A$5:$A$38,0))</f>
        <v>0</v>
      </c>
      <c r="G623" s="22" t="n">
        <f aca="false">D623*E623*F623</f>
        <v>0</v>
      </c>
    </row>
    <row r="624" customFormat="false" ht="15" hidden="false" customHeight="false" outlineLevel="0" collapsed="false">
      <c r="A624" s="5" t="s">
        <v>596</v>
      </c>
      <c r="B624" s="2" t="s">
        <v>720</v>
      </c>
      <c r="C624" s="5" t="s">
        <v>364</v>
      </c>
      <c r="D624" s="21" t="n">
        <v>0.044</v>
      </c>
      <c r="E624" s="23" t="n">
        <v>49.9199981689453</v>
      </c>
      <c r="F624" s="13" t="n">
        <f aca="false">INDEX(Machine_Rates!$C$5:$C$38,MATCH(C624,Machine_Rates!$A$5:$A$38,0))</f>
        <v>8.4956</v>
      </c>
      <c r="G624" s="22" t="n">
        <f aca="false">D624*E624*F624</f>
        <v>18.66041480354</v>
      </c>
    </row>
    <row r="625" customFormat="false" ht="15" hidden="false" customHeight="false" outlineLevel="0" collapsed="false">
      <c r="A625" s="5" t="s">
        <v>596</v>
      </c>
      <c r="B625" s="2" t="s">
        <v>720</v>
      </c>
      <c r="C625" s="5" t="s">
        <v>376</v>
      </c>
      <c r="D625" s="21" t="n">
        <v>4.085</v>
      </c>
      <c r="E625" s="23" t="n">
        <v>1</v>
      </c>
      <c r="F625" s="13" t="n">
        <f aca="false">INDEX(Machine_Rates!$C$5:$C$38,MATCH(C625,Machine_Rates!$A$5:$A$38,0))</f>
        <v>15.0109</v>
      </c>
      <c r="G625" s="22" t="n">
        <f aca="false">D625*E625*F625</f>
        <v>61.3195265</v>
      </c>
    </row>
    <row r="626" customFormat="false" ht="15" hidden="false" customHeight="false" outlineLevel="0" collapsed="false">
      <c r="A626" s="5" t="s">
        <v>596</v>
      </c>
      <c r="B626" s="2" t="s">
        <v>720</v>
      </c>
      <c r="C626" s="5" t="s">
        <v>360</v>
      </c>
      <c r="D626" s="21" t="n">
        <v>1.042</v>
      </c>
      <c r="E626" s="23" t="n">
        <v>1</v>
      </c>
      <c r="F626" s="13" t="n">
        <f aca="false">INDEX(Machine_Rates!$C$5:$C$38,MATCH(C626,Machine_Rates!$A$5:$A$38,0))</f>
        <v>12.3201</v>
      </c>
      <c r="G626" s="22" t="n">
        <f aca="false">D626*E626*F626</f>
        <v>12.8375442</v>
      </c>
    </row>
    <row r="627" customFormat="false" ht="15" hidden="false" customHeight="false" outlineLevel="0" collapsed="false">
      <c r="A627" s="5" t="s">
        <v>596</v>
      </c>
      <c r="B627" s="2" t="s">
        <v>720</v>
      </c>
      <c r="C627" s="5" t="s">
        <v>353</v>
      </c>
      <c r="D627" s="21" t="n">
        <v>2.48</v>
      </c>
      <c r="E627" s="23" t="n">
        <v>1</v>
      </c>
      <c r="F627" s="13" t="n">
        <f aca="false">INDEX(Machine_Rates!$C$5:$C$38,MATCH(C627,Machine_Rates!$A$5:$A$38,0))</f>
        <v>16.82</v>
      </c>
      <c r="G627" s="22" t="n">
        <f aca="false">D627*E627*F627</f>
        <v>41.7136</v>
      </c>
    </row>
    <row r="628" customFormat="false" ht="15" hidden="false" customHeight="false" outlineLevel="0" collapsed="false">
      <c r="A628" s="5" t="s">
        <v>596</v>
      </c>
      <c r="B628" s="2" t="s">
        <v>720</v>
      </c>
      <c r="C628" s="5" t="s">
        <v>363</v>
      </c>
      <c r="D628" s="21" t="n">
        <v>1.235</v>
      </c>
      <c r="E628" s="23" t="n">
        <v>1</v>
      </c>
      <c r="F628" s="13" t="n">
        <f aca="false">INDEX(Machine_Rates!$C$5:$C$38,MATCH(C628,Machine_Rates!$A$5:$A$38,0))</f>
        <v>18.7974</v>
      </c>
      <c r="G628" s="22" t="n">
        <f aca="false">D628*E628*F628</f>
        <v>23.214789</v>
      </c>
    </row>
    <row r="629" customFormat="false" ht="15" hidden="false" customHeight="false" outlineLevel="0" collapsed="false">
      <c r="A629" s="5" t="s">
        <v>598</v>
      </c>
      <c r="B629" s="2" t="s">
        <v>721</v>
      </c>
      <c r="C629" s="5" t="s">
        <v>370</v>
      </c>
      <c r="D629" s="21" t="n">
        <v>0.723</v>
      </c>
      <c r="E629" s="23" t="n">
        <v>4</v>
      </c>
      <c r="F629" s="13" t="n">
        <f aca="false">INDEX(Machine_Rates!$C$5:$C$38,MATCH(C629,Machine_Rates!$A$5:$A$38,0))</f>
        <v>0</v>
      </c>
      <c r="G629" s="22" t="n">
        <f aca="false">D629*E629*F629</f>
        <v>0</v>
      </c>
    </row>
    <row r="630" customFormat="false" ht="15" hidden="false" customHeight="false" outlineLevel="0" collapsed="false">
      <c r="A630" s="5" t="s">
        <v>598</v>
      </c>
      <c r="B630" s="2" t="s">
        <v>721</v>
      </c>
      <c r="C630" s="5" t="s">
        <v>339</v>
      </c>
      <c r="D630" s="21" t="n">
        <v>0.217</v>
      </c>
      <c r="E630" s="23" t="n">
        <v>4</v>
      </c>
      <c r="F630" s="13" t="n">
        <f aca="false">INDEX(Machine_Rates!$C$5:$C$38,MATCH(C630,Machine_Rates!$A$5:$A$38,0))</f>
        <v>4.129</v>
      </c>
      <c r="G630" s="22" t="n">
        <f aca="false">D630*E630*F630</f>
        <v>3.583972</v>
      </c>
    </row>
    <row r="631" customFormat="false" ht="15" hidden="false" customHeight="false" outlineLevel="0" collapsed="false">
      <c r="A631" s="5" t="s">
        <v>598</v>
      </c>
      <c r="B631" s="2" t="s">
        <v>721</v>
      </c>
      <c r="C631" s="5" t="s">
        <v>364</v>
      </c>
      <c r="D631" s="21" t="n">
        <v>0.154</v>
      </c>
      <c r="E631" s="23" t="n">
        <v>4</v>
      </c>
      <c r="F631" s="13" t="n">
        <f aca="false">INDEX(Machine_Rates!$C$5:$C$38,MATCH(C631,Machine_Rates!$A$5:$A$38,0))</f>
        <v>8.4956</v>
      </c>
      <c r="G631" s="22" t="n">
        <f aca="false">D631*E631*F631</f>
        <v>5.2332896</v>
      </c>
    </row>
    <row r="632" customFormat="false" ht="15" hidden="false" customHeight="false" outlineLevel="0" collapsed="false">
      <c r="A632" s="5" t="s">
        <v>598</v>
      </c>
      <c r="B632" s="2" t="s">
        <v>721</v>
      </c>
      <c r="C632" s="5" t="s">
        <v>373</v>
      </c>
      <c r="D632" s="21" t="n">
        <v>0.686</v>
      </c>
      <c r="E632" s="23" t="n">
        <v>1</v>
      </c>
      <c r="F632" s="13" t="n">
        <f aca="false">INDEX(Machine_Rates!$C$5:$C$38,MATCH(C632,Machine_Rates!$A$5:$A$38,0))</f>
        <v>20.293</v>
      </c>
      <c r="G632" s="22" t="n">
        <f aca="false">D632*E632*F632</f>
        <v>13.920998</v>
      </c>
    </row>
    <row r="633" customFormat="false" ht="15" hidden="false" customHeight="false" outlineLevel="0" collapsed="false">
      <c r="A633" s="5" t="s">
        <v>598</v>
      </c>
      <c r="B633" s="2" t="s">
        <v>721</v>
      </c>
      <c r="C633" s="5" t="s">
        <v>365</v>
      </c>
      <c r="D633" s="21" t="n">
        <v>0.592</v>
      </c>
      <c r="E633" s="23" t="n">
        <v>1</v>
      </c>
      <c r="F633" s="13" t="n">
        <f aca="false">INDEX(Machine_Rates!$C$5:$C$38,MATCH(C633,Machine_Rates!$A$5:$A$38,0))</f>
        <v>10.9057</v>
      </c>
      <c r="G633" s="22" t="n">
        <f aca="false">D633*E633*F633</f>
        <v>6.4561744</v>
      </c>
    </row>
    <row r="634" customFormat="false" ht="15" hidden="false" customHeight="false" outlineLevel="0" collapsed="false">
      <c r="A634" s="5" t="s">
        <v>598</v>
      </c>
      <c r="B634" s="2" t="s">
        <v>721</v>
      </c>
      <c r="C634" s="5" t="s">
        <v>373</v>
      </c>
      <c r="D634" s="21" t="n">
        <v>0.846</v>
      </c>
      <c r="E634" s="23" t="n">
        <v>1</v>
      </c>
      <c r="F634" s="13" t="n">
        <f aca="false">INDEX(Machine_Rates!$C$5:$C$38,MATCH(C634,Machine_Rates!$A$5:$A$38,0))</f>
        <v>20.293</v>
      </c>
      <c r="G634" s="22" t="n">
        <f aca="false">D634*E634*F634</f>
        <v>17.167878</v>
      </c>
    </row>
    <row r="635" customFormat="false" ht="15" hidden="false" customHeight="false" outlineLevel="0" collapsed="false">
      <c r="A635" s="5" t="s">
        <v>598</v>
      </c>
      <c r="B635" s="2" t="s">
        <v>721</v>
      </c>
      <c r="C635" s="5" t="s">
        <v>365</v>
      </c>
      <c r="D635" s="21" t="n">
        <v>0.98</v>
      </c>
      <c r="E635" s="23" t="n">
        <v>1</v>
      </c>
      <c r="F635" s="13" t="n">
        <f aca="false">INDEX(Machine_Rates!$C$5:$C$38,MATCH(C635,Machine_Rates!$A$5:$A$38,0))</f>
        <v>10.9057</v>
      </c>
      <c r="G635" s="22" t="n">
        <f aca="false">D635*E635*F635</f>
        <v>10.687586</v>
      </c>
    </row>
    <row r="636" customFormat="false" ht="15" hidden="false" customHeight="false" outlineLevel="0" collapsed="false">
      <c r="A636" s="5" t="s">
        <v>600</v>
      </c>
      <c r="B636" s="2" t="s">
        <v>722</v>
      </c>
      <c r="C636" s="5" t="s">
        <v>370</v>
      </c>
      <c r="D636" s="21" t="n">
        <v>2.572</v>
      </c>
      <c r="E636" s="23" t="n">
        <v>4</v>
      </c>
      <c r="F636" s="13" t="n">
        <f aca="false">INDEX(Machine_Rates!$C$5:$C$38,MATCH(C636,Machine_Rates!$A$5:$A$38,0))</f>
        <v>0</v>
      </c>
      <c r="G636" s="22" t="n">
        <f aca="false">D636*E636*F636</f>
        <v>0</v>
      </c>
    </row>
    <row r="637" customFormat="false" ht="15" hidden="false" customHeight="false" outlineLevel="0" collapsed="false">
      <c r="A637" s="5" t="s">
        <v>600</v>
      </c>
      <c r="B637" s="2" t="s">
        <v>722</v>
      </c>
      <c r="C637" s="5" t="s">
        <v>375</v>
      </c>
      <c r="D637" s="21" t="n">
        <v>0.7</v>
      </c>
      <c r="E637" s="23" t="n">
        <v>4</v>
      </c>
      <c r="F637" s="13" t="n">
        <f aca="false">INDEX(Machine_Rates!$C$5:$C$38,MATCH(C637,Machine_Rates!$A$5:$A$38,0))</f>
        <v>15.0115</v>
      </c>
      <c r="G637" s="22" t="n">
        <f aca="false">D637*E637*F637</f>
        <v>42.0322</v>
      </c>
    </row>
    <row r="638" customFormat="false" ht="15" hidden="false" customHeight="false" outlineLevel="0" collapsed="false">
      <c r="A638" s="5" t="s">
        <v>600</v>
      </c>
      <c r="B638" s="2" t="s">
        <v>722</v>
      </c>
      <c r="C638" s="5" t="s">
        <v>361</v>
      </c>
      <c r="D638" s="21" t="n">
        <v>0.592</v>
      </c>
      <c r="E638" s="23" t="n">
        <v>4</v>
      </c>
      <c r="F638" s="13" t="n">
        <f aca="false">INDEX(Machine_Rates!$C$5:$C$38,MATCH(C638,Machine_Rates!$A$5:$A$38,0))</f>
        <v>18.7972</v>
      </c>
      <c r="G638" s="22" t="n">
        <f aca="false">D638*E638*F638</f>
        <v>44.5117696</v>
      </c>
    </row>
    <row r="639" customFormat="false" ht="15" hidden="false" customHeight="false" outlineLevel="0" collapsed="false">
      <c r="A639" s="5" t="s">
        <v>600</v>
      </c>
      <c r="B639" s="2" t="s">
        <v>722</v>
      </c>
      <c r="C639" s="5" t="s">
        <v>356</v>
      </c>
      <c r="D639" s="21" t="n">
        <v>1.709</v>
      </c>
      <c r="E639" s="23" t="n">
        <v>1</v>
      </c>
      <c r="F639" s="13" t="n">
        <f aca="false">INDEX(Machine_Rates!$C$5:$C$38,MATCH(C639,Machine_Rates!$A$5:$A$38,0))</f>
        <v>16.82</v>
      </c>
      <c r="G639" s="22" t="n">
        <f aca="false">D639*E639*F639</f>
        <v>28.74538</v>
      </c>
    </row>
    <row r="640" customFormat="false" ht="15" hidden="false" customHeight="false" outlineLevel="0" collapsed="false">
      <c r="A640" s="5" t="s">
        <v>600</v>
      </c>
      <c r="B640" s="2" t="s">
        <v>722</v>
      </c>
      <c r="C640" s="5" t="s">
        <v>363</v>
      </c>
      <c r="D640" s="21" t="n">
        <v>1.389</v>
      </c>
      <c r="E640" s="23" t="n">
        <v>1</v>
      </c>
      <c r="F640" s="13" t="n">
        <f aca="false">INDEX(Machine_Rates!$C$5:$C$38,MATCH(C640,Machine_Rates!$A$5:$A$38,0))</f>
        <v>18.7974</v>
      </c>
      <c r="G640" s="22" t="n">
        <f aca="false">D640*E640*F640</f>
        <v>26.1095886</v>
      </c>
    </row>
    <row r="641" customFormat="false" ht="15" hidden="false" customHeight="false" outlineLevel="0" collapsed="false">
      <c r="A641" s="5" t="s">
        <v>600</v>
      </c>
      <c r="B641" s="2" t="s">
        <v>722</v>
      </c>
      <c r="C641" s="5" t="s">
        <v>356</v>
      </c>
      <c r="D641" s="21" t="n">
        <v>1.79</v>
      </c>
      <c r="E641" s="23" t="n">
        <v>1</v>
      </c>
      <c r="F641" s="13" t="n">
        <f aca="false">INDEX(Machine_Rates!$C$5:$C$38,MATCH(C641,Machine_Rates!$A$5:$A$38,0))</f>
        <v>16.82</v>
      </c>
      <c r="G641" s="22" t="n">
        <f aca="false">D641*E641*F641</f>
        <v>30.1078</v>
      </c>
    </row>
    <row r="642" customFormat="false" ht="15" hidden="false" customHeight="false" outlineLevel="0" collapsed="false">
      <c r="A642" s="5" t="s">
        <v>600</v>
      </c>
      <c r="B642" s="2" t="s">
        <v>722</v>
      </c>
      <c r="C642" s="5" t="s">
        <v>361</v>
      </c>
      <c r="D642" s="21" t="n">
        <v>1.86</v>
      </c>
      <c r="E642" s="23" t="n">
        <v>1</v>
      </c>
      <c r="F642" s="13" t="n">
        <f aca="false">INDEX(Machine_Rates!$C$5:$C$38,MATCH(C642,Machine_Rates!$A$5:$A$38,0))</f>
        <v>18.7972</v>
      </c>
      <c r="G642" s="22" t="n">
        <f aca="false">D642*E642*F642</f>
        <v>34.962792</v>
      </c>
    </row>
    <row r="643" customFormat="false" ht="15" hidden="false" customHeight="false" outlineLevel="0" collapsed="false">
      <c r="A643" s="5" t="s">
        <v>602</v>
      </c>
      <c r="B643" s="2" t="s">
        <v>723</v>
      </c>
      <c r="C643" s="5" t="s">
        <v>370</v>
      </c>
      <c r="D643" s="21" t="n">
        <v>0.827</v>
      </c>
      <c r="E643" s="23" t="n">
        <v>4</v>
      </c>
      <c r="F643" s="13" t="n">
        <f aca="false">INDEX(Machine_Rates!$C$5:$C$38,MATCH(C643,Machine_Rates!$A$5:$A$38,0))</f>
        <v>0</v>
      </c>
      <c r="G643" s="22" t="n">
        <f aca="false">D643*E643*F643</f>
        <v>0</v>
      </c>
    </row>
    <row r="644" customFormat="false" ht="15" hidden="false" customHeight="false" outlineLevel="0" collapsed="false">
      <c r="A644" s="5" t="s">
        <v>602</v>
      </c>
      <c r="B644" s="2" t="s">
        <v>723</v>
      </c>
      <c r="C644" s="5" t="s">
        <v>345</v>
      </c>
      <c r="D644" s="21" t="n">
        <v>0.289</v>
      </c>
      <c r="E644" s="23" t="n">
        <v>4</v>
      </c>
      <c r="F644" s="13" t="n">
        <f aca="false">INDEX(Machine_Rates!$C$5:$C$38,MATCH(C644,Machine_Rates!$A$5:$A$38,0))</f>
        <v>4.1336</v>
      </c>
      <c r="G644" s="22" t="n">
        <f aca="false">D644*E644*F644</f>
        <v>4.7784416</v>
      </c>
    </row>
    <row r="645" customFormat="false" ht="15" hidden="false" customHeight="false" outlineLevel="0" collapsed="false">
      <c r="A645" s="5" t="s">
        <v>602</v>
      </c>
      <c r="B645" s="2" t="s">
        <v>723</v>
      </c>
      <c r="C645" s="5" t="s">
        <v>365</v>
      </c>
      <c r="D645" s="21" t="n">
        <v>0.193</v>
      </c>
      <c r="E645" s="23" t="n">
        <v>4</v>
      </c>
      <c r="F645" s="13" t="n">
        <f aca="false">INDEX(Machine_Rates!$C$5:$C$38,MATCH(C645,Machine_Rates!$A$5:$A$38,0))</f>
        <v>10.9057</v>
      </c>
      <c r="G645" s="22" t="n">
        <f aca="false">D645*E645*F645</f>
        <v>8.4192004</v>
      </c>
    </row>
    <row r="646" customFormat="false" ht="15" hidden="false" customHeight="false" outlineLevel="0" collapsed="false">
      <c r="A646" s="5" t="s">
        <v>602</v>
      </c>
      <c r="B646" s="2" t="s">
        <v>723</v>
      </c>
      <c r="C646" s="5" t="s">
        <v>373</v>
      </c>
      <c r="D646" s="21" t="n">
        <v>0.701</v>
      </c>
      <c r="E646" s="23" t="n">
        <v>1</v>
      </c>
      <c r="F646" s="13" t="n">
        <f aca="false">INDEX(Machine_Rates!$C$5:$C$38,MATCH(C646,Machine_Rates!$A$5:$A$38,0))</f>
        <v>20.293</v>
      </c>
      <c r="G646" s="22" t="n">
        <f aca="false">D646*E646*F646</f>
        <v>14.225393</v>
      </c>
    </row>
    <row r="647" customFormat="false" ht="15" hidden="false" customHeight="false" outlineLevel="0" collapsed="false">
      <c r="A647" s="5" t="s">
        <v>602</v>
      </c>
      <c r="B647" s="2" t="s">
        <v>723</v>
      </c>
      <c r="C647" s="5" t="s">
        <v>365</v>
      </c>
      <c r="D647" s="21" t="n">
        <v>0.592</v>
      </c>
      <c r="E647" s="23" t="n">
        <v>1</v>
      </c>
      <c r="F647" s="13" t="n">
        <f aca="false">INDEX(Machine_Rates!$C$5:$C$38,MATCH(C647,Machine_Rates!$A$5:$A$38,0))</f>
        <v>10.9057</v>
      </c>
      <c r="G647" s="22" t="n">
        <f aca="false">D647*E647*F647</f>
        <v>6.4561744</v>
      </c>
    </row>
    <row r="648" customFormat="false" ht="15" hidden="false" customHeight="false" outlineLevel="0" collapsed="false">
      <c r="A648" s="5" t="s">
        <v>602</v>
      </c>
      <c r="B648" s="2" t="s">
        <v>723</v>
      </c>
      <c r="C648" s="5" t="s">
        <v>351</v>
      </c>
      <c r="D648" s="21" t="n">
        <v>0.827</v>
      </c>
      <c r="E648" s="23" t="n">
        <v>1</v>
      </c>
      <c r="F648" s="13" t="n">
        <f aca="false">INDEX(Machine_Rates!$C$5:$C$38,MATCH(C648,Machine_Rates!$A$5:$A$38,0))</f>
        <v>12.2442</v>
      </c>
      <c r="G648" s="22" t="n">
        <f aca="false">D648*E648*F648</f>
        <v>10.1259534</v>
      </c>
    </row>
    <row r="649" customFormat="false" ht="15" hidden="false" customHeight="false" outlineLevel="0" collapsed="false">
      <c r="A649" s="5" t="s">
        <v>602</v>
      </c>
      <c r="B649" s="2" t="s">
        <v>723</v>
      </c>
      <c r="C649" s="5" t="s">
        <v>360</v>
      </c>
      <c r="D649" s="21" t="n">
        <v>0.7</v>
      </c>
      <c r="E649" s="23" t="n">
        <v>1</v>
      </c>
      <c r="F649" s="13" t="n">
        <f aca="false">INDEX(Machine_Rates!$C$5:$C$38,MATCH(C649,Machine_Rates!$A$5:$A$38,0))</f>
        <v>12.3201</v>
      </c>
      <c r="G649" s="22" t="n">
        <f aca="false">D649*E649*F649</f>
        <v>8.62407</v>
      </c>
    </row>
    <row r="650" customFormat="false" ht="15" hidden="false" customHeight="false" outlineLevel="0" collapsed="false">
      <c r="A650" s="5" t="s">
        <v>604</v>
      </c>
      <c r="B650" s="2" t="s">
        <v>724</v>
      </c>
      <c r="C650" s="5" t="s">
        <v>370</v>
      </c>
      <c r="D650" s="21" t="n">
        <v>1.21</v>
      </c>
      <c r="E650" s="23" t="n">
        <v>4</v>
      </c>
      <c r="F650" s="13" t="n">
        <f aca="false">INDEX(Machine_Rates!$C$5:$C$38,MATCH(C650,Machine_Rates!$A$5:$A$38,0))</f>
        <v>0</v>
      </c>
      <c r="G650" s="22" t="n">
        <f aca="false">D650*E650*F650</f>
        <v>0</v>
      </c>
    </row>
    <row r="651" customFormat="false" ht="15" hidden="false" customHeight="false" outlineLevel="0" collapsed="false">
      <c r="A651" s="5" t="s">
        <v>604</v>
      </c>
      <c r="B651" s="2" t="s">
        <v>724</v>
      </c>
      <c r="C651" s="5" t="s">
        <v>375</v>
      </c>
      <c r="D651" s="21" t="n">
        <v>0.809</v>
      </c>
      <c r="E651" s="23" t="n">
        <v>4</v>
      </c>
      <c r="F651" s="13" t="n">
        <f aca="false">INDEX(Machine_Rates!$C$5:$C$38,MATCH(C651,Machine_Rates!$A$5:$A$38,0))</f>
        <v>15.0115</v>
      </c>
      <c r="G651" s="22" t="n">
        <f aca="false">D651*E651*F651</f>
        <v>48.577214</v>
      </c>
    </row>
    <row r="652" customFormat="false" ht="15" hidden="false" customHeight="false" outlineLevel="0" collapsed="false">
      <c r="A652" s="5" t="s">
        <v>604</v>
      </c>
      <c r="B652" s="2" t="s">
        <v>724</v>
      </c>
      <c r="C652" s="5" t="s">
        <v>361</v>
      </c>
      <c r="D652" s="21" t="n">
        <v>0.592</v>
      </c>
      <c r="E652" s="23" t="n">
        <v>4</v>
      </c>
      <c r="F652" s="13" t="n">
        <f aca="false">INDEX(Machine_Rates!$C$5:$C$38,MATCH(C652,Machine_Rates!$A$5:$A$38,0))</f>
        <v>18.7972</v>
      </c>
      <c r="G652" s="22" t="n">
        <f aca="false">D652*E652*F652</f>
        <v>44.5117696</v>
      </c>
    </row>
    <row r="653" customFormat="false" ht="15" hidden="false" customHeight="false" outlineLevel="0" collapsed="false">
      <c r="A653" s="5" t="s">
        <v>604</v>
      </c>
      <c r="B653" s="2" t="s">
        <v>724</v>
      </c>
      <c r="C653" s="5" t="s">
        <v>356</v>
      </c>
      <c r="D653" s="21" t="n">
        <v>1.852</v>
      </c>
      <c r="E653" s="23" t="n">
        <v>1</v>
      </c>
      <c r="F653" s="13" t="n">
        <f aca="false">INDEX(Machine_Rates!$C$5:$C$38,MATCH(C653,Machine_Rates!$A$5:$A$38,0))</f>
        <v>16.82</v>
      </c>
      <c r="G653" s="22" t="n">
        <f aca="false">D653*E653*F653</f>
        <v>31.15064</v>
      </c>
    </row>
    <row r="654" customFormat="false" ht="15" hidden="false" customHeight="false" outlineLevel="0" collapsed="false">
      <c r="A654" s="5" t="s">
        <v>604</v>
      </c>
      <c r="B654" s="2" t="s">
        <v>724</v>
      </c>
      <c r="C654" s="5" t="s">
        <v>363</v>
      </c>
      <c r="D654" s="21" t="n">
        <v>1.543</v>
      </c>
      <c r="E654" s="23" t="n">
        <v>1</v>
      </c>
      <c r="F654" s="13" t="n">
        <f aca="false">INDEX(Machine_Rates!$C$5:$C$38,MATCH(C654,Machine_Rates!$A$5:$A$38,0))</f>
        <v>18.7974</v>
      </c>
      <c r="G654" s="22" t="n">
        <f aca="false">D654*E654*F654</f>
        <v>29.0043882</v>
      </c>
    </row>
    <row r="655" customFormat="false" ht="15" hidden="false" customHeight="false" outlineLevel="0" collapsed="false">
      <c r="A655" s="5" t="s">
        <v>604</v>
      </c>
      <c r="B655" s="2" t="s">
        <v>724</v>
      </c>
      <c r="C655" s="5" t="s">
        <v>356</v>
      </c>
      <c r="D655" s="21" t="n">
        <v>2.035</v>
      </c>
      <c r="E655" s="23" t="n">
        <v>1</v>
      </c>
      <c r="F655" s="13" t="n">
        <f aca="false">INDEX(Machine_Rates!$C$5:$C$38,MATCH(C655,Machine_Rates!$A$5:$A$38,0))</f>
        <v>16.82</v>
      </c>
      <c r="G655" s="22" t="n">
        <f aca="false">D655*E655*F655</f>
        <v>34.2287</v>
      </c>
    </row>
    <row r="656" customFormat="false" ht="15" hidden="false" customHeight="false" outlineLevel="0" collapsed="false">
      <c r="A656" s="5" t="s">
        <v>604</v>
      </c>
      <c r="B656" s="2" t="s">
        <v>724</v>
      </c>
      <c r="C656" s="5" t="s">
        <v>361</v>
      </c>
      <c r="D656" s="21" t="n">
        <v>2.126</v>
      </c>
      <c r="E656" s="23" t="n">
        <v>1</v>
      </c>
      <c r="F656" s="13" t="n">
        <f aca="false">INDEX(Machine_Rates!$C$5:$C$38,MATCH(C656,Machine_Rates!$A$5:$A$38,0))</f>
        <v>18.7972</v>
      </c>
      <c r="G656" s="22" t="n">
        <f aca="false">D656*E656*F656</f>
        <v>39.9628472</v>
      </c>
    </row>
    <row r="657" customFormat="false" ht="15" hidden="false" customHeight="false" outlineLevel="0" collapsed="false">
      <c r="A657" s="5" t="s">
        <v>606</v>
      </c>
      <c r="B657" s="2" t="s">
        <v>725</v>
      </c>
      <c r="C657" s="5" t="s">
        <v>370</v>
      </c>
      <c r="D657" s="21" t="n">
        <v>2.179</v>
      </c>
      <c r="E657" s="23" t="n">
        <v>4</v>
      </c>
      <c r="F657" s="13" t="n">
        <f aca="false">INDEX(Machine_Rates!$C$5:$C$38,MATCH(C657,Machine_Rates!$A$5:$A$38,0))</f>
        <v>0</v>
      </c>
      <c r="G657" s="22" t="n">
        <f aca="false">D657*E657*F657</f>
        <v>0</v>
      </c>
    </row>
    <row r="658" customFormat="false" ht="15" hidden="false" customHeight="false" outlineLevel="0" collapsed="false">
      <c r="A658" s="5" t="s">
        <v>606</v>
      </c>
      <c r="B658" s="2" t="s">
        <v>725</v>
      </c>
      <c r="C658" s="5" t="s">
        <v>376</v>
      </c>
      <c r="D658" s="21" t="n">
        <v>0.809</v>
      </c>
      <c r="E658" s="23" t="n">
        <v>4</v>
      </c>
      <c r="F658" s="13" t="n">
        <f aca="false">INDEX(Machine_Rates!$C$5:$C$38,MATCH(C658,Machine_Rates!$A$5:$A$38,0))</f>
        <v>15.0109</v>
      </c>
      <c r="G658" s="22" t="n">
        <f aca="false">D658*E658*F658</f>
        <v>48.5752724</v>
      </c>
    </row>
    <row r="659" customFormat="false" ht="15" hidden="false" customHeight="false" outlineLevel="0" collapsed="false">
      <c r="A659" s="5" t="s">
        <v>606</v>
      </c>
      <c r="B659" s="2" t="s">
        <v>725</v>
      </c>
      <c r="C659" s="5" t="s">
        <v>361</v>
      </c>
      <c r="D659" s="21" t="n">
        <v>0.7</v>
      </c>
      <c r="E659" s="23" t="n">
        <v>4</v>
      </c>
      <c r="F659" s="13" t="n">
        <f aca="false">INDEX(Machine_Rates!$C$5:$C$38,MATCH(C659,Machine_Rates!$A$5:$A$38,0))</f>
        <v>18.7972</v>
      </c>
      <c r="G659" s="22" t="n">
        <f aca="false">D659*E659*F659</f>
        <v>52.63216</v>
      </c>
    </row>
    <row r="660" customFormat="false" ht="15" hidden="false" customHeight="false" outlineLevel="0" collapsed="false">
      <c r="A660" s="5" t="s">
        <v>606</v>
      </c>
      <c r="B660" s="2" t="s">
        <v>725</v>
      </c>
      <c r="C660" s="5" t="s">
        <v>354</v>
      </c>
      <c r="D660" s="21" t="n">
        <v>2.646</v>
      </c>
      <c r="E660" s="23" t="n">
        <v>1</v>
      </c>
      <c r="F660" s="13" t="n">
        <f aca="false">INDEX(Machine_Rates!$C$5:$C$38,MATCH(C660,Machine_Rates!$A$5:$A$38,0))</f>
        <v>16.8199</v>
      </c>
      <c r="G660" s="22" t="n">
        <f aca="false">D660*E660*F660</f>
        <v>44.5054554</v>
      </c>
    </row>
    <row r="661" customFormat="false" ht="15" hidden="false" customHeight="false" outlineLevel="0" collapsed="false">
      <c r="A661" s="5" t="s">
        <v>606</v>
      </c>
      <c r="B661" s="2" t="s">
        <v>725</v>
      </c>
      <c r="C661" s="5" t="s">
        <v>361</v>
      </c>
      <c r="D661" s="21" t="n">
        <v>1.86</v>
      </c>
      <c r="E661" s="23" t="n">
        <v>1</v>
      </c>
      <c r="F661" s="13" t="n">
        <f aca="false">INDEX(Machine_Rates!$C$5:$C$38,MATCH(C661,Machine_Rates!$A$5:$A$38,0))</f>
        <v>18.7972</v>
      </c>
      <c r="G661" s="22" t="n">
        <f aca="false">D661*E661*F661</f>
        <v>34.962792</v>
      </c>
    </row>
    <row r="662" customFormat="false" ht="15" hidden="false" customHeight="false" outlineLevel="0" collapsed="false">
      <c r="A662" s="5" t="s">
        <v>606</v>
      </c>
      <c r="B662" s="2" t="s">
        <v>725</v>
      </c>
      <c r="C662" s="5" t="s">
        <v>356</v>
      </c>
      <c r="D662" s="21" t="n">
        <v>2.205</v>
      </c>
      <c r="E662" s="23" t="n">
        <v>1</v>
      </c>
      <c r="F662" s="13" t="n">
        <f aca="false">INDEX(Machine_Rates!$C$5:$C$38,MATCH(C662,Machine_Rates!$A$5:$A$38,0))</f>
        <v>16.82</v>
      </c>
      <c r="G662" s="22" t="n">
        <f aca="false">D662*E662*F662</f>
        <v>37.0881</v>
      </c>
    </row>
    <row r="663" customFormat="false" ht="15" hidden="false" customHeight="false" outlineLevel="0" collapsed="false">
      <c r="A663" s="5" t="s">
        <v>606</v>
      </c>
      <c r="B663" s="2" t="s">
        <v>725</v>
      </c>
      <c r="C663" s="5" t="s">
        <v>361</v>
      </c>
      <c r="D663" s="21" t="n">
        <v>2.646</v>
      </c>
      <c r="E663" s="23" t="n">
        <v>1</v>
      </c>
      <c r="F663" s="13" t="n">
        <f aca="false">INDEX(Machine_Rates!$C$5:$C$38,MATCH(C663,Machine_Rates!$A$5:$A$38,0))</f>
        <v>18.7972</v>
      </c>
      <c r="G663" s="22" t="n">
        <f aca="false">D663*E663*F663</f>
        <v>49.7373912</v>
      </c>
    </row>
    <row r="664" customFormat="false" ht="15" hidden="false" customHeight="false" outlineLevel="0" collapsed="false">
      <c r="A664" s="5" t="s">
        <v>608</v>
      </c>
      <c r="B664" s="2" t="s">
        <v>726</v>
      </c>
      <c r="C664" s="5" t="s">
        <v>372</v>
      </c>
      <c r="D664" s="21" t="n">
        <v>1.102</v>
      </c>
      <c r="E664" s="23" t="n">
        <v>4</v>
      </c>
      <c r="F664" s="13" t="n">
        <f aca="false">INDEX(Machine_Rates!$C$5:$C$38,MATCH(C664,Machine_Rates!$A$5:$A$38,0))</f>
        <v>0</v>
      </c>
      <c r="G664" s="22" t="n">
        <f aca="false">D664*E664*F664</f>
        <v>0</v>
      </c>
    </row>
    <row r="665" customFormat="false" ht="15" hidden="false" customHeight="false" outlineLevel="0" collapsed="false">
      <c r="A665" s="5" t="s">
        <v>608</v>
      </c>
      <c r="B665" s="2" t="s">
        <v>726</v>
      </c>
      <c r="C665" s="5" t="s">
        <v>345</v>
      </c>
      <c r="D665" s="21" t="n">
        <v>0.229</v>
      </c>
      <c r="E665" s="23" t="n">
        <v>4</v>
      </c>
      <c r="F665" s="13" t="n">
        <f aca="false">INDEX(Machine_Rates!$C$5:$C$38,MATCH(C665,Machine_Rates!$A$5:$A$38,0))</f>
        <v>4.1336</v>
      </c>
      <c r="G665" s="22" t="n">
        <f aca="false">D665*E665*F665</f>
        <v>3.7863776</v>
      </c>
    </row>
    <row r="666" customFormat="false" ht="15" hidden="false" customHeight="false" outlineLevel="0" collapsed="false">
      <c r="A666" s="5" t="s">
        <v>608</v>
      </c>
      <c r="B666" s="2" t="s">
        <v>726</v>
      </c>
      <c r="C666" s="5" t="s">
        <v>365</v>
      </c>
      <c r="D666" s="21" t="n">
        <v>0.231</v>
      </c>
      <c r="E666" s="23" t="n">
        <v>4</v>
      </c>
      <c r="F666" s="13" t="n">
        <f aca="false">INDEX(Machine_Rates!$C$5:$C$38,MATCH(C666,Machine_Rates!$A$5:$A$38,0))</f>
        <v>10.9057</v>
      </c>
      <c r="G666" s="22" t="n">
        <f aca="false">D666*E666*F666</f>
        <v>10.0768668</v>
      </c>
    </row>
    <row r="667" customFormat="false" ht="15" hidden="false" customHeight="false" outlineLevel="0" collapsed="false">
      <c r="A667" s="5" t="s">
        <v>608</v>
      </c>
      <c r="B667" s="2" t="s">
        <v>726</v>
      </c>
      <c r="C667" s="5" t="s">
        <v>351</v>
      </c>
      <c r="D667" s="21" t="n">
        <v>0.809</v>
      </c>
      <c r="E667" s="23" t="n">
        <v>1</v>
      </c>
      <c r="F667" s="13" t="n">
        <f aca="false">INDEX(Machine_Rates!$C$5:$C$38,MATCH(C667,Machine_Rates!$A$5:$A$38,0))</f>
        <v>12.2442</v>
      </c>
      <c r="G667" s="22" t="n">
        <f aca="false">D667*E667*F667</f>
        <v>9.9055578</v>
      </c>
    </row>
    <row r="668" customFormat="false" ht="15" hidden="false" customHeight="false" outlineLevel="0" collapsed="false">
      <c r="A668" s="5" t="s">
        <v>608</v>
      </c>
      <c r="B668" s="2" t="s">
        <v>726</v>
      </c>
      <c r="C668" s="5" t="s">
        <v>359</v>
      </c>
      <c r="D668" s="21" t="n">
        <v>0.592</v>
      </c>
      <c r="E668" s="23" t="n">
        <v>1</v>
      </c>
      <c r="F668" s="13" t="n">
        <f aca="false">INDEX(Machine_Rates!$C$5:$C$38,MATCH(C668,Machine_Rates!$A$5:$A$38,0))</f>
        <v>13.1531</v>
      </c>
      <c r="G668" s="22" t="n">
        <f aca="false">D668*E668*F668</f>
        <v>7.7866352</v>
      </c>
    </row>
    <row r="669" customFormat="false" ht="15" hidden="false" customHeight="false" outlineLevel="0" collapsed="false">
      <c r="A669" s="5" t="s">
        <v>608</v>
      </c>
      <c r="B669" s="2" t="s">
        <v>726</v>
      </c>
      <c r="C669" s="5" t="s">
        <v>351</v>
      </c>
      <c r="D669" s="21" t="n">
        <v>1.452</v>
      </c>
      <c r="E669" s="23" t="n">
        <v>1</v>
      </c>
      <c r="F669" s="13" t="n">
        <f aca="false">INDEX(Machine_Rates!$C$5:$C$38,MATCH(C669,Machine_Rates!$A$5:$A$38,0))</f>
        <v>12.2442</v>
      </c>
      <c r="G669" s="22" t="n">
        <f aca="false">D669*E669*F669</f>
        <v>17.7785784</v>
      </c>
    </row>
    <row r="670" customFormat="false" ht="15" hidden="false" customHeight="false" outlineLevel="0" collapsed="false">
      <c r="A670" s="5" t="s">
        <v>608</v>
      </c>
      <c r="B670" s="2" t="s">
        <v>726</v>
      </c>
      <c r="C670" s="5" t="s">
        <v>359</v>
      </c>
      <c r="D670" s="21" t="n">
        <v>0.77</v>
      </c>
      <c r="E670" s="23" t="n">
        <v>1</v>
      </c>
      <c r="F670" s="13" t="n">
        <f aca="false">INDEX(Machine_Rates!$C$5:$C$38,MATCH(C670,Machine_Rates!$A$5:$A$38,0))</f>
        <v>13.1531</v>
      </c>
      <c r="G670" s="22" t="n">
        <f aca="false">D670*E670*F670</f>
        <v>10.127887</v>
      </c>
    </row>
    <row r="671" customFormat="false" ht="15" hidden="false" customHeight="false" outlineLevel="0" collapsed="false">
      <c r="A671" s="5" t="s">
        <v>610</v>
      </c>
      <c r="B671" s="2" t="s">
        <v>727</v>
      </c>
      <c r="C671" s="5" t="s">
        <v>372</v>
      </c>
      <c r="D671" s="21" t="n">
        <v>1.102</v>
      </c>
      <c r="E671" s="23" t="n">
        <v>4</v>
      </c>
      <c r="F671" s="13" t="n">
        <f aca="false">INDEX(Machine_Rates!$C$5:$C$38,MATCH(C671,Machine_Rates!$A$5:$A$38,0))</f>
        <v>0</v>
      </c>
      <c r="G671" s="22" t="n">
        <f aca="false">D671*E671*F671</f>
        <v>0</v>
      </c>
    </row>
    <row r="672" customFormat="false" ht="15" hidden="false" customHeight="false" outlineLevel="0" collapsed="false">
      <c r="A672" s="5" t="s">
        <v>610</v>
      </c>
      <c r="B672" s="2" t="s">
        <v>727</v>
      </c>
      <c r="C672" s="5" t="s">
        <v>345</v>
      </c>
      <c r="D672" s="21" t="n">
        <v>0.229</v>
      </c>
      <c r="E672" s="23" t="n">
        <v>4</v>
      </c>
      <c r="F672" s="13" t="n">
        <f aca="false">INDEX(Machine_Rates!$C$5:$C$38,MATCH(C672,Machine_Rates!$A$5:$A$38,0))</f>
        <v>4.1336</v>
      </c>
      <c r="G672" s="22" t="n">
        <f aca="false">D672*E672*F672</f>
        <v>3.7863776</v>
      </c>
    </row>
    <row r="673" customFormat="false" ht="15" hidden="false" customHeight="false" outlineLevel="0" collapsed="false">
      <c r="A673" s="5" t="s">
        <v>610</v>
      </c>
      <c r="B673" s="2" t="s">
        <v>727</v>
      </c>
      <c r="C673" s="5" t="s">
        <v>365</v>
      </c>
      <c r="D673" s="21" t="n">
        <v>0.257</v>
      </c>
      <c r="E673" s="23" t="n">
        <v>4</v>
      </c>
      <c r="F673" s="13" t="n">
        <f aca="false">INDEX(Machine_Rates!$C$5:$C$38,MATCH(C673,Machine_Rates!$A$5:$A$38,0))</f>
        <v>10.9057</v>
      </c>
      <c r="G673" s="22" t="n">
        <f aca="false">D673*E673*F673</f>
        <v>11.2110596</v>
      </c>
    </row>
    <row r="674" customFormat="false" ht="15" hidden="false" customHeight="false" outlineLevel="0" collapsed="false">
      <c r="A674" s="5" t="s">
        <v>610</v>
      </c>
      <c r="B674" s="2" t="s">
        <v>727</v>
      </c>
      <c r="C674" s="5" t="s">
        <v>351</v>
      </c>
      <c r="D674" s="21" t="n">
        <v>1.48</v>
      </c>
      <c r="E674" s="23" t="n">
        <v>1</v>
      </c>
      <c r="F674" s="13" t="n">
        <f aca="false">INDEX(Machine_Rates!$C$5:$C$38,MATCH(C674,Machine_Rates!$A$5:$A$38,0))</f>
        <v>12.2442</v>
      </c>
      <c r="G674" s="22" t="n">
        <f aca="false">D674*E674*F674</f>
        <v>18.121416</v>
      </c>
    </row>
    <row r="675" customFormat="false" ht="15" hidden="false" customHeight="false" outlineLevel="0" collapsed="false">
      <c r="A675" s="5" t="s">
        <v>610</v>
      </c>
      <c r="B675" s="2" t="s">
        <v>727</v>
      </c>
      <c r="C675" s="5" t="s">
        <v>359</v>
      </c>
      <c r="D675" s="21" t="n">
        <v>0.645</v>
      </c>
      <c r="E675" s="23" t="n">
        <v>1</v>
      </c>
      <c r="F675" s="13" t="n">
        <f aca="false">INDEX(Machine_Rates!$C$5:$C$38,MATCH(C675,Machine_Rates!$A$5:$A$38,0))</f>
        <v>13.1531</v>
      </c>
      <c r="G675" s="22" t="n">
        <f aca="false">D675*E675*F675</f>
        <v>8.4837495</v>
      </c>
    </row>
    <row r="676" customFormat="false" ht="15" hidden="false" customHeight="false" outlineLevel="0" collapsed="false">
      <c r="A676" s="5" t="s">
        <v>610</v>
      </c>
      <c r="B676" s="2" t="s">
        <v>727</v>
      </c>
      <c r="C676" s="5" t="s">
        <v>351</v>
      </c>
      <c r="D676" s="21" t="n">
        <v>1.452</v>
      </c>
      <c r="E676" s="23" t="n">
        <v>1</v>
      </c>
      <c r="F676" s="13" t="n">
        <f aca="false">INDEX(Machine_Rates!$C$5:$C$38,MATCH(C676,Machine_Rates!$A$5:$A$38,0))</f>
        <v>12.2442</v>
      </c>
      <c r="G676" s="22" t="n">
        <f aca="false">D676*E676*F676</f>
        <v>17.7785784</v>
      </c>
    </row>
    <row r="677" customFormat="false" ht="15" hidden="false" customHeight="false" outlineLevel="0" collapsed="false">
      <c r="A677" s="5" t="s">
        <v>610</v>
      </c>
      <c r="B677" s="2" t="s">
        <v>727</v>
      </c>
      <c r="C677" s="5" t="s">
        <v>359</v>
      </c>
      <c r="D677" s="21" t="n">
        <v>0.977</v>
      </c>
      <c r="E677" s="23" t="n">
        <v>1</v>
      </c>
      <c r="F677" s="13" t="n">
        <f aca="false">INDEX(Machine_Rates!$C$5:$C$38,MATCH(C677,Machine_Rates!$A$5:$A$38,0))</f>
        <v>13.1531</v>
      </c>
      <c r="G677" s="22" t="n">
        <f aca="false">D677*E677*F677</f>
        <v>12.8505787</v>
      </c>
    </row>
    <row r="678" customFormat="false" ht="15" hidden="false" customHeight="false" outlineLevel="0" collapsed="false">
      <c r="A678" s="5" t="s">
        <v>612</v>
      </c>
      <c r="B678" s="2" t="s">
        <v>728</v>
      </c>
      <c r="C678" s="5" t="s">
        <v>370</v>
      </c>
      <c r="D678" s="21" t="n">
        <v>2.179</v>
      </c>
      <c r="E678" s="23" t="n">
        <v>4</v>
      </c>
      <c r="F678" s="13" t="n">
        <f aca="false">INDEX(Machine_Rates!$C$5:$C$38,MATCH(C678,Machine_Rates!$A$5:$A$38,0))</f>
        <v>0</v>
      </c>
      <c r="G678" s="22" t="n">
        <f aca="false">D678*E678*F678</f>
        <v>0</v>
      </c>
    </row>
    <row r="679" customFormat="false" ht="15" hidden="false" customHeight="false" outlineLevel="0" collapsed="false">
      <c r="A679" s="5" t="s">
        <v>612</v>
      </c>
      <c r="B679" s="2" t="s">
        <v>728</v>
      </c>
      <c r="C679" s="5" t="s">
        <v>345</v>
      </c>
      <c r="D679" s="21" t="n">
        <v>0.176</v>
      </c>
      <c r="E679" s="23" t="n">
        <v>4</v>
      </c>
      <c r="F679" s="13" t="n">
        <f aca="false">INDEX(Machine_Rates!$C$5:$C$38,MATCH(C679,Machine_Rates!$A$5:$A$38,0))</f>
        <v>4.1336</v>
      </c>
      <c r="G679" s="22" t="n">
        <f aca="false">D679*E679*F679</f>
        <v>2.9100544</v>
      </c>
    </row>
    <row r="680" customFormat="false" ht="15" hidden="false" customHeight="false" outlineLevel="0" collapsed="false">
      <c r="A680" s="5" t="s">
        <v>612</v>
      </c>
      <c r="B680" s="2" t="s">
        <v>728</v>
      </c>
      <c r="C680" s="5" t="s">
        <v>365</v>
      </c>
      <c r="D680" s="21" t="n">
        <v>0.329</v>
      </c>
      <c r="E680" s="23" t="n">
        <v>4</v>
      </c>
      <c r="F680" s="13" t="n">
        <f aca="false">INDEX(Machine_Rates!$C$5:$C$38,MATCH(C680,Machine_Rates!$A$5:$A$38,0))</f>
        <v>10.9057</v>
      </c>
      <c r="G680" s="22" t="n">
        <f aca="false">D680*E680*F680</f>
        <v>14.3519012</v>
      </c>
    </row>
    <row r="681" customFormat="false" ht="15" hidden="false" customHeight="false" outlineLevel="0" collapsed="false">
      <c r="A681" s="5" t="s">
        <v>612</v>
      </c>
      <c r="B681" s="2" t="s">
        <v>728</v>
      </c>
      <c r="C681" s="5" t="s">
        <v>351</v>
      </c>
      <c r="D681" s="21" t="n">
        <v>1.743</v>
      </c>
      <c r="E681" s="23" t="n">
        <v>1</v>
      </c>
      <c r="F681" s="13" t="n">
        <f aca="false">INDEX(Machine_Rates!$C$5:$C$38,MATCH(C681,Machine_Rates!$A$5:$A$38,0))</f>
        <v>12.2442</v>
      </c>
      <c r="G681" s="22" t="n">
        <f aca="false">D681*E681*F681</f>
        <v>21.3416406</v>
      </c>
    </row>
    <row r="682" customFormat="false" ht="15" hidden="false" customHeight="false" outlineLevel="0" collapsed="false">
      <c r="A682" s="5" t="s">
        <v>612</v>
      </c>
      <c r="B682" s="2" t="s">
        <v>728</v>
      </c>
      <c r="C682" s="5" t="s">
        <v>359</v>
      </c>
      <c r="D682" s="21" t="n">
        <v>0.7</v>
      </c>
      <c r="E682" s="23" t="n">
        <v>1</v>
      </c>
      <c r="F682" s="13" t="n">
        <f aca="false">INDEX(Machine_Rates!$C$5:$C$38,MATCH(C682,Machine_Rates!$A$5:$A$38,0))</f>
        <v>13.1531</v>
      </c>
      <c r="G682" s="22" t="n">
        <f aca="false">D682*E682*F682</f>
        <v>9.20717</v>
      </c>
    </row>
    <row r="683" customFormat="false" ht="15" hidden="false" customHeight="false" outlineLevel="0" collapsed="false">
      <c r="A683" s="5" t="s">
        <v>612</v>
      </c>
      <c r="B683" s="2" t="s">
        <v>728</v>
      </c>
      <c r="C683" s="5" t="s">
        <v>351</v>
      </c>
      <c r="D683" s="21" t="n">
        <v>1.708</v>
      </c>
      <c r="E683" s="23" t="n">
        <v>1</v>
      </c>
      <c r="F683" s="13" t="n">
        <f aca="false">INDEX(Machine_Rates!$C$5:$C$38,MATCH(C683,Machine_Rates!$A$5:$A$38,0))</f>
        <v>12.2442</v>
      </c>
      <c r="G683" s="22" t="n">
        <f aca="false">D683*E683*F683</f>
        <v>20.9130936</v>
      </c>
    </row>
    <row r="684" customFormat="false" ht="15" hidden="false" customHeight="false" outlineLevel="0" collapsed="false">
      <c r="A684" s="5" t="s">
        <v>612</v>
      </c>
      <c r="B684" s="2" t="s">
        <v>728</v>
      </c>
      <c r="C684" s="5" t="s">
        <v>360</v>
      </c>
      <c r="D684" s="21" t="n">
        <v>1.042</v>
      </c>
      <c r="E684" s="23" t="n">
        <v>1</v>
      </c>
      <c r="F684" s="13" t="n">
        <f aca="false">INDEX(Machine_Rates!$C$5:$C$38,MATCH(C684,Machine_Rates!$A$5:$A$38,0))</f>
        <v>12.3201</v>
      </c>
      <c r="G684" s="22" t="n">
        <f aca="false">D684*E684*F684</f>
        <v>12.8375442</v>
      </c>
    </row>
    <row r="685" customFormat="false" ht="15" hidden="false" customHeight="false" outlineLevel="0" collapsed="false">
      <c r="A685" s="5" t="s">
        <v>614</v>
      </c>
      <c r="B685" s="2" t="s">
        <v>729</v>
      </c>
      <c r="C685" s="5" t="s">
        <v>372</v>
      </c>
      <c r="D685" s="21" t="n">
        <v>1.102</v>
      </c>
      <c r="E685" s="23" t="n">
        <v>4</v>
      </c>
      <c r="F685" s="13" t="n">
        <f aca="false">INDEX(Machine_Rates!$C$5:$C$38,MATCH(C685,Machine_Rates!$A$5:$A$38,0))</f>
        <v>0</v>
      </c>
      <c r="G685" s="22" t="n">
        <f aca="false">D685*E685*F685</f>
        <v>0</v>
      </c>
    </row>
    <row r="686" customFormat="false" ht="15" hidden="false" customHeight="false" outlineLevel="0" collapsed="false">
      <c r="A686" s="5" t="s">
        <v>614</v>
      </c>
      <c r="B686" s="2" t="s">
        <v>729</v>
      </c>
      <c r="C686" s="5" t="s">
        <v>368</v>
      </c>
      <c r="D686" s="21" t="n">
        <v>4.873</v>
      </c>
      <c r="E686" s="23" t="n">
        <v>4</v>
      </c>
      <c r="F686" s="13" t="n">
        <f aca="false">INDEX(Machine_Rates!$C$5:$C$38,MATCH(C686,Machine_Rates!$A$5:$A$38,0))</f>
        <v>0</v>
      </c>
      <c r="G686" s="22" t="n">
        <f aca="false">D686*E686*F686</f>
        <v>0</v>
      </c>
    </row>
    <row r="687" customFormat="false" ht="15" hidden="false" customHeight="false" outlineLevel="0" collapsed="false">
      <c r="A687" s="5" t="s">
        <v>614</v>
      </c>
      <c r="B687" s="2" t="s">
        <v>729</v>
      </c>
      <c r="C687" s="5" t="s">
        <v>344</v>
      </c>
      <c r="D687" s="21" t="n">
        <v>0.111</v>
      </c>
      <c r="E687" s="23" t="n">
        <v>4</v>
      </c>
      <c r="F687" s="13" t="n">
        <f aca="false">INDEX(Machine_Rates!$C$5:$C$38,MATCH(C687,Machine_Rates!$A$5:$A$38,0))</f>
        <v>1.7156</v>
      </c>
      <c r="G687" s="22" t="n">
        <f aca="false">D687*E687*F687</f>
        <v>0.7617264</v>
      </c>
    </row>
    <row r="688" customFormat="false" ht="15" hidden="false" customHeight="false" outlineLevel="0" collapsed="false">
      <c r="A688" s="5" t="s">
        <v>614</v>
      </c>
      <c r="B688" s="2" t="s">
        <v>729</v>
      </c>
      <c r="C688" s="5" t="s">
        <v>364</v>
      </c>
      <c r="D688" s="21" t="n">
        <v>0.062</v>
      </c>
      <c r="E688" s="23" t="n">
        <v>4</v>
      </c>
      <c r="F688" s="13" t="n">
        <f aca="false">INDEX(Machine_Rates!$C$5:$C$38,MATCH(C688,Machine_Rates!$A$5:$A$38,0))</f>
        <v>8.4956</v>
      </c>
      <c r="G688" s="22" t="n">
        <f aca="false">D688*E688*F688</f>
        <v>2.1069088</v>
      </c>
    </row>
    <row r="689" customFormat="false" ht="15" hidden="false" customHeight="false" outlineLevel="0" collapsed="false">
      <c r="A689" s="5" t="s">
        <v>614</v>
      </c>
      <c r="B689" s="2" t="s">
        <v>729</v>
      </c>
      <c r="C689" s="5" t="s">
        <v>341</v>
      </c>
      <c r="D689" s="21" t="n">
        <v>0.772</v>
      </c>
      <c r="E689" s="23" t="n">
        <v>1</v>
      </c>
      <c r="F689" s="13" t="n">
        <f aca="false">INDEX(Machine_Rates!$C$5:$C$38,MATCH(C689,Machine_Rates!$A$5:$A$38,0))</f>
        <v>4.1332</v>
      </c>
      <c r="G689" s="22" t="n">
        <f aca="false">D689*E689*F689</f>
        <v>3.1908304</v>
      </c>
    </row>
    <row r="690" customFormat="false" ht="15" hidden="false" customHeight="false" outlineLevel="0" collapsed="false">
      <c r="A690" s="5" t="s">
        <v>614</v>
      </c>
      <c r="B690" s="2" t="s">
        <v>729</v>
      </c>
      <c r="C690" s="5" t="s">
        <v>365</v>
      </c>
      <c r="D690" s="21" t="n">
        <v>0.579</v>
      </c>
      <c r="E690" s="23" t="n">
        <v>1</v>
      </c>
      <c r="F690" s="13" t="n">
        <f aca="false">INDEX(Machine_Rates!$C$5:$C$38,MATCH(C690,Machine_Rates!$A$5:$A$38,0))</f>
        <v>10.9057</v>
      </c>
      <c r="G690" s="22" t="n">
        <f aca="false">D690*E690*F690</f>
        <v>6.3144003</v>
      </c>
    </row>
    <row r="691" customFormat="false" ht="15" hidden="false" customHeight="false" outlineLevel="0" collapsed="false">
      <c r="A691" s="5" t="s">
        <v>614</v>
      </c>
      <c r="B691" s="2" t="s">
        <v>729</v>
      </c>
      <c r="C691" s="5" t="s">
        <v>373</v>
      </c>
      <c r="D691" s="21" t="n">
        <v>0.911</v>
      </c>
      <c r="E691" s="23" t="n">
        <v>1</v>
      </c>
      <c r="F691" s="13" t="n">
        <f aca="false">INDEX(Machine_Rates!$C$5:$C$38,MATCH(C691,Machine_Rates!$A$5:$A$38,0))</f>
        <v>20.293</v>
      </c>
      <c r="G691" s="22" t="n">
        <f aca="false">D691*E691*F691</f>
        <v>18.486923</v>
      </c>
    </row>
    <row r="692" customFormat="false" ht="15" hidden="false" customHeight="false" outlineLevel="0" collapsed="false">
      <c r="A692" s="5" t="s">
        <v>614</v>
      </c>
      <c r="B692" s="2" t="s">
        <v>729</v>
      </c>
      <c r="C692" s="5" t="s">
        <v>365</v>
      </c>
      <c r="D692" s="21" t="n">
        <v>0.676</v>
      </c>
      <c r="E692" s="23" t="n">
        <v>1</v>
      </c>
      <c r="F692" s="13" t="n">
        <f aca="false">INDEX(Machine_Rates!$C$5:$C$38,MATCH(C692,Machine_Rates!$A$5:$A$38,0))</f>
        <v>10.9057</v>
      </c>
      <c r="G692" s="22" t="n">
        <f aca="false">D692*E692*F692</f>
        <v>7.3722532</v>
      </c>
    </row>
    <row r="693" customFormat="false" ht="15" hidden="false" customHeight="false" outlineLevel="0" collapsed="false">
      <c r="A693" s="5" t="s">
        <v>616</v>
      </c>
      <c r="B693" s="2" t="s">
        <v>730</v>
      </c>
      <c r="C693" s="5" t="s">
        <v>370</v>
      </c>
      <c r="D693" s="21" t="n">
        <v>1.21</v>
      </c>
      <c r="E693" s="23" t="n">
        <v>4</v>
      </c>
      <c r="F693" s="13" t="n">
        <f aca="false">INDEX(Machine_Rates!$C$5:$C$38,MATCH(C693,Machine_Rates!$A$5:$A$38,0))</f>
        <v>0</v>
      </c>
      <c r="G693" s="22" t="n">
        <f aca="false">D693*E693*F693</f>
        <v>0</v>
      </c>
    </row>
    <row r="694" customFormat="false" ht="15" hidden="false" customHeight="false" outlineLevel="0" collapsed="false">
      <c r="A694" s="5" t="s">
        <v>616</v>
      </c>
      <c r="B694" s="2" t="s">
        <v>730</v>
      </c>
      <c r="C694" s="5" t="s">
        <v>345</v>
      </c>
      <c r="D694" s="21" t="n">
        <v>0.436</v>
      </c>
      <c r="E694" s="23" t="n">
        <v>4</v>
      </c>
      <c r="F694" s="13" t="n">
        <f aca="false">INDEX(Machine_Rates!$C$5:$C$38,MATCH(C694,Machine_Rates!$A$5:$A$38,0))</f>
        <v>4.1336</v>
      </c>
      <c r="G694" s="22" t="n">
        <f aca="false">D694*E694*F694</f>
        <v>7.2089984</v>
      </c>
    </row>
    <row r="695" customFormat="false" ht="15" hidden="false" customHeight="false" outlineLevel="0" collapsed="false">
      <c r="A695" s="5" t="s">
        <v>616</v>
      </c>
      <c r="B695" s="2" t="s">
        <v>730</v>
      </c>
      <c r="C695" s="5" t="s">
        <v>360</v>
      </c>
      <c r="D695" s="21" t="n">
        <v>0.494</v>
      </c>
      <c r="E695" s="23" t="n">
        <v>4</v>
      </c>
      <c r="F695" s="13" t="n">
        <f aca="false">INDEX(Machine_Rates!$C$5:$C$38,MATCH(C695,Machine_Rates!$A$5:$A$38,0))</f>
        <v>12.3201</v>
      </c>
      <c r="G695" s="22" t="n">
        <f aca="false">D695*E695*F695</f>
        <v>24.3445176</v>
      </c>
    </row>
    <row r="696" customFormat="false" ht="15" hidden="false" customHeight="false" outlineLevel="0" collapsed="false">
      <c r="A696" s="5" t="s">
        <v>616</v>
      </c>
      <c r="B696" s="2" t="s">
        <v>730</v>
      </c>
      <c r="C696" s="5" t="s">
        <v>353</v>
      </c>
      <c r="D696" s="21" t="n">
        <v>1.355</v>
      </c>
      <c r="E696" s="23" t="n">
        <v>1</v>
      </c>
      <c r="F696" s="13" t="n">
        <f aca="false">INDEX(Machine_Rates!$C$5:$C$38,MATCH(C696,Machine_Rates!$A$5:$A$38,0))</f>
        <v>16.82</v>
      </c>
      <c r="G696" s="22" t="n">
        <f aca="false">D696*E696*F696</f>
        <v>22.7911</v>
      </c>
    </row>
    <row r="697" customFormat="false" ht="15" hidden="false" customHeight="false" outlineLevel="0" collapsed="false">
      <c r="A697" s="5" t="s">
        <v>616</v>
      </c>
      <c r="B697" s="2" t="s">
        <v>730</v>
      </c>
      <c r="C697" s="5" t="s">
        <v>363</v>
      </c>
      <c r="D697" s="21" t="n">
        <v>0.93</v>
      </c>
      <c r="E697" s="23" t="n">
        <v>1</v>
      </c>
      <c r="F697" s="13" t="n">
        <f aca="false">INDEX(Machine_Rates!$C$5:$C$38,MATCH(C697,Machine_Rates!$A$5:$A$38,0))</f>
        <v>18.7974</v>
      </c>
      <c r="G697" s="22" t="n">
        <f aca="false">D697*E697*F697</f>
        <v>17.481582</v>
      </c>
    </row>
    <row r="698" customFormat="false" ht="15" hidden="false" customHeight="false" outlineLevel="0" collapsed="false">
      <c r="A698" s="5" t="s">
        <v>616</v>
      </c>
      <c r="B698" s="2" t="s">
        <v>730</v>
      </c>
      <c r="C698" s="5" t="s">
        <v>353</v>
      </c>
      <c r="D698" s="21" t="n">
        <v>1.867</v>
      </c>
      <c r="E698" s="23" t="n">
        <v>1</v>
      </c>
      <c r="F698" s="13" t="n">
        <f aca="false">INDEX(Machine_Rates!$C$5:$C$38,MATCH(C698,Machine_Rates!$A$5:$A$38,0))</f>
        <v>16.82</v>
      </c>
      <c r="G698" s="22" t="n">
        <f aca="false">D698*E698*F698</f>
        <v>31.40294</v>
      </c>
    </row>
    <row r="699" customFormat="false" ht="15" hidden="false" customHeight="false" outlineLevel="0" collapsed="false">
      <c r="A699" s="5" t="s">
        <v>616</v>
      </c>
      <c r="B699" s="2" t="s">
        <v>730</v>
      </c>
      <c r="C699" s="5" t="s">
        <v>361</v>
      </c>
      <c r="D699" s="21" t="n">
        <v>1.157</v>
      </c>
      <c r="E699" s="23" t="n">
        <v>1</v>
      </c>
      <c r="F699" s="13" t="n">
        <f aca="false">INDEX(Machine_Rates!$C$5:$C$38,MATCH(C699,Machine_Rates!$A$5:$A$38,0))</f>
        <v>18.7972</v>
      </c>
      <c r="G699" s="22" t="n">
        <f aca="false">D699*E699*F699</f>
        <v>21.7483604</v>
      </c>
    </row>
    <row r="700" customFormat="false" ht="15" hidden="false" customHeight="false" outlineLevel="0" collapsed="false">
      <c r="A700" s="5" t="s">
        <v>618</v>
      </c>
      <c r="B700" s="2" t="s">
        <v>731</v>
      </c>
      <c r="C700" s="5" t="s">
        <v>370</v>
      </c>
      <c r="D700" s="21" t="n">
        <v>0.01</v>
      </c>
      <c r="E700" s="23" t="n">
        <v>20.3999996185303</v>
      </c>
      <c r="F700" s="13" t="n">
        <f aca="false">INDEX(Machine_Rates!$C$5:$C$38,MATCH(C700,Machine_Rates!$A$5:$A$38,0))</f>
        <v>0</v>
      </c>
      <c r="G700" s="22" t="n">
        <f aca="false">D700*E700*F700</f>
        <v>0</v>
      </c>
    </row>
    <row r="701" customFormat="false" ht="15" hidden="false" customHeight="false" outlineLevel="0" collapsed="false">
      <c r="A701" s="5" t="s">
        <v>618</v>
      </c>
      <c r="B701" s="2" t="s">
        <v>731</v>
      </c>
      <c r="C701" s="5" t="s">
        <v>368</v>
      </c>
      <c r="D701" s="21" t="n">
        <v>0.926</v>
      </c>
      <c r="E701" s="23" t="n">
        <v>27.4499988555908</v>
      </c>
      <c r="F701" s="13" t="n">
        <f aca="false">INDEX(Machine_Rates!$C$5:$C$38,MATCH(C701,Machine_Rates!$A$5:$A$38,0))</f>
        <v>0</v>
      </c>
      <c r="G701" s="22" t="n">
        <f aca="false">D701*E701*F701</f>
        <v>0</v>
      </c>
    </row>
    <row r="702" customFormat="false" ht="15" hidden="false" customHeight="false" outlineLevel="0" collapsed="false">
      <c r="A702" s="5" t="s">
        <v>618</v>
      </c>
      <c r="B702" s="2" t="s">
        <v>731</v>
      </c>
      <c r="C702" s="5" t="s">
        <v>364</v>
      </c>
      <c r="D702" s="21" t="n">
        <v>0.039</v>
      </c>
      <c r="E702" s="23" t="n">
        <v>10.1999998092651</v>
      </c>
      <c r="F702" s="13" t="n">
        <f aca="false">INDEX(Machine_Rates!$C$5:$C$38,MATCH(C702,Machine_Rates!$A$5:$A$38,0))</f>
        <v>8.4956</v>
      </c>
      <c r="G702" s="22" t="n">
        <f aca="false">D702*E702*F702</f>
        <v>3.37954961680411</v>
      </c>
    </row>
    <row r="703" customFormat="false" ht="15" hidden="false" customHeight="false" outlineLevel="0" collapsed="false">
      <c r="A703" s="5" t="s">
        <v>618</v>
      </c>
      <c r="B703" s="2" t="s">
        <v>731</v>
      </c>
      <c r="C703" s="5" t="s">
        <v>342</v>
      </c>
      <c r="D703" s="21" t="n">
        <v>0.617</v>
      </c>
      <c r="E703" s="23" t="n">
        <v>5.09999990463257</v>
      </c>
      <c r="F703" s="13" t="n">
        <f aca="false">INDEX(Machine_Rates!$C$5:$C$38,MATCH(C703,Machine_Rates!$A$5:$A$38,0))</f>
        <v>2.4859</v>
      </c>
      <c r="G703" s="22" t="n">
        <f aca="false">D703*E703*F703</f>
        <v>7.82238138372541</v>
      </c>
    </row>
    <row r="704" customFormat="false" ht="15" hidden="false" customHeight="false" outlineLevel="0" collapsed="false">
      <c r="A704" s="5" t="s">
        <v>618</v>
      </c>
      <c r="B704" s="2" t="s">
        <v>731</v>
      </c>
      <c r="C704" s="5" t="s">
        <v>341</v>
      </c>
      <c r="D704" s="21" t="n">
        <v>2.042</v>
      </c>
      <c r="E704" s="23" t="n">
        <v>1</v>
      </c>
      <c r="F704" s="13" t="n">
        <f aca="false">INDEX(Machine_Rates!$C$5:$C$38,MATCH(C704,Machine_Rates!$A$5:$A$38,0))</f>
        <v>4.1332</v>
      </c>
      <c r="G704" s="22" t="n">
        <f aca="false">D704*E704*F704</f>
        <v>8.4399944</v>
      </c>
    </row>
    <row r="705" customFormat="false" ht="15" hidden="false" customHeight="false" outlineLevel="0" collapsed="false">
      <c r="A705" s="5" t="s">
        <v>618</v>
      </c>
      <c r="B705" s="2" t="s">
        <v>731</v>
      </c>
      <c r="C705" s="5" t="s">
        <v>365</v>
      </c>
      <c r="D705" s="21" t="n">
        <v>0.926</v>
      </c>
      <c r="E705" s="23" t="n">
        <v>1</v>
      </c>
      <c r="F705" s="13" t="n">
        <f aca="false">INDEX(Machine_Rates!$C$5:$C$38,MATCH(C705,Machine_Rates!$A$5:$A$38,0))</f>
        <v>10.9057</v>
      </c>
      <c r="G705" s="22" t="n">
        <f aca="false">D705*E705*F705</f>
        <v>10.0986782</v>
      </c>
    </row>
    <row r="706" customFormat="false" ht="15" hidden="false" customHeight="false" outlineLevel="0" collapsed="false">
      <c r="A706" s="5" t="s">
        <v>618</v>
      </c>
      <c r="B706" s="2" t="s">
        <v>731</v>
      </c>
      <c r="C706" s="5" t="s">
        <v>337</v>
      </c>
      <c r="D706" s="21" t="n">
        <v>1.929</v>
      </c>
      <c r="E706" s="23" t="n">
        <v>1</v>
      </c>
      <c r="F706" s="13" t="n">
        <f aca="false">INDEX(Machine_Rates!$C$5:$C$38,MATCH(C706,Machine_Rates!$A$5:$A$38,0))</f>
        <v>4.3539</v>
      </c>
      <c r="G706" s="22" t="n">
        <f aca="false">D706*E706*F706</f>
        <v>8.3986731</v>
      </c>
    </row>
    <row r="707" customFormat="false" ht="15" hidden="false" customHeight="false" outlineLevel="0" collapsed="false">
      <c r="A707" s="5" t="s">
        <v>618</v>
      </c>
      <c r="B707" s="2" t="s">
        <v>731</v>
      </c>
      <c r="C707" s="5" t="s">
        <v>360</v>
      </c>
      <c r="D707" s="21" t="n">
        <v>1.157</v>
      </c>
      <c r="E707" s="23" t="n">
        <v>1</v>
      </c>
      <c r="F707" s="13" t="n">
        <f aca="false">INDEX(Machine_Rates!$C$5:$C$38,MATCH(C707,Machine_Rates!$A$5:$A$38,0))</f>
        <v>12.3201</v>
      </c>
      <c r="G707" s="22" t="n">
        <f aca="false">D707*E707*F707</f>
        <v>14.2543557</v>
      </c>
    </row>
    <row r="708" customFormat="false" ht="15" hidden="false" customHeight="false" outlineLevel="0" collapsed="false">
      <c r="A708" s="5" t="s">
        <v>620</v>
      </c>
      <c r="B708" s="2" t="s">
        <v>732</v>
      </c>
      <c r="C708" s="5" t="s">
        <v>370</v>
      </c>
      <c r="D708" s="21" t="n">
        <v>0.01</v>
      </c>
      <c r="E708" s="23" t="n">
        <v>20.3999996185303</v>
      </c>
      <c r="F708" s="13" t="n">
        <f aca="false">INDEX(Machine_Rates!$C$5:$C$38,MATCH(C708,Machine_Rates!$A$5:$A$38,0))</f>
        <v>0</v>
      </c>
      <c r="G708" s="22" t="n">
        <f aca="false">D708*E708*F708</f>
        <v>0</v>
      </c>
    </row>
    <row r="709" customFormat="false" ht="15" hidden="false" customHeight="false" outlineLevel="0" collapsed="false">
      <c r="A709" s="5" t="s">
        <v>620</v>
      </c>
      <c r="B709" s="2" t="s">
        <v>732</v>
      </c>
      <c r="C709" s="5" t="s">
        <v>380</v>
      </c>
      <c r="D709" s="21" t="n">
        <v>2.437</v>
      </c>
      <c r="E709" s="23" t="n">
        <v>10.1999998092651</v>
      </c>
      <c r="F709" s="13" t="n">
        <f aca="false">INDEX(Machine_Rates!$C$5:$C$38,MATCH(C709,Machine_Rates!$A$5:$A$38,0))</f>
        <v>1.771</v>
      </c>
      <c r="G709" s="22" t="n">
        <f aca="false">D709*E709*F709</f>
        <v>44.0224545768021</v>
      </c>
    </row>
    <row r="710" customFormat="false" ht="15" hidden="false" customHeight="false" outlineLevel="0" collapsed="false">
      <c r="A710" s="5" t="s">
        <v>620</v>
      </c>
      <c r="B710" s="2" t="s">
        <v>732</v>
      </c>
      <c r="C710" s="5" t="s">
        <v>368</v>
      </c>
      <c r="D710" s="21" t="n">
        <v>0.926</v>
      </c>
      <c r="E710" s="23" t="n">
        <v>27.4499988555908</v>
      </c>
      <c r="F710" s="13" t="n">
        <f aca="false">INDEX(Machine_Rates!$C$5:$C$38,MATCH(C710,Machine_Rates!$A$5:$A$38,0))</f>
        <v>0</v>
      </c>
      <c r="G710" s="22" t="n">
        <f aca="false">D710*E710*F710</f>
        <v>0</v>
      </c>
    </row>
    <row r="711" customFormat="false" ht="15" hidden="false" customHeight="false" outlineLevel="0" collapsed="false">
      <c r="A711" s="5" t="s">
        <v>620</v>
      </c>
      <c r="B711" s="2" t="s">
        <v>732</v>
      </c>
      <c r="C711" s="5" t="s">
        <v>364</v>
      </c>
      <c r="D711" s="21" t="n">
        <v>0.039</v>
      </c>
      <c r="E711" s="23" t="n">
        <v>10.1999998092651</v>
      </c>
      <c r="F711" s="13" t="n">
        <f aca="false">INDEX(Machine_Rates!$C$5:$C$38,MATCH(C711,Machine_Rates!$A$5:$A$38,0))</f>
        <v>8.4956</v>
      </c>
      <c r="G711" s="22" t="n">
        <f aca="false">D711*E711*F711</f>
        <v>3.37954961680411</v>
      </c>
    </row>
    <row r="712" customFormat="false" ht="15" hidden="false" customHeight="false" outlineLevel="0" collapsed="false">
      <c r="A712" s="5" t="s">
        <v>620</v>
      </c>
      <c r="B712" s="2" t="s">
        <v>732</v>
      </c>
      <c r="C712" s="5" t="s">
        <v>342</v>
      </c>
      <c r="D712" s="21" t="n">
        <v>0.617</v>
      </c>
      <c r="E712" s="23" t="n">
        <v>5.09999990463257</v>
      </c>
      <c r="F712" s="13" t="n">
        <f aca="false">INDEX(Machine_Rates!$C$5:$C$38,MATCH(C712,Machine_Rates!$A$5:$A$38,0))</f>
        <v>2.4859</v>
      </c>
      <c r="G712" s="22" t="n">
        <f aca="false">D712*E712*F712</f>
        <v>7.82238138372541</v>
      </c>
    </row>
    <row r="713" customFormat="false" ht="15" hidden="false" customHeight="false" outlineLevel="0" collapsed="false">
      <c r="A713" s="5" t="s">
        <v>620</v>
      </c>
      <c r="B713" s="2" t="s">
        <v>732</v>
      </c>
      <c r="C713" s="5" t="s">
        <v>341</v>
      </c>
      <c r="D713" s="21" t="n">
        <v>2.042</v>
      </c>
      <c r="E713" s="23" t="n">
        <v>1</v>
      </c>
      <c r="F713" s="13" t="n">
        <f aca="false">INDEX(Machine_Rates!$C$5:$C$38,MATCH(C713,Machine_Rates!$A$5:$A$38,0))</f>
        <v>4.1332</v>
      </c>
      <c r="G713" s="22" t="n">
        <f aca="false">D713*E713*F713</f>
        <v>8.4399944</v>
      </c>
    </row>
    <row r="714" customFormat="false" ht="15" hidden="false" customHeight="false" outlineLevel="0" collapsed="false">
      <c r="A714" s="5" t="s">
        <v>620</v>
      </c>
      <c r="B714" s="2" t="s">
        <v>732</v>
      </c>
      <c r="C714" s="5" t="s">
        <v>365</v>
      </c>
      <c r="D714" s="21" t="n">
        <v>0.926</v>
      </c>
      <c r="E714" s="23" t="n">
        <v>1</v>
      </c>
      <c r="F714" s="13" t="n">
        <f aca="false">INDEX(Machine_Rates!$C$5:$C$38,MATCH(C714,Machine_Rates!$A$5:$A$38,0))</f>
        <v>10.9057</v>
      </c>
      <c r="G714" s="22" t="n">
        <f aca="false">D714*E714*F714</f>
        <v>10.0986782</v>
      </c>
    </row>
    <row r="715" customFormat="false" ht="15" hidden="false" customHeight="false" outlineLevel="0" collapsed="false">
      <c r="A715" s="5" t="s">
        <v>620</v>
      </c>
      <c r="B715" s="2" t="s">
        <v>732</v>
      </c>
      <c r="C715" s="5" t="s">
        <v>337</v>
      </c>
      <c r="D715" s="21" t="n">
        <v>1.929</v>
      </c>
      <c r="E715" s="23" t="n">
        <v>1</v>
      </c>
      <c r="F715" s="13" t="n">
        <f aca="false">INDEX(Machine_Rates!$C$5:$C$38,MATCH(C715,Machine_Rates!$A$5:$A$38,0))</f>
        <v>4.3539</v>
      </c>
      <c r="G715" s="22" t="n">
        <f aca="false">D715*E715*F715</f>
        <v>8.3986731</v>
      </c>
    </row>
    <row r="716" customFormat="false" ht="15" hidden="false" customHeight="false" outlineLevel="0" collapsed="false">
      <c r="A716" s="5" t="s">
        <v>620</v>
      </c>
      <c r="B716" s="2" t="s">
        <v>732</v>
      </c>
      <c r="C716" s="5" t="s">
        <v>360</v>
      </c>
      <c r="D716" s="21" t="n">
        <v>1.157</v>
      </c>
      <c r="E716" s="23" t="n">
        <v>1</v>
      </c>
      <c r="F716" s="13" t="n">
        <f aca="false">INDEX(Machine_Rates!$C$5:$C$38,MATCH(C716,Machine_Rates!$A$5:$A$38,0))</f>
        <v>12.3201</v>
      </c>
      <c r="G716" s="22" t="n">
        <f aca="false">D716*E716*F716</f>
        <v>14.2543557</v>
      </c>
    </row>
    <row r="717" customFormat="false" ht="15" hidden="false" customHeight="false" outlineLevel="0" collapsed="false">
      <c r="A717" s="5" t="s">
        <v>622</v>
      </c>
      <c r="B717" s="2" t="s">
        <v>733</v>
      </c>
      <c r="C717" s="5" t="s">
        <v>372</v>
      </c>
      <c r="D717" s="21" t="n">
        <v>1.102</v>
      </c>
      <c r="E717" s="23" t="n">
        <v>1</v>
      </c>
      <c r="F717" s="13" t="n">
        <f aca="false">INDEX(Machine_Rates!$C$5:$C$38,MATCH(C717,Machine_Rates!$A$5:$A$38,0))</f>
        <v>0</v>
      </c>
      <c r="G717" s="22" t="n">
        <f aca="false">D717*E717*F717</f>
        <v>0</v>
      </c>
    </row>
    <row r="718" customFormat="false" ht="15" hidden="false" customHeight="false" outlineLevel="0" collapsed="false">
      <c r="A718" s="5" t="s">
        <v>622</v>
      </c>
      <c r="B718" s="2" t="s">
        <v>733</v>
      </c>
      <c r="C718" s="5" t="s">
        <v>368</v>
      </c>
      <c r="D718" s="21" t="n">
        <v>4.873</v>
      </c>
      <c r="E718" s="23" t="n">
        <v>1</v>
      </c>
      <c r="F718" s="13" t="n">
        <f aca="false">INDEX(Machine_Rates!$C$5:$C$38,MATCH(C718,Machine_Rates!$A$5:$A$38,0))</f>
        <v>0</v>
      </c>
      <c r="G718" s="22" t="n">
        <f aca="false">D718*E718*F718</f>
        <v>0</v>
      </c>
    </row>
    <row r="719" customFormat="false" ht="15" hidden="false" customHeight="false" outlineLevel="0" collapsed="false">
      <c r="A719" s="5" t="s">
        <v>622</v>
      </c>
      <c r="B719" s="2" t="s">
        <v>733</v>
      </c>
      <c r="C719" s="5" t="s">
        <v>344</v>
      </c>
      <c r="D719" s="21" t="n">
        <v>0.111</v>
      </c>
      <c r="E719" s="23" t="n">
        <v>1</v>
      </c>
      <c r="F719" s="13" t="n">
        <f aca="false">INDEX(Machine_Rates!$C$5:$C$38,MATCH(C719,Machine_Rates!$A$5:$A$38,0))</f>
        <v>1.7156</v>
      </c>
      <c r="G719" s="22" t="n">
        <f aca="false">D719*E719*F719</f>
        <v>0.1904316</v>
      </c>
    </row>
    <row r="720" customFormat="false" ht="15" hidden="false" customHeight="false" outlineLevel="0" collapsed="false">
      <c r="A720" s="5" t="s">
        <v>622</v>
      </c>
      <c r="B720" s="2" t="s">
        <v>733</v>
      </c>
      <c r="C720" s="5" t="s">
        <v>357</v>
      </c>
      <c r="D720" s="21" t="n">
        <v>0.058</v>
      </c>
      <c r="E720" s="23" t="n">
        <v>1</v>
      </c>
      <c r="F720" s="13" t="n">
        <f aca="false">INDEX(Machine_Rates!$C$5:$C$38,MATCH(C720,Machine_Rates!$A$5:$A$38,0))</f>
        <v>13.1447</v>
      </c>
      <c r="G720" s="22" t="n">
        <f aca="false">D720*E720*F720</f>
        <v>0.7623926</v>
      </c>
    </row>
    <row r="721" customFormat="false" ht="15" hidden="false" customHeight="false" outlineLevel="0" collapsed="false">
      <c r="A721" s="5" t="s">
        <v>622</v>
      </c>
      <c r="B721" s="2" t="s">
        <v>733</v>
      </c>
      <c r="C721" s="5" t="s">
        <v>346</v>
      </c>
      <c r="D721" s="21" t="n">
        <v>0.018</v>
      </c>
      <c r="E721" s="23" t="n">
        <v>1</v>
      </c>
      <c r="F721" s="13" t="n">
        <f aca="false">INDEX(Machine_Rates!$C$5:$C$38,MATCH(C721,Machine_Rates!$A$5:$A$38,0))</f>
        <v>5.1042</v>
      </c>
      <c r="G721" s="22" t="n">
        <f aca="false">D721*E721*F721</f>
        <v>0.0918756</v>
      </c>
    </row>
    <row r="722" customFormat="false" ht="15" hidden="false" customHeight="false" outlineLevel="0" collapsed="false">
      <c r="A722" s="5" t="s">
        <v>624</v>
      </c>
      <c r="B722" s="2" t="s">
        <v>734</v>
      </c>
      <c r="C722" s="5" t="s">
        <v>372</v>
      </c>
      <c r="D722" s="21" t="n">
        <v>1.102</v>
      </c>
      <c r="E722" s="23" t="n">
        <v>7.07000017166138</v>
      </c>
      <c r="F722" s="13" t="n">
        <f aca="false">INDEX(Machine_Rates!$C$5:$C$38,MATCH(C722,Machine_Rates!$A$5:$A$38,0))</f>
        <v>0</v>
      </c>
      <c r="G722" s="22" t="n">
        <f aca="false">D722*E722*F722</f>
        <v>0</v>
      </c>
    </row>
    <row r="723" customFormat="false" ht="15" hidden="false" customHeight="false" outlineLevel="0" collapsed="false">
      <c r="A723" s="5" t="s">
        <v>624</v>
      </c>
      <c r="B723" s="2" t="s">
        <v>734</v>
      </c>
      <c r="C723" s="5" t="s">
        <v>368</v>
      </c>
      <c r="D723" s="21" t="n">
        <v>2.058</v>
      </c>
      <c r="E723" s="23" t="n">
        <v>7.07000017166138</v>
      </c>
      <c r="F723" s="13" t="n">
        <f aca="false">INDEX(Machine_Rates!$C$5:$C$38,MATCH(C723,Machine_Rates!$A$5:$A$38,0))</f>
        <v>0</v>
      </c>
      <c r="G723" s="22" t="n">
        <f aca="false">D723*E723*F723</f>
        <v>0</v>
      </c>
    </row>
    <row r="724" customFormat="false" ht="15" hidden="false" customHeight="false" outlineLevel="0" collapsed="false">
      <c r="A724" s="5" t="s">
        <v>624</v>
      </c>
      <c r="B724" s="2" t="s">
        <v>734</v>
      </c>
      <c r="C724" s="5" t="s">
        <v>343</v>
      </c>
      <c r="D724" s="21" t="n">
        <v>0.13</v>
      </c>
      <c r="E724" s="23" t="n">
        <v>7.07000017166138</v>
      </c>
      <c r="F724" s="13" t="n">
        <f aca="false">INDEX(Machine_Rates!$C$5:$C$38,MATCH(C724,Machine_Rates!$A$5:$A$38,0))</f>
        <v>1.716</v>
      </c>
      <c r="G724" s="22" t="n">
        <f aca="false">D724*E724*F724</f>
        <v>1.57717563829422</v>
      </c>
    </row>
    <row r="725" customFormat="false" ht="15" hidden="false" customHeight="false" outlineLevel="0" collapsed="false">
      <c r="A725" s="5" t="s">
        <v>624</v>
      </c>
      <c r="B725" s="2" t="s">
        <v>734</v>
      </c>
      <c r="C725" s="5" t="s">
        <v>364</v>
      </c>
      <c r="D725" s="21" t="n">
        <v>0.044</v>
      </c>
      <c r="E725" s="23" t="n">
        <v>7.07000017166138</v>
      </c>
      <c r="F725" s="13" t="n">
        <f aca="false">INDEX(Machine_Rates!$C$5:$C$38,MATCH(C725,Machine_Rates!$A$5:$A$38,0))</f>
        <v>8.4956</v>
      </c>
      <c r="G725" s="22" t="n">
        <f aca="false">D725*E725*F725</f>
        <v>2.64281131216812</v>
      </c>
    </row>
    <row r="726" customFormat="false" ht="15" hidden="false" customHeight="false" outlineLevel="0" collapsed="false">
      <c r="A726" s="5" t="s">
        <v>624</v>
      </c>
      <c r="B726" s="2" t="s">
        <v>734</v>
      </c>
      <c r="C726" s="5" t="s">
        <v>373</v>
      </c>
      <c r="D726" s="21" t="n">
        <v>0.772</v>
      </c>
      <c r="E726" s="23" t="n">
        <v>1</v>
      </c>
      <c r="F726" s="13" t="n">
        <f aca="false">INDEX(Machine_Rates!$C$5:$C$38,MATCH(C726,Machine_Rates!$A$5:$A$38,0))</f>
        <v>20.293</v>
      </c>
      <c r="G726" s="22" t="n">
        <f aca="false">D726*E726*F726</f>
        <v>15.666196</v>
      </c>
    </row>
    <row r="727" customFormat="false" ht="15" hidden="false" customHeight="false" outlineLevel="0" collapsed="false">
      <c r="A727" s="5" t="s">
        <v>624</v>
      </c>
      <c r="B727" s="2" t="s">
        <v>734</v>
      </c>
      <c r="C727" s="5" t="s">
        <v>360</v>
      </c>
      <c r="D727" s="21" t="n">
        <v>0.726</v>
      </c>
      <c r="E727" s="23" t="n">
        <v>1</v>
      </c>
      <c r="F727" s="13" t="n">
        <f aca="false">INDEX(Machine_Rates!$C$5:$C$38,MATCH(C727,Machine_Rates!$A$5:$A$38,0))</f>
        <v>12.3201</v>
      </c>
      <c r="G727" s="22" t="n">
        <f aca="false">D727*E727*F727</f>
        <v>8.9443926</v>
      </c>
    </row>
    <row r="728" customFormat="false" ht="15" hidden="false" customHeight="false" outlineLevel="0" collapsed="false">
      <c r="A728" s="5" t="s">
        <v>624</v>
      </c>
      <c r="B728" s="2" t="s">
        <v>734</v>
      </c>
      <c r="C728" s="5" t="s">
        <v>373</v>
      </c>
      <c r="D728" s="21" t="n">
        <v>2.315</v>
      </c>
      <c r="E728" s="23" t="n">
        <v>1</v>
      </c>
      <c r="F728" s="13" t="n">
        <f aca="false">INDEX(Machine_Rates!$C$5:$C$38,MATCH(C728,Machine_Rates!$A$5:$A$38,0))</f>
        <v>20.293</v>
      </c>
      <c r="G728" s="22" t="n">
        <f aca="false">D728*E728*F728</f>
        <v>46.978295</v>
      </c>
    </row>
    <row r="729" customFormat="false" ht="15" hidden="false" customHeight="false" outlineLevel="0" collapsed="false">
      <c r="A729" s="5" t="s">
        <v>624</v>
      </c>
      <c r="B729" s="2" t="s">
        <v>734</v>
      </c>
      <c r="C729" s="5" t="s">
        <v>360</v>
      </c>
      <c r="D729" s="21" t="n">
        <v>1.052</v>
      </c>
      <c r="E729" s="23" t="n">
        <v>1</v>
      </c>
      <c r="F729" s="13" t="n">
        <f aca="false">INDEX(Machine_Rates!$C$5:$C$38,MATCH(C729,Machine_Rates!$A$5:$A$38,0))</f>
        <v>12.3201</v>
      </c>
      <c r="G729" s="22" t="n">
        <f aca="false">D729*E729*F729</f>
        <v>12.9607452</v>
      </c>
    </row>
    <row r="730" customFormat="false" ht="15" hidden="false" customHeight="false" outlineLevel="0" collapsed="false">
      <c r="A730" s="5" t="s">
        <v>626</v>
      </c>
      <c r="B730" s="2" t="s">
        <v>735</v>
      </c>
      <c r="C730" s="5" t="s">
        <v>370</v>
      </c>
      <c r="D730" s="21" t="n">
        <v>1.21</v>
      </c>
      <c r="E730" s="23" t="n">
        <v>1</v>
      </c>
      <c r="F730" s="13" t="n">
        <f aca="false">INDEX(Machine_Rates!$C$5:$C$38,MATCH(C730,Machine_Rates!$A$5:$A$38,0))</f>
        <v>0</v>
      </c>
      <c r="G730" s="22" t="n">
        <f aca="false">D730*E730*F730</f>
        <v>0</v>
      </c>
    </row>
    <row r="731" customFormat="false" ht="15" hidden="false" customHeight="false" outlineLevel="0" collapsed="false">
      <c r="A731" s="5" t="s">
        <v>626</v>
      </c>
      <c r="B731" s="2" t="s">
        <v>735</v>
      </c>
      <c r="C731" s="5" t="s">
        <v>375</v>
      </c>
      <c r="D731" s="21" t="n">
        <v>0.871</v>
      </c>
      <c r="E731" s="23" t="n">
        <v>1</v>
      </c>
      <c r="F731" s="13" t="n">
        <f aca="false">INDEX(Machine_Rates!$C$5:$C$38,MATCH(C731,Machine_Rates!$A$5:$A$38,0))</f>
        <v>15.0115</v>
      </c>
      <c r="G731" s="22" t="n">
        <f aca="false">D731*E731*F731</f>
        <v>13.0750165</v>
      </c>
    </row>
    <row r="732" customFormat="false" ht="15" hidden="false" customHeight="false" outlineLevel="0" collapsed="false">
      <c r="A732" s="5" t="s">
        <v>626</v>
      </c>
      <c r="B732" s="2" t="s">
        <v>735</v>
      </c>
      <c r="C732" s="5" t="s">
        <v>348</v>
      </c>
      <c r="D732" s="21" t="n">
        <v>0.514</v>
      </c>
      <c r="E732" s="23" t="n">
        <v>1</v>
      </c>
      <c r="F732" s="13" t="n">
        <f aca="false">INDEX(Machine_Rates!$C$5:$C$38,MATCH(C732,Machine_Rates!$A$5:$A$38,0))</f>
        <v>4.4599</v>
      </c>
      <c r="G732" s="22" t="n">
        <f aca="false">D732*E732*F732</f>
        <v>2.2923886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740</v>
      </c>
    </row>
    <row r="2" customFormat="false" ht="15" hidden="false" customHeight="false" outlineLevel="0" collapsed="false">
      <c r="A2" s="2" t="s">
        <v>741</v>
      </c>
    </row>
    <row r="4" customFormat="false" ht="15" hidden="false" customHeight="false" outlineLevel="0" collapsed="false">
      <c r="A4" s="7" t="s">
        <v>384</v>
      </c>
      <c r="B4" s="7" t="s">
        <v>631</v>
      </c>
      <c r="C4" s="7" t="s">
        <v>742</v>
      </c>
      <c r="D4" s="7" t="s">
        <v>743</v>
      </c>
    </row>
    <row r="5" customFormat="false" ht="15" hidden="false" customHeight="false" outlineLevel="0" collapsed="false">
      <c r="A5" s="5" t="s">
        <v>406</v>
      </c>
      <c r="B5" s="2" t="s">
        <v>637</v>
      </c>
      <c r="C5" s="5" t="s">
        <v>744</v>
      </c>
      <c r="D5" s="21" t="n">
        <v>2.03099989891052</v>
      </c>
    </row>
    <row r="6" customFormat="false" ht="15" hidden="false" customHeight="false" outlineLevel="0" collapsed="false">
      <c r="A6" s="5" t="s">
        <v>406</v>
      </c>
      <c r="B6" s="2" t="s">
        <v>637</v>
      </c>
      <c r="C6" s="5" t="s">
        <v>745</v>
      </c>
      <c r="D6" s="21" t="n">
        <v>1.66999995708466</v>
      </c>
    </row>
    <row r="7" customFormat="false" ht="15" hidden="false" customHeight="false" outlineLevel="0" collapsed="false">
      <c r="A7" s="5" t="s">
        <v>406</v>
      </c>
      <c r="B7" s="2" t="s">
        <v>637</v>
      </c>
      <c r="C7" s="5" t="s">
        <v>746</v>
      </c>
      <c r="D7" s="21" t="n">
        <v>0.955999970436096</v>
      </c>
    </row>
    <row r="8" customFormat="false" ht="15" hidden="false" customHeight="false" outlineLevel="0" collapsed="false">
      <c r="A8" s="5" t="s">
        <v>406</v>
      </c>
      <c r="B8" s="2" t="s">
        <v>637</v>
      </c>
      <c r="C8" s="5" t="s">
        <v>747</v>
      </c>
      <c r="D8" s="21" t="n">
        <v>1.14699995517731</v>
      </c>
    </row>
    <row r="9" customFormat="false" ht="15" hidden="false" customHeight="false" outlineLevel="0" collapsed="false">
      <c r="A9" s="5" t="s">
        <v>406</v>
      </c>
      <c r="B9" s="2" t="s">
        <v>637</v>
      </c>
      <c r="C9" s="5" t="s">
        <v>748</v>
      </c>
      <c r="D9" s="21" t="n">
        <v>0.657999992370606</v>
      </c>
    </row>
    <row r="10" customFormat="false" ht="15" hidden="false" customHeight="false" outlineLevel="0" collapsed="false">
      <c r="A10" s="5" t="s">
        <v>406</v>
      </c>
      <c r="B10" s="2" t="s">
        <v>637</v>
      </c>
      <c r="C10" s="5" t="s">
        <v>749</v>
      </c>
      <c r="D10" s="21" t="n">
        <v>1.93499997258186</v>
      </c>
    </row>
    <row r="11" customFormat="false" ht="15" hidden="false" customHeight="false" outlineLevel="0" collapsed="false">
      <c r="A11" s="5" t="s">
        <v>406</v>
      </c>
      <c r="B11" s="2" t="s">
        <v>637</v>
      </c>
      <c r="C11" s="5" t="s">
        <v>750</v>
      </c>
      <c r="D11" s="21" t="n">
        <v>3.23900008201599</v>
      </c>
    </row>
    <row r="12" customFormat="false" ht="15" hidden="false" customHeight="false" outlineLevel="0" collapsed="false">
      <c r="A12" s="5" t="s">
        <v>406</v>
      </c>
      <c r="B12" s="2" t="s">
        <v>637</v>
      </c>
      <c r="C12" s="5" t="s">
        <v>751</v>
      </c>
      <c r="D12" s="21" t="n">
        <v>0.0329999998211861</v>
      </c>
    </row>
    <row r="13" customFormat="false" ht="15" hidden="false" customHeight="false" outlineLevel="0" collapsed="false">
      <c r="A13" s="5" t="s">
        <v>414</v>
      </c>
      <c r="B13" s="2" t="s">
        <v>638</v>
      </c>
      <c r="C13" s="5" t="s">
        <v>744</v>
      </c>
      <c r="D13" s="21" t="n">
        <v>3.22900009155273</v>
      </c>
    </row>
    <row r="14" customFormat="false" ht="15" hidden="false" customHeight="false" outlineLevel="0" collapsed="false">
      <c r="A14" s="5" t="s">
        <v>414</v>
      </c>
      <c r="B14" s="2" t="s">
        <v>638</v>
      </c>
      <c r="C14" s="5" t="s">
        <v>745</v>
      </c>
      <c r="D14" s="21" t="n">
        <v>2.65499997138977</v>
      </c>
    </row>
    <row r="15" customFormat="false" ht="15" hidden="false" customHeight="false" outlineLevel="0" collapsed="false">
      <c r="A15" s="5" t="s">
        <v>414</v>
      </c>
      <c r="B15" s="2" t="s">
        <v>638</v>
      </c>
      <c r="C15" s="5" t="s">
        <v>746</v>
      </c>
      <c r="D15" s="21" t="n">
        <v>1.51900005340576</v>
      </c>
    </row>
    <row r="16" customFormat="false" ht="15" hidden="false" customHeight="false" outlineLevel="0" collapsed="false">
      <c r="A16" s="5" t="s">
        <v>414</v>
      </c>
      <c r="B16" s="2" t="s">
        <v>638</v>
      </c>
      <c r="C16" s="5" t="s">
        <v>747</v>
      </c>
      <c r="D16" s="21" t="n">
        <v>1.82299995422363</v>
      </c>
    </row>
    <row r="17" customFormat="false" ht="15" hidden="false" customHeight="false" outlineLevel="0" collapsed="false">
      <c r="A17" s="5" t="s">
        <v>414</v>
      </c>
      <c r="B17" s="2" t="s">
        <v>638</v>
      </c>
      <c r="C17" s="5" t="s">
        <v>748</v>
      </c>
      <c r="D17" s="21" t="n">
        <v>0.685999989509583</v>
      </c>
    </row>
    <row r="18" customFormat="false" ht="15" hidden="false" customHeight="false" outlineLevel="0" collapsed="false">
      <c r="A18" s="5" t="s">
        <v>414</v>
      </c>
      <c r="B18" s="2" t="s">
        <v>638</v>
      </c>
      <c r="C18" s="5" t="s">
        <v>749</v>
      </c>
      <c r="D18" s="21" t="n">
        <v>2.97500005364418</v>
      </c>
    </row>
    <row r="19" customFormat="false" ht="15" hidden="false" customHeight="false" outlineLevel="0" collapsed="false">
      <c r="A19" s="5" t="s">
        <v>414</v>
      </c>
      <c r="B19" s="2" t="s">
        <v>638</v>
      </c>
      <c r="C19" s="5" t="s">
        <v>750</v>
      </c>
      <c r="D19" s="21" t="n">
        <v>5.14900016784668</v>
      </c>
    </row>
    <row r="20" customFormat="false" ht="15" hidden="false" customHeight="false" outlineLevel="0" collapsed="false">
      <c r="A20" s="5" t="s">
        <v>414</v>
      </c>
      <c r="B20" s="2" t="s">
        <v>638</v>
      </c>
      <c r="C20" s="5" t="s">
        <v>751</v>
      </c>
      <c r="D20" s="21" t="n">
        <v>0.0329999998211861</v>
      </c>
    </row>
    <row r="21" customFormat="false" ht="15" hidden="false" customHeight="false" outlineLevel="0" collapsed="false">
      <c r="A21" s="5" t="s">
        <v>416</v>
      </c>
      <c r="B21" s="2" t="s">
        <v>639</v>
      </c>
      <c r="C21" s="5" t="s">
        <v>744</v>
      </c>
      <c r="D21" s="21" t="n">
        <v>4.49399995803833</v>
      </c>
    </row>
    <row r="22" customFormat="false" ht="15" hidden="false" customHeight="false" outlineLevel="0" collapsed="false">
      <c r="A22" s="5" t="s">
        <v>416</v>
      </c>
      <c r="B22" s="2" t="s">
        <v>639</v>
      </c>
      <c r="C22" s="5" t="s">
        <v>745</v>
      </c>
      <c r="D22" s="21" t="n">
        <v>3.69600009918213</v>
      </c>
    </row>
    <row r="23" customFormat="false" ht="15" hidden="false" customHeight="false" outlineLevel="0" collapsed="false">
      <c r="A23" s="5" t="s">
        <v>416</v>
      </c>
      <c r="B23" s="2" t="s">
        <v>639</v>
      </c>
      <c r="C23" s="5" t="s">
        <v>746</v>
      </c>
      <c r="D23" s="21" t="n">
        <v>2.11400008201599</v>
      </c>
    </row>
    <row r="24" customFormat="false" ht="15" hidden="false" customHeight="false" outlineLevel="0" collapsed="false">
      <c r="A24" s="5" t="s">
        <v>416</v>
      </c>
      <c r="B24" s="2" t="s">
        <v>639</v>
      </c>
      <c r="C24" s="5" t="s">
        <v>747</v>
      </c>
      <c r="D24" s="21" t="n">
        <v>2.53699994087219</v>
      </c>
    </row>
    <row r="25" customFormat="false" ht="15" hidden="false" customHeight="false" outlineLevel="0" collapsed="false">
      <c r="A25" s="5" t="s">
        <v>416</v>
      </c>
      <c r="B25" s="2" t="s">
        <v>639</v>
      </c>
      <c r="C25" s="5" t="s">
        <v>748</v>
      </c>
      <c r="D25" s="21" t="n">
        <v>0.679000020027161</v>
      </c>
    </row>
    <row r="26" customFormat="false" ht="15" hidden="false" customHeight="false" outlineLevel="0" collapsed="false">
      <c r="A26" s="5" t="s">
        <v>416</v>
      </c>
      <c r="B26" s="2" t="s">
        <v>639</v>
      </c>
      <c r="C26" s="5" t="s">
        <v>749</v>
      </c>
      <c r="D26" s="21" t="n">
        <v>4.07999996840954</v>
      </c>
    </row>
    <row r="27" customFormat="false" ht="15" hidden="false" customHeight="false" outlineLevel="0" collapsed="false">
      <c r="A27" s="5" t="s">
        <v>416</v>
      </c>
      <c r="B27" s="2" t="s">
        <v>639</v>
      </c>
      <c r="C27" s="5" t="s">
        <v>750</v>
      </c>
      <c r="D27" s="21" t="n">
        <v>7.16599988937378</v>
      </c>
    </row>
    <row r="28" customFormat="false" ht="15" hidden="false" customHeight="false" outlineLevel="0" collapsed="false">
      <c r="A28" s="5" t="s">
        <v>416</v>
      </c>
      <c r="B28" s="2" t="s">
        <v>639</v>
      </c>
      <c r="C28" s="5" t="s">
        <v>751</v>
      </c>
      <c r="D28" s="21" t="n">
        <v>0.0329999998211861</v>
      </c>
    </row>
    <row r="29" customFormat="false" ht="15" hidden="false" customHeight="false" outlineLevel="0" collapsed="false">
      <c r="A29" s="5" t="s">
        <v>418</v>
      </c>
      <c r="B29" s="2" t="s">
        <v>640</v>
      </c>
      <c r="C29" s="5" t="s">
        <v>744</v>
      </c>
      <c r="D29" s="21" t="n">
        <v>6.08599996566773</v>
      </c>
    </row>
    <row r="30" customFormat="false" ht="15" hidden="false" customHeight="false" outlineLevel="0" collapsed="false">
      <c r="A30" s="5" t="s">
        <v>418</v>
      </c>
      <c r="B30" s="2" t="s">
        <v>640</v>
      </c>
      <c r="C30" s="5" t="s">
        <v>745</v>
      </c>
      <c r="D30" s="21" t="n">
        <v>5.00500011444092</v>
      </c>
    </row>
    <row r="31" customFormat="false" ht="15" hidden="false" customHeight="false" outlineLevel="0" collapsed="false">
      <c r="A31" s="5" t="s">
        <v>418</v>
      </c>
      <c r="B31" s="2" t="s">
        <v>640</v>
      </c>
      <c r="C31" s="5" t="s">
        <v>746</v>
      </c>
      <c r="D31" s="21" t="n">
        <v>2.86299991607666</v>
      </c>
    </row>
    <row r="32" customFormat="false" ht="15" hidden="false" customHeight="false" outlineLevel="0" collapsed="false">
      <c r="A32" s="5" t="s">
        <v>418</v>
      </c>
      <c r="B32" s="2" t="s">
        <v>640</v>
      </c>
      <c r="C32" s="5" t="s">
        <v>747</v>
      </c>
      <c r="D32" s="21" t="n">
        <v>3.43600010871887</v>
      </c>
    </row>
    <row r="33" customFormat="false" ht="15" hidden="false" customHeight="false" outlineLevel="0" collapsed="false">
      <c r="A33" s="5" t="s">
        <v>418</v>
      </c>
      <c r="B33" s="2" t="s">
        <v>640</v>
      </c>
      <c r="C33" s="5" t="s">
        <v>748</v>
      </c>
      <c r="D33" s="21" t="n">
        <v>0.788999974727631</v>
      </c>
    </row>
    <row r="34" customFormat="false" ht="15" hidden="false" customHeight="false" outlineLevel="0" collapsed="false">
      <c r="A34" s="5" t="s">
        <v>418</v>
      </c>
      <c r="B34" s="2" t="s">
        <v>640</v>
      </c>
      <c r="C34" s="5" t="s">
        <v>749</v>
      </c>
      <c r="D34" s="21" t="n">
        <v>5.45999990403652</v>
      </c>
    </row>
    <row r="35" customFormat="false" ht="15" hidden="false" customHeight="false" outlineLevel="0" collapsed="false">
      <c r="A35" s="5" t="s">
        <v>418</v>
      </c>
      <c r="B35" s="2" t="s">
        <v>640</v>
      </c>
      <c r="C35" s="5" t="s">
        <v>750</v>
      </c>
      <c r="D35" s="21" t="n">
        <v>9.70499992370606</v>
      </c>
    </row>
    <row r="36" customFormat="false" ht="15" hidden="false" customHeight="false" outlineLevel="0" collapsed="false">
      <c r="A36" s="5" t="s">
        <v>418</v>
      </c>
      <c r="B36" s="2" t="s">
        <v>640</v>
      </c>
      <c r="C36" s="5" t="s">
        <v>751</v>
      </c>
      <c r="D36" s="21" t="n">
        <v>0.0329999998211861</v>
      </c>
    </row>
    <row r="37" customFormat="false" ht="15" hidden="false" customHeight="false" outlineLevel="0" collapsed="false">
      <c r="A37" s="5" t="s">
        <v>420</v>
      </c>
      <c r="B37" s="2" t="s">
        <v>641</v>
      </c>
      <c r="C37" s="5" t="s">
        <v>744</v>
      </c>
      <c r="D37" s="21" t="n">
        <v>8.80900001525879</v>
      </c>
    </row>
    <row r="38" customFormat="false" ht="15" hidden="false" customHeight="false" outlineLevel="0" collapsed="false">
      <c r="A38" s="5" t="s">
        <v>420</v>
      </c>
      <c r="B38" s="2" t="s">
        <v>641</v>
      </c>
      <c r="C38" s="5" t="s">
        <v>745</v>
      </c>
      <c r="D38" s="21" t="n">
        <v>7.24399995803833</v>
      </c>
    </row>
    <row r="39" customFormat="false" ht="15" hidden="false" customHeight="false" outlineLevel="0" collapsed="false">
      <c r="A39" s="5" t="s">
        <v>420</v>
      </c>
      <c r="B39" s="2" t="s">
        <v>641</v>
      </c>
      <c r="C39" s="5" t="s">
        <v>746</v>
      </c>
      <c r="D39" s="21" t="n">
        <v>4.14400005340576</v>
      </c>
    </row>
    <row r="40" customFormat="false" ht="15" hidden="false" customHeight="false" outlineLevel="0" collapsed="false">
      <c r="A40" s="5" t="s">
        <v>420</v>
      </c>
      <c r="B40" s="2" t="s">
        <v>641</v>
      </c>
      <c r="C40" s="5" t="s">
        <v>747</v>
      </c>
      <c r="D40" s="21" t="n">
        <v>4.97300004959106</v>
      </c>
    </row>
    <row r="41" customFormat="false" ht="15" hidden="false" customHeight="false" outlineLevel="0" collapsed="false">
      <c r="A41" s="5" t="s">
        <v>420</v>
      </c>
      <c r="B41" s="2" t="s">
        <v>641</v>
      </c>
      <c r="C41" s="5" t="s">
        <v>748</v>
      </c>
      <c r="D41" s="21" t="n">
        <v>0.657000005245209</v>
      </c>
    </row>
    <row r="42" customFormat="false" ht="15" hidden="false" customHeight="false" outlineLevel="0" collapsed="false">
      <c r="A42" s="5" t="s">
        <v>420</v>
      </c>
      <c r="B42" s="2" t="s">
        <v>641</v>
      </c>
      <c r="C42" s="5" t="s">
        <v>749</v>
      </c>
      <c r="D42" s="21" t="n">
        <v>9.26200018823147</v>
      </c>
    </row>
    <row r="43" customFormat="false" ht="15" hidden="false" customHeight="false" outlineLevel="0" collapsed="false">
      <c r="A43" s="5" t="s">
        <v>420</v>
      </c>
      <c r="B43" s="2" t="s">
        <v>641</v>
      </c>
      <c r="C43" s="5" t="s">
        <v>750</v>
      </c>
      <c r="D43" s="21" t="n">
        <v>14.0480003356934</v>
      </c>
    </row>
    <row r="44" customFormat="false" ht="15" hidden="false" customHeight="false" outlineLevel="0" collapsed="false">
      <c r="A44" s="5" t="s">
        <v>420</v>
      </c>
      <c r="B44" s="2" t="s">
        <v>641</v>
      </c>
      <c r="C44" s="5" t="s">
        <v>751</v>
      </c>
      <c r="D44" s="21" t="n">
        <v>10</v>
      </c>
    </row>
    <row r="45" customFormat="false" ht="15" hidden="false" customHeight="false" outlineLevel="0" collapsed="false">
      <c r="A45" s="5" t="s">
        <v>423</v>
      </c>
      <c r="B45" s="2" t="s">
        <v>642</v>
      </c>
      <c r="C45" s="5" t="s">
        <v>744</v>
      </c>
      <c r="D45" s="21" t="n">
        <v>12.2309999465942</v>
      </c>
    </row>
    <row r="46" customFormat="false" ht="15" hidden="false" customHeight="false" outlineLevel="0" collapsed="false">
      <c r="A46" s="5" t="s">
        <v>423</v>
      </c>
      <c r="B46" s="2" t="s">
        <v>642</v>
      </c>
      <c r="C46" s="5" t="s">
        <v>745</v>
      </c>
      <c r="D46" s="21" t="n">
        <v>10.0590000152588</v>
      </c>
    </row>
    <row r="47" customFormat="false" ht="15" hidden="false" customHeight="false" outlineLevel="0" collapsed="false">
      <c r="A47" s="5" t="s">
        <v>423</v>
      </c>
      <c r="B47" s="2" t="s">
        <v>642</v>
      </c>
      <c r="C47" s="5" t="s">
        <v>746</v>
      </c>
      <c r="D47" s="21" t="n">
        <v>5.75400018692017</v>
      </c>
    </row>
    <row r="48" customFormat="false" ht="15" hidden="false" customHeight="false" outlineLevel="0" collapsed="false">
      <c r="A48" s="5" t="s">
        <v>423</v>
      </c>
      <c r="B48" s="2" t="s">
        <v>642</v>
      </c>
      <c r="C48" s="5" t="s">
        <v>747</v>
      </c>
      <c r="D48" s="21" t="n">
        <v>6.90500020980835</v>
      </c>
    </row>
    <row r="49" customFormat="false" ht="15" hidden="false" customHeight="false" outlineLevel="0" collapsed="false">
      <c r="A49" s="5" t="s">
        <v>423</v>
      </c>
      <c r="B49" s="2" t="s">
        <v>642</v>
      </c>
      <c r="C49" s="5" t="s">
        <v>748</v>
      </c>
      <c r="D49" s="21" t="n">
        <v>4.50899982452393</v>
      </c>
    </row>
    <row r="50" customFormat="false" ht="15" hidden="false" customHeight="false" outlineLevel="0" collapsed="false">
      <c r="A50" s="5" t="s">
        <v>423</v>
      </c>
      <c r="B50" s="2" t="s">
        <v>642</v>
      </c>
      <c r="C50" s="5" t="s">
        <v>749</v>
      </c>
      <c r="D50" s="21" t="n">
        <v>10.8349999859929</v>
      </c>
    </row>
    <row r="51" customFormat="false" ht="15" hidden="false" customHeight="false" outlineLevel="0" collapsed="false">
      <c r="A51" s="5" t="s">
        <v>423</v>
      </c>
      <c r="B51" s="2" t="s">
        <v>642</v>
      </c>
      <c r="C51" s="5" t="s">
        <v>750</v>
      </c>
      <c r="D51" s="21" t="n">
        <v>19.5049991607666</v>
      </c>
    </row>
    <row r="52" customFormat="false" ht="15" hidden="false" customHeight="false" outlineLevel="0" collapsed="false">
      <c r="A52" s="5" t="s">
        <v>423</v>
      </c>
      <c r="B52" s="2" t="s">
        <v>642</v>
      </c>
      <c r="C52" s="5" t="s">
        <v>751</v>
      </c>
      <c r="D52" s="21" t="n">
        <v>0.0329999998211861</v>
      </c>
    </row>
    <row r="53" customFormat="false" ht="15" hidden="false" customHeight="false" outlineLevel="0" collapsed="false">
      <c r="A53" s="5" t="s">
        <v>425</v>
      </c>
      <c r="B53" s="2" t="s">
        <v>643</v>
      </c>
      <c r="C53" s="5" t="s">
        <v>744</v>
      </c>
      <c r="D53" s="21" t="n">
        <v>1.27799999713898</v>
      </c>
    </row>
    <row r="54" customFormat="false" ht="15" hidden="false" customHeight="false" outlineLevel="0" collapsed="false">
      <c r="A54" s="5" t="s">
        <v>425</v>
      </c>
      <c r="B54" s="2" t="s">
        <v>643</v>
      </c>
      <c r="C54" s="5" t="s">
        <v>745</v>
      </c>
      <c r="D54" s="21" t="n">
        <v>1.05099999904633</v>
      </c>
    </row>
    <row r="55" customFormat="false" ht="15" hidden="false" customHeight="false" outlineLevel="0" collapsed="false">
      <c r="A55" s="5" t="s">
        <v>425</v>
      </c>
      <c r="B55" s="2" t="s">
        <v>643</v>
      </c>
      <c r="C55" s="5" t="s">
        <v>746</v>
      </c>
      <c r="D55" s="21" t="n">
        <v>0.601000010967255</v>
      </c>
    </row>
    <row r="56" customFormat="false" ht="15" hidden="false" customHeight="false" outlineLevel="0" collapsed="false">
      <c r="A56" s="5" t="s">
        <v>425</v>
      </c>
      <c r="B56" s="2" t="s">
        <v>643</v>
      </c>
      <c r="C56" s="5" t="s">
        <v>747</v>
      </c>
      <c r="D56" s="21" t="n">
        <v>0.722000002861023</v>
      </c>
    </row>
    <row r="57" customFormat="false" ht="15" hidden="false" customHeight="false" outlineLevel="0" collapsed="false">
      <c r="A57" s="5" t="s">
        <v>425</v>
      </c>
      <c r="B57" s="2" t="s">
        <v>643</v>
      </c>
      <c r="C57" s="5" t="s">
        <v>748</v>
      </c>
      <c r="D57" s="21" t="n">
        <v>0.418000012636185</v>
      </c>
    </row>
    <row r="58" customFormat="false" ht="15" hidden="false" customHeight="false" outlineLevel="0" collapsed="false">
      <c r="A58" s="5" t="s">
        <v>425</v>
      </c>
      <c r="B58" s="2" t="s">
        <v>643</v>
      </c>
      <c r="C58" s="5" t="s">
        <v>749</v>
      </c>
      <c r="D58" s="21" t="n">
        <v>1.29399999976158</v>
      </c>
    </row>
    <row r="59" customFormat="false" ht="15" hidden="false" customHeight="false" outlineLevel="0" collapsed="false">
      <c r="A59" s="5" t="s">
        <v>425</v>
      </c>
      <c r="B59" s="2" t="s">
        <v>643</v>
      </c>
      <c r="C59" s="5" t="s">
        <v>750</v>
      </c>
      <c r="D59" s="21" t="n">
        <v>2.03800010681152</v>
      </c>
    </row>
    <row r="60" customFormat="false" ht="15" hidden="false" customHeight="false" outlineLevel="0" collapsed="false">
      <c r="A60" s="5" t="s">
        <v>425</v>
      </c>
      <c r="B60" s="2" t="s">
        <v>643</v>
      </c>
      <c r="C60" s="5" t="s">
        <v>751</v>
      </c>
      <c r="D60" s="21" t="n">
        <v>0.0329999998211861</v>
      </c>
    </row>
    <row r="61" customFormat="false" ht="15" hidden="false" customHeight="false" outlineLevel="0" collapsed="false">
      <c r="A61" s="5" t="s">
        <v>427</v>
      </c>
      <c r="B61" s="2" t="s">
        <v>644</v>
      </c>
      <c r="C61" s="5" t="s">
        <v>744</v>
      </c>
      <c r="D61" s="21" t="n">
        <v>3.94600009918213</v>
      </c>
    </row>
    <row r="62" customFormat="false" ht="15" hidden="false" customHeight="false" outlineLevel="0" collapsed="false">
      <c r="A62" s="5" t="s">
        <v>427</v>
      </c>
      <c r="B62" s="2" t="s">
        <v>644</v>
      </c>
      <c r="C62" s="5" t="s">
        <v>745</v>
      </c>
      <c r="D62" s="21" t="n">
        <v>3.24499988555908</v>
      </c>
    </row>
    <row r="63" customFormat="false" ht="15" hidden="false" customHeight="false" outlineLevel="0" collapsed="false">
      <c r="A63" s="5" t="s">
        <v>427</v>
      </c>
      <c r="B63" s="2" t="s">
        <v>644</v>
      </c>
      <c r="C63" s="5" t="s">
        <v>746</v>
      </c>
      <c r="D63" s="21" t="n">
        <v>1.85599994659424</v>
      </c>
    </row>
    <row r="64" customFormat="false" ht="15" hidden="false" customHeight="false" outlineLevel="0" collapsed="false">
      <c r="A64" s="5" t="s">
        <v>427</v>
      </c>
      <c r="B64" s="2" t="s">
        <v>644</v>
      </c>
      <c r="C64" s="5" t="s">
        <v>747</v>
      </c>
      <c r="D64" s="21" t="n">
        <v>2.2279999256134</v>
      </c>
    </row>
    <row r="65" customFormat="false" ht="15" hidden="false" customHeight="false" outlineLevel="0" collapsed="false">
      <c r="A65" s="5" t="s">
        <v>427</v>
      </c>
      <c r="B65" s="2" t="s">
        <v>644</v>
      </c>
      <c r="C65" s="5" t="s">
        <v>748</v>
      </c>
      <c r="D65" s="21" t="n">
        <v>26.80299949646</v>
      </c>
    </row>
    <row r="66" customFormat="false" ht="15" hidden="false" customHeight="false" outlineLevel="0" collapsed="false">
      <c r="A66" s="5" t="s">
        <v>427</v>
      </c>
      <c r="B66" s="2" t="s">
        <v>644</v>
      </c>
      <c r="C66" s="5" t="s">
        <v>749</v>
      </c>
      <c r="D66" s="21" t="n">
        <v>16.9529998600483</v>
      </c>
    </row>
    <row r="67" customFormat="false" ht="15" hidden="false" customHeight="false" outlineLevel="0" collapsed="false">
      <c r="A67" s="5" t="s">
        <v>427</v>
      </c>
      <c r="B67" s="2" t="s">
        <v>644</v>
      </c>
      <c r="C67" s="5" t="s">
        <v>750</v>
      </c>
      <c r="D67" s="21" t="n">
        <v>6.29300022125244</v>
      </c>
    </row>
    <row r="68" customFormat="false" ht="15" hidden="false" customHeight="false" outlineLevel="0" collapsed="false">
      <c r="A68" s="5" t="s">
        <v>427</v>
      </c>
      <c r="B68" s="2" t="s">
        <v>644</v>
      </c>
      <c r="C68" s="5" t="s">
        <v>751</v>
      </c>
      <c r="D68" s="21" t="n">
        <v>10</v>
      </c>
    </row>
    <row r="69" customFormat="false" ht="15" hidden="false" customHeight="false" outlineLevel="0" collapsed="false">
      <c r="A69" s="5" t="s">
        <v>437</v>
      </c>
      <c r="B69" s="2" t="s">
        <v>645</v>
      </c>
      <c r="C69" s="5" t="s">
        <v>744</v>
      </c>
      <c r="D69" s="21" t="n">
        <v>3.94600009918213</v>
      </c>
    </row>
    <row r="70" customFormat="false" ht="15" hidden="false" customHeight="false" outlineLevel="0" collapsed="false">
      <c r="A70" s="5" t="s">
        <v>437</v>
      </c>
      <c r="B70" s="2" t="s">
        <v>645</v>
      </c>
      <c r="C70" s="5" t="s">
        <v>745</v>
      </c>
      <c r="D70" s="21" t="n">
        <v>3.24499988555908</v>
      </c>
    </row>
    <row r="71" customFormat="false" ht="15" hidden="false" customHeight="false" outlineLevel="0" collapsed="false">
      <c r="A71" s="5" t="s">
        <v>437</v>
      </c>
      <c r="B71" s="2" t="s">
        <v>645</v>
      </c>
      <c r="C71" s="5" t="s">
        <v>746</v>
      </c>
      <c r="D71" s="21" t="n">
        <v>1.85599994659424</v>
      </c>
    </row>
    <row r="72" customFormat="false" ht="15" hidden="false" customHeight="false" outlineLevel="0" collapsed="false">
      <c r="A72" s="5" t="s">
        <v>437</v>
      </c>
      <c r="B72" s="2" t="s">
        <v>645</v>
      </c>
      <c r="C72" s="5" t="s">
        <v>747</v>
      </c>
      <c r="D72" s="21" t="n">
        <v>2.2279999256134</v>
      </c>
    </row>
    <row r="73" customFormat="false" ht="15" hidden="false" customHeight="false" outlineLevel="0" collapsed="false">
      <c r="A73" s="5" t="s">
        <v>437</v>
      </c>
      <c r="B73" s="2" t="s">
        <v>645</v>
      </c>
      <c r="C73" s="5" t="s">
        <v>748</v>
      </c>
      <c r="D73" s="21" t="n">
        <v>28.298999786377</v>
      </c>
    </row>
    <row r="74" customFormat="false" ht="15" hidden="false" customHeight="false" outlineLevel="0" collapsed="false">
      <c r="A74" s="5" t="s">
        <v>437</v>
      </c>
      <c r="B74" s="2" t="s">
        <v>645</v>
      </c>
      <c r="C74" s="5" t="s">
        <v>749</v>
      </c>
      <c r="D74" s="21" t="n">
        <v>26.3910000920296</v>
      </c>
    </row>
    <row r="75" customFormat="false" ht="15" hidden="false" customHeight="false" outlineLevel="0" collapsed="false">
      <c r="A75" s="5" t="s">
        <v>437</v>
      </c>
      <c r="B75" s="2" t="s">
        <v>645</v>
      </c>
      <c r="C75" s="5" t="s">
        <v>750</v>
      </c>
      <c r="D75" s="21" t="n">
        <v>6.29300022125244</v>
      </c>
    </row>
    <row r="76" customFormat="false" ht="15" hidden="false" customHeight="false" outlineLevel="0" collapsed="false">
      <c r="A76" s="5" t="s">
        <v>437</v>
      </c>
      <c r="B76" s="2" t="s">
        <v>645</v>
      </c>
      <c r="C76" s="5" t="s">
        <v>751</v>
      </c>
      <c r="D76" s="21" t="n">
        <v>10</v>
      </c>
    </row>
    <row r="77" customFormat="false" ht="15" hidden="false" customHeight="false" outlineLevel="0" collapsed="false">
      <c r="A77" s="5" t="s">
        <v>439</v>
      </c>
      <c r="B77" s="2" t="s">
        <v>646</v>
      </c>
      <c r="C77" s="5" t="s">
        <v>744</v>
      </c>
      <c r="D77" s="21" t="n">
        <v>6.46600008010864</v>
      </c>
    </row>
    <row r="78" customFormat="false" ht="15" hidden="false" customHeight="false" outlineLevel="0" collapsed="false">
      <c r="A78" s="5" t="s">
        <v>439</v>
      </c>
      <c r="B78" s="2" t="s">
        <v>646</v>
      </c>
      <c r="C78" s="5" t="s">
        <v>745</v>
      </c>
      <c r="D78" s="21" t="n">
        <v>5.31699991226196</v>
      </c>
    </row>
    <row r="79" customFormat="false" ht="15" hidden="false" customHeight="false" outlineLevel="0" collapsed="false">
      <c r="A79" s="5" t="s">
        <v>439</v>
      </c>
      <c r="B79" s="2" t="s">
        <v>646</v>
      </c>
      <c r="C79" s="5" t="s">
        <v>746</v>
      </c>
      <c r="D79" s="21" t="n">
        <v>3.04200005531311</v>
      </c>
    </row>
    <row r="80" customFormat="false" ht="15" hidden="false" customHeight="false" outlineLevel="0" collapsed="false">
      <c r="A80" s="5" t="s">
        <v>439</v>
      </c>
      <c r="B80" s="2" t="s">
        <v>646</v>
      </c>
      <c r="C80" s="5" t="s">
        <v>747</v>
      </c>
      <c r="D80" s="21" t="n">
        <v>3.65000009536743</v>
      </c>
    </row>
    <row r="81" customFormat="false" ht="15" hidden="false" customHeight="false" outlineLevel="0" collapsed="false">
      <c r="A81" s="5" t="s">
        <v>439</v>
      </c>
      <c r="B81" s="2" t="s">
        <v>646</v>
      </c>
      <c r="C81" s="5" t="s">
        <v>748</v>
      </c>
      <c r="D81" s="21" t="n">
        <v>23.4440002441406</v>
      </c>
    </row>
    <row r="82" customFormat="false" ht="15" hidden="false" customHeight="false" outlineLevel="0" collapsed="false">
      <c r="A82" s="5" t="s">
        <v>439</v>
      </c>
      <c r="B82" s="2" t="s">
        <v>646</v>
      </c>
      <c r="C82" s="5" t="s">
        <v>749</v>
      </c>
      <c r="D82" s="21" t="n">
        <v>23.1939996480942</v>
      </c>
    </row>
    <row r="83" customFormat="false" ht="15" hidden="false" customHeight="false" outlineLevel="0" collapsed="false">
      <c r="A83" s="5" t="s">
        <v>439</v>
      </c>
      <c r="B83" s="2" t="s">
        <v>646</v>
      </c>
      <c r="C83" s="5" t="s">
        <v>750</v>
      </c>
      <c r="D83" s="21" t="n">
        <v>10.3109998703003</v>
      </c>
    </row>
    <row r="84" customFormat="false" ht="15" hidden="false" customHeight="false" outlineLevel="0" collapsed="false">
      <c r="A84" s="5" t="s">
        <v>439</v>
      </c>
      <c r="B84" s="2" t="s">
        <v>646</v>
      </c>
      <c r="C84" s="5" t="s">
        <v>751</v>
      </c>
      <c r="D84" s="21" t="n">
        <v>10</v>
      </c>
    </row>
    <row r="85" customFormat="false" ht="15" hidden="false" customHeight="false" outlineLevel="0" collapsed="false">
      <c r="A85" s="5" t="s">
        <v>441</v>
      </c>
      <c r="B85" s="2" t="s">
        <v>647</v>
      </c>
      <c r="C85" s="5" t="s">
        <v>744</v>
      </c>
      <c r="D85" s="21" t="n">
        <v>15.4449996948242</v>
      </c>
    </row>
    <row r="86" customFormat="false" ht="15" hidden="false" customHeight="false" outlineLevel="0" collapsed="false">
      <c r="A86" s="5" t="s">
        <v>441</v>
      </c>
      <c r="B86" s="2" t="s">
        <v>647</v>
      </c>
      <c r="C86" s="5" t="s">
        <v>745</v>
      </c>
      <c r="D86" s="21" t="n">
        <v>12.7019996643066</v>
      </c>
    </row>
    <row r="87" customFormat="false" ht="15" hidden="false" customHeight="false" outlineLevel="0" collapsed="false">
      <c r="A87" s="5" t="s">
        <v>441</v>
      </c>
      <c r="B87" s="2" t="s">
        <v>647</v>
      </c>
      <c r="C87" s="5" t="s">
        <v>746</v>
      </c>
      <c r="D87" s="21" t="n">
        <v>7.26599979400635</v>
      </c>
    </row>
    <row r="88" customFormat="false" ht="15" hidden="false" customHeight="false" outlineLevel="0" collapsed="false">
      <c r="A88" s="5" t="s">
        <v>441</v>
      </c>
      <c r="B88" s="2" t="s">
        <v>647</v>
      </c>
      <c r="C88" s="5" t="s">
        <v>747</v>
      </c>
      <c r="D88" s="21" t="n">
        <v>8.7189998626709</v>
      </c>
    </row>
    <row r="89" customFormat="false" ht="15" hidden="false" customHeight="false" outlineLevel="0" collapsed="false">
      <c r="A89" s="5" t="s">
        <v>441</v>
      </c>
      <c r="B89" s="2" t="s">
        <v>647</v>
      </c>
      <c r="C89" s="5" t="s">
        <v>748</v>
      </c>
      <c r="D89" s="21" t="n">
        <v>3.71799993515015</v>
      </c>
    </row>
    <row r="90" customFormat="false" ht="15" hidden="false" customHeight="false" outlineLevel="0" collapsed="false">
      <c r="A90" s="5" t="s">
        <v>441</v>
      </c>
      <c r="B90" s="2" t="s">
        <v>647</v>
      </c>
      <c r="C90" s="5" t="s">
        <v>749</v>
      </c>
      <c r="D90" s="21" t="n">
        <v>16.0819999277592</v>
      </c>
    </row>
    <row r="91" customFormat="false" ht="15" hidden="false" customHeight="false" outlineLevel="0" collapsed="false">
      <c r="A91" s="5" t="s">
        <v>441</v>
      </c>
      <c r="B91" s="2" t="s">
        <v>647</v>
      </c>
      <c r="C91" s="5" t="s">
        <v>750</v>
      </c>
      <c r="D91" s="21" t="n">
        <v>24.6310005187988</v>
      </c>
    </row>
    <row r="92" customFormat="false" ht="15" hidden="false" customHeight="false" outlineLevel="0" collapsed="false">
      <c r="A92" s="5" t="s">
        <v>441</v>
      </c>
      <c r="B92" s="2" t="s">
        <v>647</v>
      </c>
      <c r="C92" s="5" t="s">
        <v>751</v>
      </c>
      <c r="D92" s="21" t="n">
        <v>10</v>
      </c>
    </row>
    <row r="93" customFormat="false" ht="15" hidden="false" customHeight="false" outlineLevel="0" collapsed="false">
      <c r="A93" s="5" t="s">
        <v>442</v>
      </c>
      <c r="B93" s="2" t="s">
        <v>648</v>
      </c>
      <c r="C93" s="5" t="s">
        <v>744</v>
      </c>
      <c r="D93" s="21" t="n">
        <v>3.87899994850159</v>
      </c>
    </row>
    <row r="94" customFormat="false" ht="15" hidden="false" customHeight="false" outlineLevel="0" collapsed="false">
      <c r="A94" s="5" t="s">
        <v>442</v>
      </c>
      <c r="B94" s="2" t="s">
        <v>648</v>
      </c>
      <c r="C94" s="5" t="s">
        <v>745</v>
      </c>
      <c r="D94" s="21" t="n">
        <v>3.19000005722046</v>
      </c>
    </row>
    <row r="95" customFormat="false" ht="15" hidden="false" customHeight="false" outlineLevel="0" collapsed="false">
      <c r="A95" s="5" t="s">
        <v>442</v>
      </c>
      <c r="B95" s="2" t="s">
        <v>648</v>
      </c>
      <c r="C95" s="5" t="s">
        <v>746</v>
      </c>
      <c r="D95" s="21" t="n">
        <v>1.82500004768372</v>
      </c>
    </row>
    <row r="96" customFormat="false" ht="15" hidden="false" customHeight="false" outlineLevel="0" collapsed="false">
      <c r="A96" s="5" t="s">
        <v>442</v>
      </c>
      <c r="B96" s="2" t="s">
        <v>648</v>
      </c>
      <c r="C96" s="5" t="s">
        <v>747</v>
      </c>
      <c r="D96" s="21" t="n">
        <v>2.19000005722046</v>
      </c>
    </row>
    <row r="97" customFormat="false" ht="15" hidden="false" customHeight="false" outlineLevel="0" collapsed="false">
      <c r="A97" s="5" t="s">
        <v>442</v>
      </c>
      <c r="B97" s="2" t="s">
        <v>648</v>
      </c>
      <c r="C97" s="5" t="s">
        <v>748</v>
      </c>
      <c r="D97" s="21" t="n">
        <v>20.003999710083</v>
      </c>
    </row>
    <row r="98" customFormat="false" ht="15" hidden="false" customHeight="false" outlineLevel="0" collapsed="false">
      <c r="A98" s="5" t="s">
        <v>442</v>
      </c>
      <c r="B98" s="2" t="s">
        <v>648</v>
      </c>
      <c r="C98" s="5" t="s">
        <v>749</v>
      </c>
      <c r="D98" s="21" t="n">
        <v>11.783999979496</v>
      </c>
    </row>
    <row r="99" customFormat="false" ht="15" hidden="false" customHeight="false" outlineLevel="0" collapsed="false">
      <c r="A99" s="5" t="s">
        <v>442</v>
      </c>
      <c r="B99" s="2" t="s">
        <v>648</v>
      </c>
      <c r="C99" s="5" t="s">
        <v>750</v>
      </c>
      <c r="D99" s="21" t="n">
        <v>6.18599987030029</v>
      </c>
    </row>
    <row r="100" customFormat="false" ht="15" hidden="false" customHeight="false" outlineLevel="0" collapsed="false">
      <c r="A100" s="5" t="s">
        <v>442</v>
      </c>
      <c r="B100" s="2" t="s">
        <v>648</v>
      </c>
      <c r="C100" s="5" t="s">
        <v>751</v>
      </c>
      <c r="D100" s="21" t="n">
        <v>10</v>
      </c>
    </row>
    <row r="101" customFormat="false" ht="15" hidden="false" customHeight="false" outlineLevel="0" collapsed="false">
      <c r="A101" s="5" t="s">
        <v>449</v>
      </c>
      <c r="B101" s="2" t="s">
        <v>649</v>
      </c>
      <c r="C101" s="5" t="s">
        <v>744</v>
      </c>
      <c r="D101" s="21" t="n">
        <v>3.87899994850159</v>
      </c>
    </row>
    <row r="102" customFormat="false" ht="15" hidden="false" customHeight="false" outlineLevel="0" collapsed="false">
      <c r="A102" s="5" t="s">
        <v>449</v>
      </c>
      <c r="B102" s="2" t="s">
        <v>649</v>
      </c>
      <c r="C102" s="5" t="s">
        <v>745</v>
      </c>
      <c r="D102" s="21" t="n">
        <v>3.19000005722046</v>
      </c>
    </row>
    <row r="103" customFormat="false" ht="15" hidden="false" customHeight="false" outlineLevel="0" collapsed="false">
      <c r="A103" s="5" t="s">
        <v>449</v>
      </c>
      <c r="B103" s="2" t="s">
        <v>649</v>
      </c>
      <c r="C103" s="5" t="s">
        <v>746</v>
      </c>
      <c r="D103" s="21" t="n">
        <v>1.82500004768372</v>
      </c>
    </row>
    <row r="104" customFormat="false" ht="15" hidden="false" customHeight="false" outlineLevel="0" collapsed="false">
      <c r="A104" s="5" t="s">
        <v>449</v>
      </c>
      <c r="B104" s="2" t="s">
        <v>649</v>
      </c>
      <c r="C104" s="5" t="s">
        <v>747</v>
      </c>
      <c r="D104" s="21" t="n">
        <v>2.19000005722046</v>
      </c>
    </row>
    <row r="105" customFormat="false" ht="15" hidden="false" customHeight="false" outlineLevel="0" collapsed="false">
      <c r="A105" s="5" t="s">
        <v>449</v>
      </c>
      <c r="B105" s="2" t="s">
        <v>649</v>
      </c>
      <c r="C105" s="5" t="s">
        <v>748</v>
      </c>
      <c r="D105" s="21" t="n">
        <v>21.5</v>
      </c>
    </row>
    <row r="106" customFormat="false" ht="15" hidden="false" customHeight="false" outlineLevel="0" collapsed="false">
      <c r="A106" s="5" t="s">
        <v>449</v>
      </c>
      <c r="B106" s="2" t="s">
        <v>649</v>
      </c>
      <c r="C106" s="5" t="s">
        <v>749</v>
      </c>
      <c r="D106" s="21" t="n">
        <v>18.5630000531673</v>
      </c>
    </row>
    <row r="107" customFormat="false" ht="15" hidden="false" customHeight="false" outlineLevel="0" collapsed="false">
      <c r="A107" s="5" t="s">
        <v>449</v>
      </c>
      <c r="B107" s="2" t="s">
        <v>649</v>
      </c>
      <c r="C107" s="5" t="s">
        <v>750</v>
      </c>
      <c r="D107" s="21" t="n">
        <v>6.18599987030029</v>
      </c>
    </row>
    <row r="108" customFormat="false" ht="15" hidden="false" customHeight="false" outlineLevel="0" collapsed="false">
      <c r="A108" s="5" t="s">
        <v>449</v>
      </c>
      <c r="B108" s="2" t="s">
        <v>649</v>
      </c>
      <c r="C108" s="5" t="s">
        <v>751</v>
      </c>
      <c r="D108" s="21" t="n">
        <v>10</v>
      </c>
    </row>
    <row r="109" customFormat="false" ht="15" hidden="false" customHeight="false" outlineLevel="0" collapsed="false">
      <c r="A109" s="5" t="s">
        <v>451</v>
      </c>
      <c r="B109" s="2" t="s">
        <v>650</v>
      </c>
      <c r="C109" s="5" t="s">
        <v>744</v>
      </c>
      <c r="D109" s="21" t="n">
        <v>30.9500007629395</v>
      </c>
    </row>
    <row r="110" customFormat="false" ht="15" hidden="false" customHeight="false" outlineLevel="0" collapsed="false">
      <c r="A110" s="5" t="s">
        <v>451</v>
      </c>
      <c r="B110" s="2" t="s">
        <v>650</v>
      </c>
      <c r="C110" s="5" t="s">
        <v>745</v>
      </c>
      <c r="D110" s="21" t="n">
        <v>25.4529991149902</v>
      </c>
    </row>
    <row r="111" customFormat="false" ht="15" hidden="false" customHeight="false" outlineLevel="0" collapsed="false">
      <c r="A111" s="5" t="s">
        <v>451</v>
      </c>
      <c r="B111" s="2" t="s">
        <v>650</v>
      </c>
      <c r="C111" s="5" t="s">
        <v>746</v>
      </c>
      <c r="D111" s="21" t="n">
        <v>14.5600004196167</v>
      </c>
    </row>
    <row r="112" customFormat="false" ht="15" hidden="false" customHeight="false" outlineLevel="0" collapsed="false">
      <c r="A112" s="5" t="s">
        <v>451</v>
      </c>
      <c r="B112" s="2" t="s">
        <v>650</v>
      </c>
      <c r="C112" s="5" t="s">
        <v>747</v>
      </c>
      <c r="D112" s="21" t="n">
        <v>17.4720001220703</v>
      </c>
    </row>
    <row r="113" customFormat="false" ht="15" hidden="false" customHeight="false" outlineLevel="0" collapsed="false">
      <c r="A113" s="5" t="s">
        <v>451</v>
      </c>
      <c r="B113" s="2" t="s">
        <v>650</v>
      </c>
      <c r="C113" s="5" t="s">
        <v>748</v>
      </c>
      <c r="D113" s="21" t="n">
        <v>23.931999206543</v>
      </c>
    </row>
    <row r="114" customFormat="false" ht="15" hidden="false" customHeight="false" outlineLevel="0" collapsed="false">
      <c r="A114" s="5" t="s">
        <v>451</v>
      </c>
      <c r="B114" s="2" t="s">
        <v>650</v>
      </c>
      <c r="C114" s="5" t="s">
        <v>749</v>
      </c>
      <c r="D114" s="21" t="n">
        <v>39.5589998960495</v>
      </c>
    </row>
    <row r="115" customFormat="false" ht="15" hidden="false" customHeight="false" outlineLevel="0" collapsed="false">
      <c r="A115" s="5" t="s">
        <v>451</v>
      </c>
      <c r="B115" s="2" t="s">
        <v>650</v>
      </c>
      <c r="C115" s="5" t="s">
        <v>750</v>
      </c>
      <c r="D115" s="21" t="n">
        <v>49.3569984436035</v>
      </c>
    </row>
    <row r="116" customFormat="false" ht="15" hidden="false" customHeight="false" outlineLevel="0" collapsed="false">
      <c r="A116" s="5" t="s">
        <v>451</v>
      </c>
      <c r="B116" s="2" t="s">
        <v>650</v>
      </c>
      <c r="C116" s="5" t="s">
        <v>751</v>
      </c>
      <c r="D116" s="21" t="n">
        <v>1</v>
      </c>
    </row>
    <row r="117" customFormat="false" ht="15" hidden="false" customHeight="false" outlineLevel="0" collapsed="false">
      <c r="A117" s="5" t="s">
        <v>455</v>
      </c>
      <c r="B117" s="2" t="s">
        <v>651</v>
      </c>
      <c r="C117" s="5" t="s">
        <v>744</v>
      </c>
      <c r="D117" s="21" t="n">
        <v>38.8370018005371</v>
      </c>
    </row>
    <row r="118" customFormat="false" ht="15" hidden="false" customHeight="false" outlineLevel="0" collapsed="false">
      <c r="A118" s="5" t="s">
        <v>455</v>
      </c>
      <c r="B118" s="2" t="s">
        <v>651</v>
      </c>
      <c r="C118" s="5" t="s">
        <v>745</v>
      </c>
      <c r="D118" s="21" t="n">
        <v>31.9379997253418</v>
      </c>
    </row>
    <row r="119" customFormat="false" ht="15" hidden="false" customHeight="false" outlineLevel="0" collapsed="false">
      <c r="A119" s="5" t="s">
        <v>455</v>
      </c>
      <c r="B119" s="2" t="s">
        <v>651</v>
      </c>
      <c r="C119" s="5" t="s">
        <v>746</v>
      </c>
      <c r="D119" s="21" t="n">
        <v>18.2700004577637</v>
      </c>
    </row>
    <row r="120" customFormat="false" ht="15" hidden="false" customHeight="false" outlineLevel="0" collapsed="false">
      <c r="A120" s="5" t="s">
        <v>455</v>
      </c>
      <c r="B120" s="2" t="s">
        <v>651</v>
      </c>
      <c r="C120" s="5" t="s">
        <v>747</v>
      </c>
      <c r="D120" s="21" t="n">
        <v>21.923999786377</v>
      </c>
    </row>
    <row r="121" customFormat="false" ht="15" hidden="false" customHeight="false" outlineLevel="0" collapsed="false">
      <c r="A121" s="5" t="s">
        <v>455</v>
      </c>
      <c r="B121" s="2" t="s">
        <v>651</v>
      </c>
      <c r="C121" s="5" t="s">
        <v>748</v>
      </c>
      <c r="D121" s="21" t="n">
        <v>32.0660018920898</v>
      </c>
    </row>
    <row r="122" customFormat="false" ht="15" hidden="false" customHeight="false" outlineLevel="0" collapsed="false">
      <c r="A122" s="5" t="s">
        <v>455</v>
      </c>
      <c r="B122" s="2" t="s">
        <v>651</v>
      </c>
      <c r="C122" s="5" t="s">
        <v>749</v>
      </c>
      <c r="D122" s="21" t="n">
        <v>48.4630006253719</v>
      </c>
    </row>
    <row r="123" customFormat="false" ht="15" hidden="false" customHeight="false" outlineLevel="0" collapsed="false">
      <c r="A123" s="5" t="s">
        <v>455</v>
      </c>
      <c r="B123" s="2" t="s">
        <v>651</v>
      </c>
      <c r="C123" s="5" t="s">
        <v>750</v>
      </c>
      <c r="D123" s="21" t="n">
        <v>61.9329986572266</v>
      </c>
    </row>
    <row r="124" customFormat="false" ht="15" hidden="false" customHeight="false" outlineLevel="0" collapsed="false">
      <c r="A124" s="5" t="s">
        <v>455</v>
      </c>
      <c r="B124" s="2" t="s">
        <v>651</v>
      </c>
      <c r="C124" s="5" t="s">
        <v>751</v>
      </c>
      <c r="D124" s="21" t="n">
        <v>1</v>
      </c>
    </row>
    <row r="125" customFormat="false" ht="15" hidden="false" customHeight="false" outlineLevel="0" collapsed="false">
      <c r="A125" s="5" t="s">
        <v>457</v>
      </c>
      <c r="B125" s="2" t="s">
        <v>652</v>
      </c>
      <c r="C125" s="5" t="s">
        <v>744</v>
      </c>
      <c r="D125" s="21" t="n">
        <v>49.6549987792969</v>
      </c>
    </row>
    <row r="126" customFormat="false" ht="15" hidden="false" customHeight="false" outlineLevel="0" collapsed="false">
      <c r="A126" s="5" t="s">
        <v>457</v>
      </c>
      <c r="B126" s="2" t="s">
        <v>652</v>
      </c>
      <c r="C126" s="5" t="s">
        <v>745</v>
      </c>
      <c r="D126" s="21" t="n">
        <v>40.8339996337891</v>
      </c>
    </row>
    <row r="127" customFormat="false" ht="15" hidden="false" customHeight="false" outlineLevel="0" collapsed="false">
      <c r="A127" s="5" t="s">
        <v>457</v>
      </c>
      <c r="B127" s="2" t="s">
        <v>652</v>
      </c>
      <c r="C127" s="5" t="s">
        <v>746</v>
      </c>
      <c r="D127" s="21" t="n">
        <v>23.3589992523193</v>
      </c>
    </row>
    <row r="128" customFormat="false" ht="15" hidden="false" customHeight="false" outlineLevel="0" collapsed="false">
      <c r="A128" s="5" t="s">
        <v>457</v>
      </c>
      <c r="B128" s="2" t="s">
        <v>652</v>
      </c>
      <c r="C128" s="5" t="s">
        <v>747</v>
      </c>
      <c r="D128" s="21" t="n">
        <v>28.0310001373291</v>
      </c>
    </row>
    <row r="129" customFormat="false" ht="15" hidden="false" customHeight="false" outlineLevel="0" collapsed="false">
      <c r="A129" s="5" t="s">
        <v>457</v>
      </c>
      <c r="B129" s="2" t="s">
        <v>652</v>
      </c>
      <c r="C129" s="5" t="s">
        <v>748</v>
      </c>
      <c r="D129" s="21" t="n">
        <v>35.9729995727539</v>
      </c>
    </row>
    <row r="130" customFormat="false" ht="15" hidden="false" customHeight="false" outlineLevel="0" collapsed="false">
      <c r="A130" s="5" t="s">
        <v>457</v>
      </c>
      <c r="B130" s="2" t="s">
        <v>652</v>
      </c>
      <c r="C130" s="5" t="s">
        <v>749</v>
      </c>
      <c r="D130" s="21" t="n">
        <v>62.6499992609024</v>
      </c>
    </row>
    <row r="131" customFormat="false" ht="15" hidden="false" customHeight="false" outlineLevel="0" collapsed="false">
      <c r="A131" s="5" t="s">
        <v>457</v>
      </c>
      <c r="B131" s="2" t="s">
        <v>652</v>
      </c>
      <c r="C131" s="5" t="s">
        <v>750</v>
      </c>
      <c r="D131" s="21" t="n">
        <v>79.1849975585938</v>
      </c>
    </row>
    <row r="132" customFormat="false" ht="15" hidden="false" customHeight="false" outlineLevel="0" collapsed="false">
      <c r="A132" s="5" t="s">
        <v>457</v>
      </c>
      <c r="B132" s="2" t="s">
        <v>652</v>
      </c>
      <c r="C132" s="5" t="s">
        <v>751</v>
      </c>
      <c r="D132" s="21" t="n">
        <v>1</v>
      </c>
    </row>
    <row r="133" customFormat="false" ht="15" hidden="false" customHeight="false" outlineLevel="0" collapsed="false">
      <c r="A133" s="5" t="s">
        <v>459</v>
      </c>
      <c r="B133" s="2" t="s">
        <v>653</v>
      </c>
      <c r="C133" s="5" t="s">
        <v>744</v>
      </c>
      <c r="D133" s="21" t="n">
        <v>82.4349975585938</v>
      </c>
    </row>
    <row r="134" customFormat="false" ht="15" hidden="false" customHeight="false" outlineLevel="0" collapsed="false">
      <c r="A134" s="5" t="s">
        <v>459</v>
      </c>
      <c r="B134" s="2" t="s">
        <v>653</v>
      </c>
      <c r="C134" s="5" t="s">
        <v>745</v>
      </c>
      <c r="D134" s="21" t="n">
        <v>67.7919998168945</v>
      </c>
    </row>
    <row r="135" customFormat="false" ht="15" hidden="false" customHeight="false" outlineLevel="0" collapsed="false">
      <c r="A135" s="5" t="s">
        <v>459</v>
      </c>
      <c r="B135" s="2" t="s">
        <v>653</v>
      </c>
      <c r="C135" s="5" t="s">
        <v>746</v>
      </c>
      <c r="D135" s="21" t="n">
        <v>38.7799987792969</v>
      </c>
    </row>
    <row r="136" customFormat="false" ht="15" hidden="false" customHeight="false" outlineLevel="0" collapsed="false">
      <c r="A136" s="5" t="s">
        <v>459</v>
      </c>
      <c r="B136" s="2" t="s">
        <v>653</v>
      </c>
      <c r="C136" s="5" t="s">
        <v>747</v>
      </c>
      <c r="D136" s="21" t="n">
        <v>46.5359992980957</v>
      </c>
    </row>
    <row r="137" customFormat="false" ht="15" hidden="false" customHeight="false" outlineLevel="0" collapsed="false">
      <c r="A137" s="5" t="s">
        <v>459</v>
      </c>
      <c r="B137" s="2" t="s">
        <v>653</v>
      </c>
      <c r="C137" s="5" t="s">
        <v>748</v>
      </c>
      <c r="D137" s="21" t="n">
        <v>42.6370010375977</v>
      </c>
    </row>
    <row r="138" customFormat="false" ht="15" hidden="false" customHeight="false" outlineLevel="0" collapsed="false">
      <c r="A138" s="5" t="s">
        <v>459</v>
      </c>
      <c r="B138" s="2" t="s">
        <v>653</v>
      </c>
      <c r="C138" s="5" t="s">
        <v>749</v>
      </c>
      <c r="D138" s="21" t="n">
        <v>100.383002877235</v>
      </c>
    </row>
    <row r="139" customFormat="false" ht="15" hidden="false" customHeight="false" outlineLevel="0" collapsed="false">
      <c r="A139" s="5" t="s">
        <v>459</v>
      </c>
      <c r="B139" s="2" t="s">
        <v>653</v>
      </c>
      <c r="C139" s="5" t="s">
        <v>750</v>
      </c>
      <c r="D139" s="21" t="n">
        <v>131.460006713867</v>
      </c>
    </row>
    <row r="140" customFormat="false" ht="15" hidden="false" customHeight="false" outlineLevel="0" collapsed="false">
      <c r="A140" s="5" t="s">
        <v>459</v>
      </c>
      <c r="B140" s="2" t="s">
        <v>653</v>
      </c>
      <c r="C140" s="5" t="s">
        <v>751</v>
      </c>
      <c r="D140" s="21" t="n">
        <v>1</v>
      </c>
    </row>
    <row r="141" customFormat="false" ht="15" hidden="false" customHeight="false" outlineLevel="0" collapsed="false">
      <c r="A141" s="5" t="s">
        <v>461</v>
      </c>
      <c r="B141" s="2" t="s">
        <v>654</v>
      </c>
      <c r="C141" s="5" t="s">
        <v>744</v>
      </c>
      <c r="D141" s="21" t="n">
        <v>49.6549987792969</v>
      </c>
    </row>
    <row r="142" customFormat="false" ht="15" hidden="false" customHeight="false" outlineLevel="0" collapsed="false">
      <c r="A142" s="5" t="s">
        <v>461</v>
      </c>
      <c r="B142" s="2" t="s">
        <v>654</v>
      </c>
      <c r="C142" s="5" t="s">
        <v>745</v>
      </c>
      <c r="D142" s="21" t="n">
        <v>40.8339996337891</v>
      </c>
    </row>
    <row r="143" customFormat="false" ht="15" hidden="false" customHeight="false" outlineLevel="0" collapsed="false">
      <c r="A143" s="5" t="s">
        <v>461</v>
      </c>
      <c r="B143" s="2" t="s">
        <v>654</v>
      </c>
      <c r="C143" s="5" t="s">
        <v>746</v>
      </c>
      <c r="D143" s="21" t="n">
        <v>23.3589992523193</v>
      </c>
    </row>
    <row r="144" customFormat="false" ht="15" hidden="false" customHeight="false" outlineLevel="0" collapsed="false">
      <c r="A144" s="5" t="s">
        <v>461</v>
      </c>
      <c r="B144" s="2" t="s">
        <v>654</v>
      </c>
      <c r="C144" s="5" t="s">
        <v>747</v>
      </c>
      <c r="D144" s="21" t="n">
        <v>28.0310001373291</v>
      </c>
    </row>
    <row r="145" customFormat="false" ht="15" hidden="false" customHeight="false" outlineLevel="0" collapsed="false">
      <c r="A145" s="5" t="s">
        <v>461</v>
      </c>
      <c r="B145" s="2" t="s">
        <v>654</v>
      </c>
      <c r="C145" s="5" t="s">
        <v>748</v>
      </c>
      <c r="D145" s="21" t="n">
        <v>86.6360015869141</v>
      </c>
    </row>
    <row r="146" customFormat="false" ht="15" hidden="false" customHeight="false" outlineLevel="0" collapsed="false">
      <c r="A146" s="5" t="s">
        <v>461</v>
      </c>
      <c r="B146" s="2" t="s">
        <v>654</v>
      </c>
      <c r="C146" s="5" t="s">
        <v>749</v>
      </c>
      <c r="D146" s="21" t="n">
        <v>88.4349986314774</v>
      </c>
    </row>
    <row r="147" customFormat="false" ht="15" hidden="false" customHeight="false" outlineLevel="0" collapsed="false">
      <c r="A147" s="5" t="s">
        <v>461</v>
      </c>
      <c r="B147" s="2" t="s">
        <v>654</v>
      </c>
      <c r="C147" s="5" t="s">
        <v>750</v>
      </c>
      <c r="D147" s="21" t="n">
        <v>79.1849975585938</v>
      </c>
    </row>
    <row r="148" customFormat="false" ht="15" hidden="false" customHeight="false" outlineLevel="0" collapsed="false">
      <c r="A148" s="5" t="s">
        <v>461</v>
      </c>
      <c r="B148" s="2" t="s">
        <v>654</v>
      </c>
      <c r="C148" s="5" t="s">
        <v>751</v>
      </c>
      <c r="D148" s="21" t="n">
        <v>5</v>
      </c>
    </row>
    <row r="149" customFormat="false" ht="15" hidden="false" customHeight="false" outlineLevel="0" collapsed="false">
      <c r="A149" s="5" t="s">
        <v>467</v>
      </c>
      <c r="B149" s="2" t="s">
        <v>655</v>
      </c>
      <c r="C149" s="5" t="s">
        <v>744</v>
      </c>
      <c r="D149" s="21" t="n">
        <v>82.4349975585938</v>
      </c>
    </row>
    <row r="150" customFormat="false" ht="15" hidden="false" customHeight="false" outlineLevel="0" collapsed="false">
      <c r="A150" s="5" t="s">
        <v>467</v>
      </c>
      <c r="B150" s="2" t="s">
        <v>655</v>
      </c>
      <c r="C150" s="5" t="s">
        <v>745</v>
      </c>
      <c r="D150" s="21" t="n">
        <v>67.7919998168945</v>
      </c>
    </row>
    <row r="151" customFormat="false" ht="15" hidden="false" customHeight="false" outlineLevel="0" collapsed="false">
      <c r="A151" s="5" t="s">
        <v>467</v>
      </c>
      <c r="B151" s="2" t="s">
        <v>655</v>
      </c>
      <c r="C151" s="5" t="s">
        <v>746</v>
      </c>
      <c r="D151" s="21" t="n">
        <v>38.7799987792969</v>
      </c>
    </row>
    <row r="152" customFormat="false" ht="15" hidden="false" customHeight="false" outlineLevel="0" collapsed="false">
      <c r="A152" s="5" t="s">
        <v>467</v>
      </c>
      <c r="B152" s="2" t="s">
        <v>655</v>
      </c>
      <c r="C152" s="5" t="s">
        <v>747</v>
      </c>
      <c r="D152" s="21" t="n">
        <v>46.5359992980957</v>
      </c>
    </row>
    <row r="153" customFormat="false" ht="15" hidden="false" customHeight="false" outlineLevel="0" collapsed="false">
      <c r="A153" s="5" t="s">
        <v>467</v>
      </c>
      <c r="B153" s="2" t="s">
        <v>655</v>
      </c>
      <c r="C153" s="5" t="s">
        <v>748</v>
      </c>
      <c r="D153" s="21" t="n">
        <v>109.144996643066</v>
      </c>
    </row>
    <row r="154" customFormat="false" ht="15" hidden="false" customHeight="false" outlineLevel="0" collapsed="false">
      <c r="A154" s="5" t="s">
        <v>467</v>
      </c>
      <c r="B154" s="2" t="s">
        <v>655</v>
      </c>
      <c r="C154" s="5" t="s">
        <v>749</v>
      </c>
      <c r="D154" s="21" t="n">
        <v>129.048998355865</v>
      </c>
    </row>
    <row r="155" customFormat="false" ht="15" hidden="false" customHeight="false" outlineLevel="0" collapsed="false">
      <c r="A155" s="5" t="s">
        <v>467</v>
      </c>
      <c r="B155" s="2" t="s">
        <v>655</v>
      </c>
      <c r="C155" s="5" t="s">
        <v>750</v>
      </c>
      <c r="D155" s="21" t="n">
        <v>131.460006713867</v>
      </c>
    </row>
    <row r="156" customFormat="false" ht="15" hidden="false" customHeight="false" outlineLevel="0" collapsed="false">
      <c r="A156" s="5" t="s">
        <v>467</v>
      </c>
      <c r="B156" s="2" t="s">
        <v>655</v>
      </c>
      <c r="C156" s="5" t="s">
        <v>751</v>
      </c>
      <c r="D156" s="21" t="n">
        <v>5</v>
      </c>
    </row>
    <row r="157" customFormat="false" ht="15" hidden="false" customHeight="false" outlineLevel="0" collapsed="false">
      <c r="A157" s="5" t="s">
        <v>469</v>
      </c>
      <c r="B157" s="2" t="s">
        <v>656</v>
      </c>
      <c r="C157" s="5" t="s">
        <v>744</v>
      </c>
      <c r="D157" s="21" t="n">
        <v>0.386999994516373</v>
      </c>
    </row>
    <row r="158" customFormat="false" ht="15" hidden="false" customHeight="false" outlineLevel="0" collapsed="false">
      <c r="A158" s="5" t="s">
        <v>469</v>
      </c>
      <c r="B158" s="2" t="s">
        <v>656</v>
      </c>
      <c r="C158" s="5" t="s">
        <v>745</v>
      </c>
      <c r="D158" s="21" t="n">
        <v>0.317999988794327</v>
      </c>
    </row>
    <row r="159" customFormat="false" ht="15" hidden="false" customHeight="false" outlineLevel="0" collapsed="false">
      <c r="A159" s="5" t="s">
        <v>469</v>
      </c>
      <c r="B159" s="2" t="s">
        <v>656</v>
      </c>
      <c r="C159" s="5" t="s">
        <v>746</v>
      </c>
      <c r="D159" s="21" t="n">
        <v>0.181999996304512</v>
      </c>
    </row>
    <row r="160" customFormat="false" ht="15" hidden="false" customHeight="false" outlineLevel="0" collapsed="false">
      <c r="A160" s="5" t="s">
        <v>469</v>
      </c>
      <c r="B160" s="2" t="s">
        <v>656</v>
      </c>
      <c r="C160" s="5" t="s">
        <v>747</v>
      </c>
      <c r="D160" s="21" t="n">
        <v>0.217999994754791</v>
      </c>
    </row>
    <row r="161" customFormat="false" ht="15" hidden="false" customHeight="false" outlineLevel="0" collapsed="false">
      <c r="A161" s="5" t="s">
        <v>469</v>
      </c>
      <c r="B161" s="2" t="s">
        <v>656</v>
      </c>
      <c r="C161" s="5" t="s">
        <v>748</v>
      </c>
      <c r="D161" s="21" t="n">
        <v>7.91800022125244</v>
      </c>
    </row>
    <row r="162" customFormat="false" ht="15" hidden="false" customHeight="false" outlineLevel="0" collapsed="false">
      <c r="A162" s="5" t="s">
        <v>469</v>
      </c>
      <c r="B162" s="2" t="s">
        <v>656</v>
      </c>
      <c r="C162" s="5" t="s">
        <v>749</v>
      </c>
      <c r="D162" s="21" t="n">
        <v>2.99899995326996</v>
      </c>
    </row>
    <row r="163" customFormat="false" ht="15" hidden="false" customHeight="false" outlineLevel="0" collapsed="false">
      <c r="A163" s="5" t="s">
        <v>469</v>
      </c>
      <c r="B163" s="2" t="s">
        <v>656</v>
      </c>
      <c r="C163" s="5" t="s">
        <v>750</v>
      </c>
      <c r="D163" s="21" t="n">
        <v>0.616999983787537</v>
      </c>
    </row>
    <row r="164" customFormat="false" ht="15" hidden="false" customHeight="false" outlineLevel="0" collapsed="false">
      <c r="A164" s="5" t="s">
        <v>469</v>
      </c>
      <c r="B164" s="2" t="s">
        <v>656</v>
      </c>
      <c r="C164" s="5" t="s">
        <v>751</v>
      </c>
      <c r="D164" s="21" t="n">
        <v>10</v>
      </c>
    </row>
    <row r="165" customFormat="false" ht="15" hidden="false" customHeight="false" outlineLevel="0" collapsed="false">
      <c r="A165" s="5" t="s">
        <v>471</v>
      </c>
      <c r="B165" s="2" t="s">
        <v>657</v>
      </c>
      <c r="C165" s="5" t="s">
        <v>744</v>
      </c>
      <c r="D165" s="21" t="n">
        <v>0.386999994516373</v>
      </c>
    </row>
    <row r="166" customFormat="false" ht="15" hidden="false" customHeight="false" outlineLevel="0" collapsed="false">
      <c r="A166" s="5" t="s">
        <v>471</v>
      </c>
      <c r="B166" s="2" t="s">
        <v>657</v>
      </c>
      <c r="C166" s="5" t="s">
        <v>745</v>
      </c>
      <c r="D166" s="21" t="n">
        <v>0.317999988794327</v>
      </c>
    </row>
    <row r="167" customFormat="false" ht="15" hidden="false" customHeight="false" outlineLevel="0" collapsed="false">
      <c r="A167" s="5" t="s">
        <v>471</v>
      </c>
      <c r="B167" s="2" t="s">
        <v>657</v>
      </c>
      <c r="C167" s="5" t="s">
        <v>746</v>
      </c>
      <c r="D167" s="21" t="n">
        <v>0.181999996304512</v>
      </c>
    </row>
    <row r="168" customFormat="false" ht="15" hidden="false" customHeight="false" outlineLevel="0" collapsed="false">
      <c r="A168" s="5" t="s">
        <v>471</v>
      </c>
      <c r="B168" s="2" t="s">
        <v>657</v>
      </c>
      <c r="C168" s="5" t="s">
        <v>747</v>
      </c>
      <c r="D168" s="21" t="n">
        <v>0.217999994754791</v>
      </c>
    </row>
    <row r="169" customFormat="false" ht="15" hidden="false" customHeight="false" outlineLevel="0" collapsed="false">
      <c r="A169" s="5" t="s">
        <v>471</v>
      </c>
      <c r="B169" s="2" t="s">
        <v>657</v>
      </c>
      <c r="C169" s="5" t="s">
        <v>748</v>
      </c>
      <c r="D169" s="21" t="n">
        <v>7.91800022125244</v>
      </c>
    </row>
    <row r="170" customFormat="false" ht="15" hidden="false" customHeight="false" outlineLevel="0" collapsed="false">
      <c r="A170" s="5" t="s">
        <v>471</v>
      </c>
      <c r="B170" s="2" t="s">
        <v>657</v>
      </c>
      <c r="C170" s="5" t="s">
        <v>749</v>
      </c>
      <c r="D170" s="21" t="n">
        <v>4.17099986970425</v>
      </c>
    </row>
    <row r="171" customFormat="false" ht="15" hidden="false" customHeight="false" outlineLevel="0" collapsed="false">
      <c r="A171" s="5" t="s">
        <v>471</v>
      </c>
      <c r="B171" s="2" t="s">
        <v>657</v>
      </c>
      <c r="C171" s="5" t="s">
        <v>750</v>
      </c>
      <c r="D171" s="21" t="n">
        <v>0.616999983787537</v>
      </c>
    </row>
    <row r="172" customFormat="false" ht="15" hidden="false" customHeight="false" outlineLevel="0" collapsed="false">
      <c r="A172" s="5" t="s">
        <v>471</v>
      </c>
      <c r="B172" s="2" t="s">
        <v>657</v>
      </c>
      <c r="C172" s="5" t="s">
        <v>751</v>
      </c>
      <c r="D172" s="21" t="n">
        <v>10</v>
      </c>
    </row>
    <row r="173" customFormat="false" ht="15" hidden="false" customHeight="false" outlineLevel="0" collapsed="false">
      <c r="A173" s="5" t="s">
        <v>473</v>
      </c>
      <c r="B173" s="2" t="s">
        <v>658</v>
      </c>
      <c r="C173" s="5" t="s">
        <v>744</v>
      </c>
      <c r="D173" s="21" t="n">
        <v>15.4449996948242</v>
      </c>
    </row>
    <row r="174" customFormat="false" ht="15" hidden="false" customHeight="false" outlineLevel="0" collapsed="false">
      <c r="A174" s="5" t="s">
        <v>473</v>
      </c>
      <c r="B174" s="2" t="s">
        <v>658</v>
      </c>
      <c r="C174" s="5" t="s">
        <v>745</v>
      </c>
      <c r="D174" s="21" t="n">
        <v>12.7019996643066</v>
      </c>
    </row>
    <row r="175" customFormat="false" ht="15" hidden="false" customHeight="false" outlineLevel="0" collapsed="false">
      <c r="A175" s="5" t="s">
        <v>473</v>
      </c>
      <c r="B175" s="2" t="s">
        <v>658</v>
      </c>
      <c r="C175" s="5" t="s">
        <v>746</v>
      </c>
      <c r="D175" s="21" t="n">
        <v>7.26599979400635</v>
      </c>
    </row>
    <row r="176" customFormat="false" ht="15" hidden="false" customHeight="false" outlineLevel="0" collapsed="false">
      <c r="A176" s="5" t="s">
        <v>473</v>
      </c>
      <c r="B176" s="2" t="s">
        <v>658</v>
      </c>
      <c r="C176" s="5" t="s">
        <v>747</v>
      </c>
      <c r="D176" s="21" t="n">
        <v>8.7189998626709</v>
      </c>
    </row>
    <row r="177" customFormat="false" ht="15" hidden="false" customHeight="false" outlineLevel="0" collapsed="false">
      <c r="A177" s="5" t="s">
        <v>473</v>
      </c>
      <c r="B177" s="2" t="s">
        <v>658</v>
      </c>
      <c r="C177" s="5" t="s">
        <v>748</v>
      </c>
      <c r="D177" s="21" t="n">
        <v>4.25</v>
      </c>
    </row>
    <row r="178" customFormat="false" ht="15" hidden="false" customHeight="false" outlineLevel="0" collapsed="false">
      <c r="A178" s="5" t="s">
        <v>473</v>
      </c>
      <c r="B178" s="2" t="s">
        <v>658</v>
      </c>
      <c r="C178" s="5" t="s">
        <v>749</v>
      </c>
      <c r="D178" s="21" t="n">
        <v>13.714000031352</v>
      </c>
    </row>
    <row r="179" customFormat="false" ht="15" hidden="false" customHeight="false" outlineLevel="0" collapsed="false">
      <c r="A179" s="5" t="s">
        <v>473</v>
      </c>
      <c r="B179" s="2" t="s">
        <v>658</v>
      </c>
      <c r="C179" s="5" t="s">
        <v>750</v>
      </c>
      <c r="D179" s="21" t="n">
        <v>24.6310005187988</v>
      </c>
    </row>
    <row r="180" customFormat="false" ht="15" hidden="false" customHeight="false" outlineLevel="0" collapsed="false">
      <c r="A180" s="5" t="s">
        <v>473</v>
      </c>
      <c r="B180" s="2" t="s">
        <v>658</v>
      </c>
      <c r="C180" s="5" t="s">
        <v>751</v>
      </c>
      <c r="D180" s="21" t="n">
        <v>0.0329999998211861</v>
      </c>
    </row>
    <row r="181" customFormat="false" ht="15" hidden="false" customHeight="false" outlineLevel="0" collapsed="false">
      <c r="A181" s="5" t="s">
        <v>475</v>
      </c>
      <c r="B181" s="2" t="s">
        <v>659</v>
      </c>
      <c r="C181" s="5" t="s">
        <v>744</v>
      </c>
      <c r="D181" s="21" t="n">
        <v>49.6549987792969</v>
      </c>
    </row>
    <row r="182" customFormat="false" ht="15" hidden="false" customHeight="false" outlineLevel="0" collapsed="false">
      <c r="A182" s="5" t="s">
        <v>475</v>
      </c>
      <c r="B182" s="2" t="s">
        <v>659</v>
      </c>
      <c r="C182" s="5" t="s">
        <v>745</v>
      </c>
      <c r="D182" s="21" t="n">
        <v>40.8339996337891</v>
      </c>
    </row>
    <row r="183" customFormat="false" ht="15" hidden="false" customHeight="false" outlineLevel="0" collapsed="false">
      <c r="A183" s="5" t="s">
        <v>475</v>
      </c>
      <c r="B183" s="2" t="s">
        <v>659</v>
      </c>
      <c r="C183" s="5" t="s">
        <v>746</v>
      </c>
      <c r="D183" s="21" t="n">
        <v>23.3589992523193</v>
      </c>
    </row>
    <row r="184" customFormat="false" ht="15" hidden="false" customHeight="false" outlineLevel="0" collapsed="false">
      <c r="A184" s="5" t="s">
        <v>475</v>
      </c>
      <c r="B184" s="2" t="s">
        <v>659</v>
      </c>
      <c r="C184" s="5" t="s">
        <v>747</v>
      </c>
      <c r="D184" s="21" t="n">
        <v>28.0310001373291</v>
      </c>
    </row>
    <row r="185" customFormat="false" ht="15" hidden="false" customHeight="false" outlineLevel="0" collapsed="false">
      <c r="A185" s="5" t="s">
        <v>475</v>
      </c>
      <c r="B185" s="2" t="s">
        <v>659</v>
      </c>
      <c r="C185" s="5" t="s">
        <v>748</v>
      </c>
      <c r="D185" s="21" t="n">
        <v>83.1019973754883</v>
      </c>
    </row>
    <row r="186" customFormat="false" ht="15" hidden="false" customHeight="false" outlineLevel="0" collapsed="false">
      <c r="A186" s="5" t="s">
        <v>475</v>
      </c>
      <c r="B186" s="2" t="s">
        <v>659</v>
      </c>
      <c r="C186" s="5" t="s">
        <v>749</v>
      </c>
      <c r="D186" s="21" t="n">
        <v>78.9279979467392</v>
      </c>
    </row>
    <row r="187" customFormat="false" ht="15" hidden="false" customHeight="false" outlineLevel="0" collapsed="false">
      <c r="A187" s="5" t="s">
        <v>475</v>
      </c>
      <c r="B187" s="2" t="s">
        <v>659</v>
      </c>
      <c r="C187" s="5" t="s">
        <v>750</v>
      </c>
      <c r="D187" s="21" t="n">
        <v>79.1849975585938</v>
      </c>
    </row>
    <row r="188" customFormat="false" ht="15" hidden="false" customHeight="false" outlineLevel="0" collapsed="false">
      <c r="A188" s="5" t="s">
        <v>475</v>
      </c>
      <c r="B188" s="2" t="s">
        <v>659</v>
      </c>
      <c r="C188" s="5" t="s">
        <v>751</v>
      </c>
      <c r="D188" s="21" t="n">
        <v>5</v>
      </c>
    </row>
    <row r="189" customFormat="false" ht="15" hidden="false" customHeight="false" outlineLevel="0" collapsed="false">
      <c r="A189" s="5" t="s">
        <v>478</v>
      </c>
      <c r="B189" s="2" t="s">
        <v>660</v>
      </c>
      <c r="C189" s="5" t="s">
        <v>744</v>
      </c>
      <c r="D189" s="21" t="n">
        <v>82.4349975585938</v>
      </c>
    </row>
    <row r="190" customFormat="false" ht="15" hidden="false" customHeight="false" outlineLevel="0" collapsed="false">
      <c r="A190" s="5" t="s">
        <v>478</v>
      </c>
      <c r="B190" s="2" t="s">
        <v>660</v>
      </c>
      <c r="C190" s="5" t="s">
        <v>745</v>
      </c>
      <c r="D190" s="21" t="n">
        <v>67.7919998168945</v>
      </c>
    </row>
    <row r="191" customFormat="false" ht="15" hidden="false" customHeight="false" outlineLevel="0" collapsed="false">
      <c r="A191" s="5" t="s">
        <v>478</v>
      </c>
      <c r="B191" s="2" t="s">
        <v>660</v>
      </c>
      <c r="C191" s="5" t="s">
        <v>746</v>
      </c>
      <c r="D191" s="21" t="n">
        <v>38.7799987792969</v>
      </c>
    </row>
    <row r="192" customFormat="false" ht="15" hidden="false" customHeight="false" outlineLevel="0" collapsed="false">
      <c r="A192" s="5" t="s">
        <v>478</v>
      </c>
      <c r="B192" s="2" t="s">
        <v>660</v>
      </c>
      <c r="C192" s="5" t="s">
        <v>747</v>
      </c>
      <c r="D192" s="21" t="n">
        <v>46.5359992980957</v>
      </c>
    </row>
    <row r="193" customFormat="false" ht="15" hidden="false" customHeight="false" outlineLevel="0" collapsed="false">
      <c r="A193" s="5" t="s">
        <v>478</v>
      </c>
      <c r="B193" s="2" t="s">
        <v>660</v>
      </c>
      <c r="C193" s="5" t="s">
        <v>748</v>
      </c>
      <c r="D193" s="21" t="n">
        <v>82.463996887207</v>
      </c>
    </row>
    <row r="194" customFormat="false" ht="15" hidden="false" customHeight="false" outlineLevel="0" collapsed="false">
      <c r="A194" s="5" t="s">
        <v>478</v>
      </c>
      <c r="B194" s="2" t="s">
        <v>660</v>
      </c>
      <c r="C194" s="5" t="s">
        <v>749</v>
      </c>
      <c r="D194" s="21" t="n">
        <v>117.466999173164</v>
      </c>
    </row>
    <row r="195" customFormat="false" ht="15" hidden="false" customHeight="false" outlineLevel="0" collapsed="false">
      <c r="A195" s="5" t="s">
        <v>478</v>
      </c>
      <c r="B195" s="2" t="s">
        <v>660</v>
      </c>
      <c r="C195" s="5" t="s">
        <v>750</v>
      </c>
      <c r="D195" s="21" t="n">
        <v>131.460006713867</v>
      </c>
    </row>
    <row r="196" customFormat="false" ht="15" hidden="false" customHeight="false" outlineLevel="0" collapsed="false">
      <c r="A196" s="5" t="s">
        <v>478</v>
      </c>
      <c r="B196" s="2" t="s">
        <v>660</v>
      </c>
      <c r="C196" s="5" t="s">
        <v>751</v>
      </c>
      <c r="D196" s="21" t="n">
        <v>5</v>
      </c>
    </row>
    <row r="197" customFormat="false" ht="15" hidden="false" customHeight="false" outlineLevel="0" collapsed="false">
      <c r="A197" s="5" t="s">
        <v>480</v>
      </c>
      <c r="B197" s="2" t="s">
        <v>661</v>
      </c>
      <c r="C197" s="5" t="s">
        <v>744</v>
      </c>
      <c r="D197" s="21" t="n">
        <v>82.4349975585938</v>
      </c>
    </row>
    <row r="198" customFormat="false" ht="15" hidden="false" customHeight="false" outlineLevel="0" collapsed="false">
      <c r="A198" s="5" t="s">
        <v>480</v>
      </c>
      <c r="B198" s="2" t="s">
        <v>661</v>
      </c>
      <c r="C198" s="5" t="s">
        <v>745</v>
      </c>
      <c r="D198" s="21" t="n">
        <v>67.7919998168945</v>
      </c>
    </row>
    <row r="199" customFormat="false" ht="15" hidden="false" customHeight="false" outlineLevel="0" collapsed="false">
      <c r="A199" s="5" t="s">
        <v>480</v>
      </c>
      <c r="B199" s="2" t="s">
        <v>661</v>
      </c>
      <c r="C199" s="5" t="s">
        <v>746</v>
      </c>
      <c r="D199" s="21" t="n">
        <v>38.7799987792969</v>
      </c>
    </row>
    <row r="200" customFormat="false" ht="15" hidden="false" customHeight="false" outlineLevel="0" collapsed="false">
      <c r="A200" s="5" t="s">
        <v>480</v>
      </c>
      <c r="B200" s="2" t="s">
        <v>661</v>
      </c>
      <c r="C200" s="5" t="s">
        <v>747</v>
      </c>
      <c r="D200" s="21" t="n">
        <v>46.5359992980957</v>
      </c>
    </row>
    <row r="201" customFormat="false" ht="15" hidden="false" customHeight="false" outlineLevel="0" collapsed="false">
      <c r="A201" s="5" t="s">
        <v>480</v>
      </c>
      <c r="B201" s="2" t="s">
        <v>661</v>
      </c>
      <c r="C201" s="5" t="s">
        <v>748</v>
      </c>
      <c r="D201" s="21" t="n">
        <v>70.9929962158203</v>
      </c>
    </row>
    <row r="202" customFormat="false" ht="15" hidden="false" customHeight="false" outlineLevel="0" collapsed="false">
      <c r="A202" s="5" t="s">
        <v>480</v>
      </c>
      <c r="B202" s="2" t="s">
        <v>661</v>
      </c>
      <c r="C202" s="5" t="s">
        <v>749</v>
      </c>
      <c r="D202" s="21" t="n">
        <v>113.362001538277</v>
      </c>
    </row>
    <row r="203" customFormat="false" ht="15" hidden="false" customHeight="false" outlineLevel="0" collapsed="false">
      <c r="A203" s="5" t="s">
        <v>480</v>
      </c>
      <c r="B203" s="2" t="s">
        <v>661</v>
      </c>
      <c r="C203" s="5" t="s">
        <v>750</v>
      </c>
      <c r="D203" s="21" t="n">
        <v>131.460006713867</v>
      </c>
    </row>
    <row r="204" customFormat="false" ht="15" hidden="false" customHeight="false" outlineLevel="0" collapsed="false">
      <c r="A204" s="5" t="s">
        <v>480</v>
      </c>
      <c r="B204" s="2" t="s">
        <v>661</v>
      </c>
      <c r="C204" s="5" t="s">
        <v>751</v>
      </c>
      <c r="D204" s="21" t="n">
        <v>5</v>
      </c>
    </row>
    <row r="205" customFormat="false" ht="15" hidden="false" customHeight="false" outlineLevel="0" collapsed="false">
      <c r="A205" s="5" t="s">
        <v>483</v>
      </c>
      <c r="B205" s="2" t="s">
        <v>662</v>
      </c>
      <c r="C205" s="5" t="s">
        <v>744</v>
      </c>
      <c r="D205" s="21" t="n">
        <v>0.31700000166893</v>
      </c>
    </row>
    <row r="206" customFormat="false" ht="15" hidden="false" customHeight="false" outlineLevel="0" collapsed="false">
      <c r="A206" s="5" t="s">
        <v>483</v>
      </c>
      <c r="B206" s="2" t="s">
        <v>662</v>
      </c>
      <c r="C206" s="5" t="s">
        <v>745</v>
      </c>
      <c r="D206" s="21" t="n">
        <v>0.261000007390976</v>
      </c>
    </row>
    <row r="207" customFormat="false" ht="15" hidden="false" customHeight="false" outlineLevel="0" collapsed="false">
      <c r="A207" s="5" t="s">
        <v>483</v>
      </c>
      <c r="B207" s="2" t="s">
        <v>662</v>
      </c>
      <c r="C207" s="5" t="s">
        <v>746</v>
      </c>
      <c r="D207" s="21" t="n">
        <v>0.149000003933907</v>
      </c>
    </row>
    <row r="208" customFormat="false" ht="15" hidden="false" customHeight="false" outlineLevel="0" collapsed="false">
      <c r="A208" s="5" t="s">
        <v>483</v>
      </c>
      <c r="B208" s="2" t="s">
        <v>662</v>
      </c>
      <c r="C208" s="5" t="s">
        <v>747</v>
      </c>
      <c r="D208" s="21" t="n">
        <v>0.179000005125999</v>
      </c>
    </row>
    <row r="209" customFormat="false" ht="15" hidden="false" customHeight="false" outlineLevel="0" collapsed="false">
      <c r="A209" s="5" t="s">
        <v>483</v>
      </c>
      <c r="B209" s="2" t="s">
        <v>662</v>
      </c>
      <c r="C209" s="5" t="s">
        <v>748</v>
      </c>
      <c r="D209" s="21" t="n">
        <v>0.105999998748302</v>
      </c>
    </row>
    <row r="210" customFormat="false" ht="15" hidden="false" customHeight="false" outlineLevel="0" collapsed="false">
      <c r="A210" s="5" t="s">
        <v>483</v>
      </c>
      <c r="B210" s="2" t="s">
        <v>662</v>
      </c>
      <c r="C210" s="5" t="s">
        <v>749</v>
      </c>
      <c r="D210" s="21" t="n">
        <v>0</v>
      </c>
    </row>
    <row r="211" customFormat="false" ht="15" hidden="false" customHeight="false" outlineLevel="0" collapsed="false">
      <c r="A211" s="5" t="s">
        <v>483</v>
      </c>
      <c r="B211" s="2" t="s">
        <v>662</v>
      </c>
      <c r="C211" s="5" t="s">
        <v>750</v>
      </c>
      <c r="D211" s="21" t="n">
        <v>0.504999995231628</v>
      </c>
    </row>
    <row r="212" customFormat="false" ht="15" hidden="false" customHeight="false" outlineLevel="0" collapsed="false">
      <c r="A212" s="5" t="s">
        <v>483</v>
      </c>
      <c r="B212" s="2" t="s">
        <v>662</v>
      </c>
      <c r="C212" s="5" t="s">
        <v>751</v>
      </c>
      <c r="D212" s="21" t="n">
        <v>0.0329999998211861</v>
      </c>
    </row>
    <row r="213" customFormat="false" ht="15" hidden="false" customHeight="false" outlineLevel="0" collapsed="false">
      <c r="A213" s="5" t="s">
        <v>485</v>
      </c>
      <c r="B213" s="2" t="s">
        <v>663</v>
      </c>
      <c r="C213" s="5" t="s">
        <v>744</v>
      </c>
      <c r="D213" s="21" t="n">
        <v>7.96999979019165</v>
      </c>
    </row>
    <row r="214" customFormat="false" ht="15" hidden="false" customHeight="false" outlineLevel="0" collapsed="false">
      <c r="A214" s="5" t="s">
        <v>485</v>
      </c>
      <c r="B214" s="2" t="s">
        <v>663</v>
      </c>
      <c r="C214" s="5" t="s">
        <v>745</v>
      </c>
      <c r="D214" s="21" t="n">
        <v>6.55399990081787</v>
      </c>
    </row>
    <row r="215" customFormat="false" ht="15" hidden="false" customHeight="false" outlineLevel="0" collapsed="false">
      <c r="A215" s="5" t="s">
        <v>485</v>
      </c>
      <c r="B215" s="2" t="s">
        <v>663</v>
      </c>
      <c r="C215" s="5" t="s">
        <v>746</v>
      </c>
      <c r="D215" s="21" t="n">
        <v>3.74900007247925</v>
      </c>
    </row>
    <row r="216" customFormat="false" ht="15" hidden="false" customHeight="false" outlineLevel="0" collapsed="false">
      <c r="A216" s="5" t="s">
        <v>485</v>
      </c>
      <c r="B216" s="2" t="s">
        <v>663</v>
      </c>
      <c r="C216" s="5" t="s">
        <v>747</v>
      </c>
      <c r="D216" s="21" t="n">
        <v>4.49900007247925</v>
      </c>
    </row>
    <row r="217" customFormat="false" ht="15" hidden="false" customHeight="false" outlineLevel="0" collapsed="false">
      <c r="A217" s="5" t="s">
        <v>485</v>
      </c>
      <c r="B217" s="2" t="s">
        <v>663</v>
      </c>
      <c r="C217" s="5" t="s">
        <v>748</v>
      </c>
      <c r="D217" s="21" t="n">
        <v>28.3250007629395</v>
      </c>
    </row>
    <row r="218" customFormat="false" ht="15" hidden="false" customHeight="false" outlineLevel="0" collapsed="false">
      <c r="A218" s="5" t="s">
        <v>485</v>
      </c>
      <c r="B218" s="2" t="s">
        <v>663</v>
      </c>
      <c r="C218" s="5" t="s">
        <v>749</v>
      </c>
      <c r="D218" s="21" t="n">
        <v>46.8259988427162</v>
      </c>
    </row>
    <row r="219" customFormat="false" ht="15" hidden="false" customHeight="false" outlineLevel="0" collapsed="false">
      <c r="A219" s="5" t="s">
        <v>485</v>
      </c>
      <c r="B219" s="2" t="s">
        <v>663</v>
      </c>
      <c r="C219" s="5" t="s">
        <v>750</v>
      </c>
      <c r="D219" s="21" t="n">
        <v>12.7089996337891</v>
      </c>
    </row>
    <row r="220" customFormat="false" ht="15" hidden="false" customHeight="false" outlineLevel="0" collapsed="false">
      <c r="A220" s="5" t="s">
        <v>485</v>
      </c>
      <c r="B220" s="2" t="s">
        <v>663</v>
      </c>
      <c r="C220" s="5" t="s">
        <v>751</v>
      </c>
      <c r="D220" s="21" t="n">
        <v>10</v>
      </c>
    </row>
    <row r="221" customFormat="false" ht="15" hidden="false" customHeight="false" outlineLevel="0" collapsed="false">
      <c r="A221" s="5" t="s">
        <v>487</v>
      </c>
      <c r="B221" s="2" t="s">
        <v>664</v>
      </c>
      <c r="C221" s="5" t="s">
        <v>744</v>
      </c>
      <c r="D221" s="21" t="n">
        <v>7.96999979019165</v>
      </c>
    </row>
    <row r="222" customFormat="false" ht="15" hidden="false" customHeight="false" outlineLevel="0" collapsed="false">
      <c r="A222" s="5" t="s">
        <v>487</v>
      </c>
      <c r="B222" s="2" t="s">
        <v>664</v>
      </c>
      <c r="C222" s="5" t="s">
        <v>745</v>
      </c>
      <c r="D222" s="21" t="n">
        <v>6.55399990081787</v>
      </c>
    </row>
    <row r="223" customFormat="false" ht="15" hidden="false" customHeight="false" outlineLevel="0" collapsed="false">
      <c r="A223" s="5" t="s">
        <v>487</v>
      </c>
      <c r="B223" s="2" t="s">
        <v>664</v>
      </c>
      <c r="C223" s="5" t="s">
        <v>746</v>
      </c>
      <c r="D223" s="21" t="n">
        <v>3.74900007247925</v>
      </c>
    </row>
    <row r="224" customFormat="false" ht="15" hidden="false" customHeight="false" outlineLevel="0" collapsed="false">
      <c r="A224" s="5" t="s">
        <v>487</v>
      </c>
      <c r="B224" s="2" t="s">
        <v>664</v>
      </c>
      <c r="C224" s="5" t="s">
        <v>747</v>
      </c>
      <c r="D224" s="21" t="n">
        <v>4.49900007247925</v>
      </c>
    </row>
    <row r="225" customFormat="false" ht="15" hidden="false" customHeight="false" outlineLevel="0" collapsed="false">
      <c r="A225" s="5" t="s">
        <v>487</v>
      </c>
      <c r="B225" s="2" t="s">
        <v>664</v>
      </c>
      <c r="C225" s="5" t="s">
        <v>748</v>
      </c>
      <c r="D225" s="21" t="n">
        <v>27.7970008850098</v>
      </c>
    </row>
    <row r="226" customFormat="false" ht="15" hidden="false" customHeight="false" outlineLevel="0" collapsed="false">
      <c r="A226" s="5" t="s">
        <v>487</v>
      </c>
      <c r="B226" s="2" t="s">
        <v>664</v>
      </c>
      <c r="C226" s="5" t="s">
        <v>749</v>
      </c>
      <c r="D226" s="21" t="n">
        <v>29.5399992465973</v>
      </c>
    </row>
    <row r="227" customFormat="false" ht="15" hidden="false" customHeight="false" outlineLevel="0" collapsed="false">
      <c r="A227" s="5" t="s">
        <v>487</v>
      </c>
      <c r="B227" s="2" t="s">
        <v>664</v>
      </c>
      <c r="C227" s="5" t="s">
        <v>750</v>
      </c>
      <c r="D227" s="21" t="n">
        <v>12.7089996337891</v>
      </c>
    </row>
    <row r="228" customFormat="false" ht="15" hidden="false" customHeight="false" outlineLevel="0" collapsed="false">
      <c r="A228" s="5" t="s">
        <v>487</v>
      </c>
      <c r="B228" s="2" t="s">
        <v>664</v>
      </c>
      <c r="C228" s="5" t="s">
        <v>751</v>
      </c>
      <c r="D228" s="21" t="n">
        <v>10</v>
      </c>
    </row>
    <row r="229" customFormat="false" ht="15" hidden="false" customHeight="false" outlineLevel="0" collapsed="false">
      <c r="A229" s="5" t="s">
        <v>489</v>
      </c>
      <c r="B229" s="2" t="s">
        <v>665</v>
      </c>
      <c r="C229" s="5" t="s">
        <v>744</v>
      </c>
      <c r="D229" s="21" t="n">
        <v>13.0579996109009</v>
      </c>
    </row>
    <row r="230" customFormat="false" ht="15" hidden="false" customHeight="false" outlineLevel="0" collapsed="false">
      <c r="A230" s="5" t="s">
        <v>489</v>
      </c>
      <c r="B230" s="2" t="s">
        <v>665</v>
      </c>
      <c r="C230" s="5" t="s">
        <v>745</v>
      </c>
      <c r="D230" s="21" t="n">
        <v>10.7390003204346</v>
      </c>
    </row>
    <row r="231" customFormat="false" ht="15" hidden="false" customHeight="false" outlineLevel="0" collapsed="false">
      <c r="A231" s="5" t="s">
        <v>489</v>
      </c>
      <c r="B231" s="2" t="s">
        <v>665</v>
      </c>
      <c r="C231" s="5" t="s">
        <v>746</v>
      </c>
      <c r="D231" s="21" t="n">
        <v>6.14300012588501</v>
      </c>
    </row>
    <row r="232" customFormat="false" ht="15" hidden="false" customHeight="false" outlineLevel="0" collapsed="false">
      <c r="A232" s="5" t="s">
        <v>489</v>
      </c>
      <c r="B232" s="2" t="s">
        <v>665</v>
      </c>
      <c r="C232" s="5" t="s">
        <v>747</v>
      </c>
      <c r="D232" s="21" t="n">
        <v>7.37200021743774</v>
      </c>
    </row>
    <row r="233" customFormat="false" ht="15" hidden="false" customHeight="false" outlineLevel="0" collapsed="false">
      <c r="A233" s="5" t="s">
        <v>489</v>
      </c>
      <c r="B233" s="2" t="s">
        <v>665</v>
      </c>
      <c r="C233" s="5" t="s">
        <v>748</v>
      </c>
      <c r="D233" s="21" t="n">
        <v>28.1410007476807</v>
      </c>
    </row>
    <row r="234" customFormat="false" ht="15" hidden="false" customHeight="false" outlineLevel="0" collapsed="false">
      <c r="A234" s="5" t="s">
        <v>489</v>
      </c>
      <c r="B234" s="2" t="s">
        <v>665</v>
      </c>
      <c r="C234" s="5" t="s">
        <v>749</v>
      </c>
      <c r="D234" s="21" t="n">
        <v>39.2080001235008</v>
      </c>
    </row>
    <row r="235" customFormat="false" ht="15" hidden="false" customHeight="false" outlineLevel="0" collapsed="false">
      <c r="A235" s="5" t="s">
        <v>489</v>
      </c>
      <c r="B235" s="2" t="s">
        <v>665</v>
      </c>
      <c r="C235" s="5" t="s">
        <v>750</v>
      </c>
      <c r="D235" s="21" t="n">
        <v>20.8239994049072</v>
      </c>
    </row>
    <row r="236" customFormat="false" ht="15" hidden="false" customHeight="false" outlineLevel="0" collapsed="false">
      <c r="A236" s="5" t="s">
        <v>489</v>
      </c>
      <c r="B236" s="2" t="s">
        <v>665</v>
      </c>
      <c r="C236" s="5" t="s">
        <v>751</v>
      </c>
      <c r="D236" s="21" t="n">
        <v>10</v>
      </c>
    </row>
    <row r="237" customFormat="false" ht="15" hidden="false" customHeight="false" outlineLevel="0" collapsed="false">
      <c r="A237" s="5" t="s">
        <v>491</v>
      </c>
      <c r="B237" s="2" t="s">
        <v>666</v>
      </c>
      <c r="C237" s="5" t="s">
        <v>744</v>
      </c>
      <c r="D237" s="21" t="n">
        <v>4.78200006484985</v>
      </c>
    </row>
    <row r="238" customFormat="false" ht="15" hidden="false" customHeight="false" outlineLevel="0" collapsed="false">
      <c r="A238" s="5" t="s">
        <v>491</v>
      </c>
      <c r="B238" s="2" t="s">
        <v>666</v>
      </c>
      <c r="C238" s="5" t="s">
        <v>745</v>
      </c>
      <c r="D238" s="21" t="n">
        <v>3.93199992179871</v>
      </c>
    </row>
    <row r="239" customFormat="false" ht="15" hidden="false" customHeight="false" outlineLevel="0" collapsed="false">
      <c r="A239" s="5" t="s">
        <v>491</v>
      </c>
      <c r="B239" s="2" t="s">
        <v>666</v>
      </c>
      <c r="C239" s="5" t="s">
        <v>746</v>
      </c>
      <c r="D239" s="21" t="n">
        <v>2.25</v>
      </c>
    </row>
    <row r="240" customFormat="false" ht="15" hidden="false" customHeight="false" outlineLevel="0" collapsed="false">
      <c r="A240" s="5" t="s">
        <v>491</v>
      </c>
      <c r="B240" s="2" t="s">
        <v>666</v>
      </c>
      <c r="C240" s="5" t="s">
        <v>747</v>
      </c>
      <c r="D240" s="21" t="n">
        <v>2.69899988174438</v>
      </c>
    </row>
    <row r="241" customFormat="false" ht="15" hidden="false" customHeight="false" outlineLevel="0" collapsed="false">
      <c r="A241" s="5" t="s">
        <v>491</v>
      </c>
      <c r="B241" s="2" t="s">
        <v>666</v>
      </c>
      <c r="C241" s="5" t="s">
        <v>748</v>
      </c>
      <c r="D241" s="21" t="n">
        <v>23.2029991149902</v>
      </c>
    </row>
    <row r="242" customFormat="false" ht="15" hidden="false" customHeight="false" outlineLevel="0" collapsed="false">
      <c r="A242" s="5" t="s">
        <v>491</v>
      </c>
      <c r="B242" s="2" t="s">
        <v>666</v>
      </c>
      <c r="C242" s="5" t="s">
        <v>749</v>
      </c>
      <c r="D242" s="21" t="n">
        <v>15.2850000560284</v>
      </c>
    </row>
    <row r="243" customFormat="false" ht="15" hidden="false" customHeight="false" outlineLevel="0" collapsed="false">
      <c r="A243" s="5" t="s">
        <v>491</v>
      </c>
      <c r="B243" s="2" t="s">
        <v>666</v>
      </c>
      <c r="C243" s="5" t="s">
        <v>750</v>
      </c>
      <c r="D243" s="21" t="n">
        <v>7.62599992752075</v>
      </c>
    </row>
    <row r="244" customFormat="false" ht="15" hidden="false" customHeight="false" outlineLevel="0" collapsed="false">
      <c r="A244" s="5" t="s">
        <v>491</v>
      </c>
      <c r="B244" s="2" t="s">
        <v>666</v>
      </c>
      <c r="C244" s="5" t="s">
        <v>751</v>
      </c>
      <c r="D244" s="21" t="n">
        <v>10</v>
      </c>
    </row>
    <row r="245" customFormat="false" ht="15" hidden="false" customHeight="false" outlineLevel="0" collapsed="false">
      <c r="A245" s="5" t="s">
        <v>493</v>
      </c>
      <c r="B245" s="2" t="s">
        <v>667</v>
      </c>
      <c r="C245" s="5" t="s">
        <v>744</v>
      </c>
      <c r="D245" s="21" t="n">
        <v>7.83500003814697</v>
      </c>
    </row>
    <row r="246" customFormat="false" ht="15" hidden="false" customHeight="false" outlineLevel="0" collapsed="false">
      <c r="A246" s="5" t="s">
        <v>493</v>
      </c>
      <c r="B246" s="2" t="s">
        <v>667</v>
      </c>
      <c r="C246" s="5" t="s">
        <v>745</v>
      </c>
      <c r="D246" s="21" t="n">
        <v>6.44299983978272</v>
      </c>
    </row>
    <row r="247" customFormat="false" ht="15" hidden="false" customHeight="false" outlineLevel="0" collapsed="false">
      <c r="A247" s="5" t="s">
        <v>493</v>
      </c>
      <c r="B247" s="2" t="s">
        <v>667</v>
      </c>
      <c r="C247" s="5" t="s">
        <v>746</v>
      </c>
      <c r="D247" s="21" t="n">
        <v>3.68600010871887</v>
      </c>
    </row>
    <row r="248" customFormat="false" ht="15" hidden="false" customHeight="false" outlineLevel="0" collapsed="false">
      <c r="A248" s="5" t="s">
        <v>493</v>
      </c>
      <c r="B248" s="2" t="s">
        <v>667</v>
      </c>
      <c r="C248" s="5" t="s">
        <v>747</v>
      </c>
      <c r="D248" s="21" t="n">
        <v>4.4229998588562</v>
      </c>
    </row>
    <row r="249" customFormat="false" ht="15" hidden="false" customHeight="false" outlineLevel="0" collapsed="false">
      <c r="A249" s="5" t="s">
        <v>493</v>
      </c>
      <c r="B249" s="2" t="s">
        <v>667</v>
      </c>
      <c r="C249" s="5" t="s">
        <v>748</v>
      </c>
      <c r="D249" s="21" t="n">
        <v>24.6420001983643</v>
      </c>
    </row>
    <row r="250" customFormat="false" ht="15" hidden="false" customHeight="false" outlineLevel="0" collapsed="false">
      <c r="A250" s="5" t="s">
        <v>493</v>
      </c>
      <c r="B250" s="2" t="s">
        <v>667</v>
      </c>
      <c r="C250" s="5" t="s">
        <v>749</v>
      </c>
      <c r="D250" s="21" t="n">
        <v>20.0129998624325</v>
      </c>
    </row>
    <row r="251" customFormat="false" ht="15" hidden="false" customHeight="false" outlineLevel="0" collapsed="false">
      <c r="A251" s="5" t="s">
        <v>493</v>
      </c>
      <c r="B251" s="2" t="s">
        <v>667</v>
      </c>
      <c r="C251" s="5" t="s">
        <v>750</v>
      </c>
      <c r="D251" s="21" t="n">
        <v>12.4940004348755</v>
      </c>
    </row>
    <row r="252" customFormat="false" ht="15" hidden="false" customHeight="false" outlineLevel="0" collapsed="false">
      <c r="A252" s="5" t="s">
        <v>493</v>
      </c>
      <c r="B252" s="2" t="s">
        <v>667</v>
      </c>
      <c r="C252" s="5" t="s">
        <v>751</v>
      </c>
      <c r="D252" s="21" t="n">
        <v>10</v>
      </c>
    </row>
    <row r="253" customFormat="false" ht="15" hidden="false" customHeight="false" outlineLevel="0" collapsed="false">
      <c r="A253" s="5" t="s">
        <v>495</v>
      </c>
      <c r="B253" s="2" t="s">
        <v>668</v>
      </c>
      <c r="C253" s="5" t="s">
        <v>744</v>
      </c>
      <c r="D253" s="21" t="n">
        <v>7.83500003814697</v>
      </c>
    </row>
    <row r="254" customFormat="false" ht="15" hidden="false" customHeight="false" outlineLevel="0" collapsed="false">
      <c r="A254" s="5" t="s">
        <v>495</v>
      </c>
      <c r="B254" s="2" t="s">
        <v>668</v>
      </c>
      <c r="C254" s="5" t="s">
        <v>745</v>
      </c>
      <c r="D254" s="21" t="n">
        <v>6.44299983978272</v>
      </c>
    </row>
    <row r="255" customFormat="false" ht="15" hidden="false" customHeight="false" outlineLevel="0" collapsed="false">
      <c r="A255" s="5" t="s">
        <v>495</v>
      </c>
      <c r="B255" s="2" t="s">
        <v>668</v>
      </c>
      <c r="C255" s="5" t="s">
        <v>746</v>
      </c>
      <c r="D255" s="21" t="n">
        <v>3.68600010871887</v>
      </c>
    </row>
    <row r="256" customFormat="false" ht="15" hidden="false" customHeight="false" outlineLevel="0" collapsed="false">
      <c r="A256" s="5" t="s">
        <v>495</v>
      </c>
      <c r="B256" s="2" t="s">
        <v>668</v>
      </c>
      <c r="C256" s="5" t="s">
        <v>747</v>
      </c>
      <c r="D256" s="21" t="n">
        <v>4.4229998588562</v>
      </c>
    </row>
    <row r="257" customFormat="false" ht="15" hidden="false" customHeight="false" outlineLevel="0" collapsed="false">
      <c r="A257" s="5" t="s">
        <v>495</v>
      </c>
      <c r="B257" s="2" t="s">
        <v>668</v>
      </c>
      <c r="C257" s="5" t="s">
        <v>748</v>
      </c>
      <c r="D257" s="21" t="n">
        <v>27.1730003356934</v>
      </c>
    </row>
    <row r="258" customFormat="false" ht="15" hidden="false" customHeight="false" outlineLevel="0" collapsed="false">
      <c r="A258" s="5" t="s">
        <v>495</v>
      </c>
      <c r="B258" s="2" t="s">
        <v>668</v>
      </c>
      <c r="C258" s="5" t="s">
        <v>749</v>
      </c>
      <c r="D258" s="21" t="n">
        <v>33.0549997091293</v>
      </c>
    </row>
    <row r="259" customFormat="false" ht="15" hidden="false" customHeight="false" outlineLevel="0" collapsed="false">
      <c r="A259" s="5" t="s">
        <v>495</v>
      </c>
      <c r="B259" s="2" t="s">
        <v>668</v>
      </c>
      <c r="C259" s="5" t="s">
        <v>750</v>
      </c>
      <c r="D259" s="21" t="n">
        <v>12.4940004348755</v>
      </c>
    </row>
    <row r="260" customFormat="false" ht="15" hidden="false" customHeight="false" outlineLevel="0" collapsed="false">
      <c r="A260" s="5" t="s">
        <v>495</v>
      </c>
      <c r="B260" s="2" t="s">
        <v>668</v>
      </c>
      <c r="C260" s="5" t="s">
        <v>751</v>
      </c>
      <c r="D260" s="21" t="n">
        <v>10</v>
      </c>
    </row>
    <row r="261" customFormat="false" ht="15" hidden="false" customHeight="false" outlineLevel="0" collapsed="false">
      <c r="A261" s="5" t="s">
        <v>497</v>
      </c>
      <c r="B261" s="2" t="s">
        <v>669</v>
      </c>
      <c r="C261" s="5" t="s">
        <v>744</v>
      </c>
      <c r="D261" s="21" t="n">
        <v>4.78200006484985</v>
      </c>
    </row>
    <row r="262" customFormat="false" ht="15" hidden="false" customHeight="false" outlineLevel="0" collapsed="false">
      <c r="A262" s="5" t="s">
        <v>497</v>
      </c>
      <c r="B262" s="2" t="s">
        <v>669</v>
      </c>
      <c r="C262" s="5" t="s">
        <v>745</v>
      </c>
      <c r="D262" s="21" t="n">
        <v>3.93199992179871</v>
      </c>
    </row>
    <row r="263" customFormat="false" ht="15" hidden="false" customHeight="false" outlineLevel="0" collapsed="false">
      <c r="A263" s="5" t="s">
        <v>497</v>
      </c>
      <c r="B263" s="2" t="s">
        <v>669</v>
      </c>
      <c r="C263" s="5" t="s">
        <v>746</v>
      </c>
      <c r="D263" s="21" t="n">
        <v>2.25</v>
      </c>
    </row>
    <row r="264" customFormat="false" ht="15" hidden="false" customHeight="false" outlineLevel="0" collapsed="false">
      <c r="A264" s="5" t="s">
        <v>497</v>
      </c>
      <c r="B264" s="2" t="s">
        <v>669</v>
      </c>
      <c r="C264" s="5" t="s">
        <v>747</v>
      </c>
      <c r="D264" s="21" t="n">
        <v>2.69899988174438</v>
      </c>
    </row>
    <row r="265" customFormat="false" ht="15" hidden="false" customHeight="false" outlineLevel="0" collapsed="false">
      <c r="A265" s="5" t="s">
        <v>497</v>
      </c>
      <c r="B265" s="2" t="s">
        <v>669</v>
      </c>
      <c r="C265" s="5" t="s">
        <v>748</v>
      </c>
      <c r="D265" s="21" t="n">
        <v>24.511999130249</v>
      </c>
    </row>
    <row r="266" customFormat="false" ht="15" hidden="false" customHeight="false" outlineLevel="0" collapsed="false">
      <c r="A266" s="5" t="s">
        <v>497</v>
      </c>
      <c r="B266" s="2" t="s">
        <v>669</v>
      </c>
      <c r="C266" s="5" t="s">
        <v>749</v>
      </c>
      <c r="D266" s="21" t="n">
        <v>26.9010001718998</v>
      </c>
    </row>
    <row r="267" customFormat="false" ht="15" hidden="false" customHeight="false" outlineLevel="0" collapsed="false">
      <c r="A267" s="5" t="s">
        <v>497</v>
      </c>
      <c r="B267" s="2" t="s">
        <v>669</v>
      </c>
      <c r="C267" s="5" t="s">
        <v>750</v>
      </c>
      <c r="D267" s="21" t="n">
        <v>7.62599992752075</v>
      </c>
    </row>
    <row r="268" customFormat="false" ht="15" hidden="false" customHeight="false" outlineLevel="0" collapsed="false">
      <c r="A268" s="5" t="s">
        <v>497</v>
      </c>
      <c r="B268" s="2" t="s">
        <v>669</v>
      </c>
      <c r="C268" s="5" t="s">
        <v>751</v>
      </c>
      <c r="D268" s="21" t="n">
        <v>10</v>
      </c>
    </row>
    <row r="269" customFormat="false" ht="15" hidden="false" customHeight="false" outlineLevel="0" collapsed="false">
      <c r="A269" s="5" t="s">
        <v>499</v>
      </c>
      <c r="B269" s="2" t="s">
        <v>670</v>
      </c>
      <c r="C269" s="5" t="s">
        <v>744</v>
      </c>
      <c r="D269" s="21" t="n">
        <v>0.319999992847443</v>
      </c>
    </row>
    <row r="270" customFormat="false" ht="15" hidden="false" customHeight="false" outlineLevel="0" collapsed="false">
      <c r="A270" s="5" t="s">
        <v>499</v>
      </c>
      <c r="B270" s="2" t="s">
        <v>670</v>
      </c>
      <c r="C270" s="5" t="s">
        <v>745</v>
      </c>
      <c r="D270" s="21" t="n">
        <v>0.263000011444092</v>
      </c>
    </row>
    <row r="271" customFormat="false" ht="15" hidden="false" customHeight="false" outlineLevel="0" collapsed="false">
      <c r="A271" s="5" t="s">
        <v>499</v>
      </c>
      <c r="B271" s="2" t="s">
        <v>670</v>
      </c>
      <c r="C271" s="5" t="s">
        <v>746</v>
      </c>
      <c r="D271" s="21" t="n">
        <v>0.150999993085861</v>
      </c>
    </row>
    <row r="272" customFormat="false" ht="15" hidden="false" customHeight="false" outlineLevel="0" collapsed="false">
      <c r="A272" s="5" t="s">
        <v>499</v>
      </c>
      <c r="B272" s="2" t="s">
        <v>670</v>
      </c>
      <c r="C272" s="5" t="s">
        <v>747</v>
      </c>
      <c r="D272" s="21" t="n">
        <v>0.180999994277954</v>
      </c>
    </row>
    <row r="273" customFormat="false" ht="15" hidden="false" customHeight="false" outlineLevel="0" collapsed="false">
      <c r="A273" s="5" t="s">
        <v>499</v>
      </c>
      <c r="B273" s="2" t="s">
        <v>670</v>
      </c>
      <c r="C273" s="5" t="s">
        <v>748</v>
      </c>
      <c r="D273" s="21" t="n">
        <v>8.6540002822876</v>
      </c>
    </row>
    <row r="274" customFormat="false" ht="15" hidden="false" customHeight="false" outlineLevel="0" collapsed="false">
      <c r="A274" s="5" t="s">
        <v>499</v>
      </c>
      <c r="B274" s="2" t="s">
        <v>670</v>
      </c>
      <c r="C274" s="5" t="s">
        <v>749</v>
      </c>
      <c r="D274" s="21" t="n">
        <v>4.48700005561113</v>
      </c>
    </row>
    <row r="275" customFormat="false" ht="15" hidden="false" customHeight="false" outlineLevel="0" collapsed="false">
      <c r="A275" s="5" t="s">
        <v>499</v>
      </c>
      <c r="B275" s="2" t="s">
        <v>670</v>
      </c>
      <c r="C275" s="5" t="s">
        <v>750</v>
      </c>
      <c r="D275" s="21" t="n">
        <v>0.509999990463257</v>
      </c>
    </row>
    <row r="276" customFormat="false" ht="15" hidden="false" customHeight="false" outlineLevel="0" collapsed="false">
      <c r="A276" s="5" t="s">
        <v>499</v>
      </c>
      <c r="B276" s="2" t="s">
        <v>670</v>
      </c>
      <c r="C276" s="5" t="s">
        <v>751</v>
      </c>
      <c r="D276" s="21" t="n">
        <v>10</v>
      </c>
    </row>
    <row r="277" customFormat="false" ht="15" hidden="false" customHeight="false" outlineLevel="0" collapsed="false">
      <c r="A277" s="5" t="s">
        <v>501</v>
      </c>
      <c r="B277" s="2" t="s">
        <v>671</v>
      </c>
      <c r="C277" s="5" t="s">
        <v>744</v>
      </c>
      <c r="D277" s="21" t="n">
        <v>0.319999992847443</v>
      </c>
    </row>
    <row r="278" customFormat="false" ht="15" hidden="false" customHeight="false" outlineLevel="0" collapsed="false">
      <c r="A278" s="5" t="s">
        <v>501</v>
      </c>
      <c r="B278" s="2" t="s">
        <v>671</v>
      </c>
      <c r="C278" s="5" t="s">
        <v>745</v>
      </c>
      <c r="D278" s="21" t="n">
        <v>0.263000011444092</v>
      </c>
    </row>
    <row r="279" customFormat="false" ht="15" hidden="false" customHeight="false" outlineLevel="0" collapsed="false">
      <c r="A279" s="5" t="s">
        <v>501</v>
      </c>
      <c r="B279" s="2" t="s">
        <v>671</v>
      </c>
      <c r="C279" s="5" t="s">
        <v>746</v>
      </c>
      <c r="D279" s="21" t="n">
        <v>0.150999993085861</v>
      </c>
    </row>
    <row r="280" customFormat="false" ht="15" hidden="false" customHeight="false" outlineLevel="0" collapsed="false">
      <c r="A280" s="5" t="s">
        <v>501</v>
      </c>
      <c r="B280" s="2" t="s">
        <v>671</v>
      </c>
      <c r="C280" s="5" t="s">
        <v>747</v>
      </c>
      <c r="D280" s="21" t="n">
        <v>0.180999994277954</v>
      </c>
    </row>
    <row r="281" customFormat="false" ht="15" hidden="false" customHeight="false" outlineLevel="0" collapsed="false">
      <c r="A281" s="5" t="s">
        <v>501</v>
      </c>
      <c r="B281" s="2" t="s">
        <v>671</v>
      </c>
      <c r="C281" s="5" t="s">
        <v>748</v>
      </c>
      <c r="D281" s="21" t="n">
        <v>9.46199989318848</v>
      </c>
    </row>
    <row r="282" customFormat="false" ht="15" hidden="false" customHeight="false" outlineLevel="0" collapsed="false">
      <c r="A282" s="5" t="s">
        <v>501</v>
      </c>
      <c r="B282" s="2" t="s">
        <v>671</v>
      </c>
      <c r="C282" s="5" t="s">
        <v>749</v>
      </c>
      <c r="D282" s="21" t="n">
        <v>5.66300002485514</v>
      </c>
    </row>
    <row r="283" customFormat="false" ht="15" hidden="false" customHeight="false" outlineLevel="0" collapsed="false">
      <c r="A283" s="5" t="s">
        <v>501</v>
      </c>
      <c r="B283" s="2" t="s">
        <v>671</v>
      </c>
      <c r="C283" s="5" t="s">
        <v>750</v>
      </c>
      <c r="D283" s="21" t="n">
        <v>0.509999990463257</v>
      </c>
    </row>
    <row r="284" customFormat="false" ht="15" hidden="false" customHeight="false" outlineLevel="0" collapsed="false">
      <c r="A284" s="5" t="s">
        <v>501</v>
      </c>
      <c r="B284" s="2" t="s">
        <v>671</v>
      </c>
      <c r="C284" s="5" t="s">
        <v>751</v>
      </c>
      <c r="D284" s="21" t="n">
        <v>10</v>
      </c>
    </row>
    <row r="285" customFormat="false" ht="15" hidden="false" customHeight="false" outlineLevel="0" collapsed="false">
      <c r="A285" s="5" t="s">
        <v>503</v>
      </c>
      <c r="B285" s="2" t="s">
        <v>672</v>
      </c>
      <c r="C285" s="5" t="s">
        <v>744</v>
      </c>
      <c r="D285" s="21" t="n">
        <v>0.781000018119812</v>
      </c>
    </row>
    <row r="286" customFormat="false" ht="15" hidden="false" customHeight="false" outlineLevel="0" collapsed="false">
      <c r="A286" s="5" t="s">
        <v>503</v>
      </c>
      <c r="B286" s="2" t="s">
        <v>672</v>
      </c>
      <c r="C286" s="5" t="s">
        <v>745</v>
      </c>
      <c r="D286" s="21" t="n">
        <v>0.64300000667572</v>
      </c>
    </row>
    <row r="287" customFormat="false" ht="15" hidden="false" customHeight="false" outlineLevel="0" collapsed="false">
      <c r="A287" s="5" t="s">
        <v>503</v>
      </c>
      <c r="B287" s="2" t="s">
        <v>672</v>
      </c>
      <c r="C287" s="5" t="s">
        <v>746</v>
      </c>
      <c r="D287" s="21" t="n">
        <v>0.368000000715256</v>
      </c>
    </row>
    <row r="288" customFormat="false" ht="15" hidden="false" customHeight="false" outlineLevel="0" collapsed="false">
      <c r="A288" s="5" t="s">
        <v>503</v>
      </c>
      <c r="B288" s="2" t="s">
        <v>672</v>
      </c>
      <c r="C288" s="5" t="s">
        <v>747</v>
      </c>
      <c r="D288" s="21" t="n">
        <v>0.441000014543533</v>
      </c>
    </row>
    <row r="289" customFormat="false" ht="15" hidden="false" customHeight="false" outlineLevel="0" collapsed="false">
      <c r="A289" s="5" t="s">
        <v>503</v>
      </c>
      <c r="B289" s="2" t="s">
        <v>672</v>
      </c>
      <c r="C289" s="5" t="s">
        <v>748</v>
      </c>
      <c r="D289" s="21" t="n">
        <v>10.706000328064</v>
      </c>
    </row>
    <row r="290" customFormat="false" ht="15" hidden="false" customHeight="false" outlineLevel="0" collapsed="false">
      <c r="A290" s="5" t="s">
        <v>503</v>
      </c>
      <c r="B290" s="2" t="s">
        <v>672</v>
      </c>
      <c r="C290" s="5" t="s">
        <v>749</v>
      </c>
      <c r="D290" s="21" t="n">
        <v>5.88400006294251</v>
      </c>
    </row>
    <row r="291" customFormat="false" ht="15" hidden="false" customHeight="false" outlineLevel="0" collapsed="false">
      <c r="A291" s="5" t="s">
        <v>503</v>
      </c>
      <c r="B291" s="2" t="s">
        <v>672</v>
      </c>
      <c r="C291" s="5" t="s">
        <v>750</v>
      </c>
      <c r="D291" s="21" t="n">
        <v>1.24600005149841</v>
      </c>
    </row>
    <row r="292" customFormat="false" ht="15" hidden="false" customHeight="false" outlineLevel="0" collapsed="false">
      <c r="A292" s="5" t="s">
        <v>503</v>
      </c>
      <c r="B292" s="2" t="s">
        <v>672</v>
      </c>
      <c r="C292" s="5" t="s">
        <v>751</v>
      </c>
      <c r="D292" s="21" t="n">
        <v>10</v>
      </c>
    </row>
    <row r="293" customFormat="false" ht="15" hidden="false" customHeight="false" outlineLevel="0" collapsed="false">
      <c r="A293" s="5" t="s">
        <v>505</v>
      </c>
      <c r="B293" s="2" t="s">
        <v>673</v>
      </c>
      <c r="C293" s="5" t="s">
        <v>744</v>
      </c>
      <c r="D293" s="21" t="n">
        <v>18.257999420166</v>
      </c>
    </row>
    <row r="294" customFormat="false" ht="15" hidden="false" customHeight="false" outlineLevel="0" collapsed="false">
      <c r="A294" s="5" t="s">
        <v>505</v>
      </c>
      <c r="B294" s="2" t="s">
        <v>673</v>
      </c>
      <c r="C294" s="5" t="s">
        <v>745</v>
      </c>
      <c r="D294" s="21" t="n">
        <v>15.0150003433228</v>
      </c>
    </row>
    <row r="295" customFormat="false" ht="15" hidden="false" customHeight="false" outlineLevel="0" collapsed="false">
      <c r="A295" s="5" t="s">
        <v>505</v>
      </c>
      <c r="B295" s="2" t="s">
        <v>673</v>
      </c>
      <c r="C295" s="5" t="s">
        <v>746</v>
      </c>
      <c r="D295" s="21" t="n">
        <v>8.58899974822998</v>
      </c>
    </row>
    <row r="296" customFormat="false" ht="15" hidden="false" customHeight="false" outlineLevel="0" collapsed="false">
      <c r="A296" s="5" t="s">
        <v>505</v>
      </c>
      <c r="B296" s="2" t="s">
        <v>673</v>
      </c>
      <c r="C296" s="5" t="s">
        <v>747</v>
      </c>
      <c r="D296" s="21" t="n">
        <v>10.3070001602173</v>
      </c>
    </row>
    <row r="297" customFormat="false" ht="15" hidden="false" customHeight="false" outlineLevel="0" collapsed="false">
      <c r="A297" s="5" t="s">
        <v>505</v>
      </c>
      <c r="B297" s="2" t="s">
        <v>673</v>
      </c>
      <c r="C297" s="5" t="s">
        <v>748</v>
      </c>
      <c r="D297" s="21" t="n">
        <v>42.7280006408691</v>
      </c>
    </row>
    <row r="298" customFormat="false" ht="15" hidden="false" customHeight="false" outlineLevel="0" collapsed="false">
      <c r="A298" s="5" t="s">
        <v>505</v>
      </c>
      <c r="B298" s="2" t="s">
        <v>673</v>
      </c>
      <c r="C298" s="5" t="s">
        <v>749</v>
      </c>
      <c r="D298" s="21" t="n">
        <v>46.3530005216599</v>
      </c>
    </row>
    <row r="299" customFormat="false" ht="15" hidden="false" customHeight="false" outlineLevel="0" collapsed="false">
      <c r="A299" s="5" t="s">
        <v>505</v>
      </c>
      <c r="B299" s="2" t="s">
        <v>673</v>
      </c>
      <c r="C299" s="5" t="s">
        <v>750</v>
      </c>
      <c r="D299" s="21" t="n">
        <v>29.1159992218018</v>
      </c>
    </row>
    <row r="300" customFormat="false" ht="15" hidden="false" customHeight="false" outlineLevel="0" collapsed="false">
      <c r="A300" s="5" t="s">
        <v>505</v>
      </c>
      <c r="B300" s="2" t="s">
        <v>673</v>
      </c>
      <c r="C300" s="5" t="s">
        <v>751</v>
      </c>
      <c r="D300" s="21" t="n">
        <v>5</v>
      </c>
    </row>
    <row r="301" customFormat="false" ht="15" hidden="false" customHeight="false" outlineLevel="0" collapsed="false">
      <c r="A301" s="5" t="s">
        <v>507</v>
      </c>
      <c r="B301" s="2" t="s">
        <v>674</v>
      </c>
      <c r="C301" s="5" t="s">
        <v>744</v>
      </c>
      <c r="D301" s="21" t="n">
        <v>18.257999420166</v>
      </c>
    </row>
    <row r="302" customFormat="false" ht="15" hidden="false" customHeight="false" outlineLevel="0" collapsed="false">
      <c r="A302" s="5" t="s">
        <v>507</v>
      </c>
      <c r="B302" s="2" t="s">
        <v>674</v>
      </c>
      <c r="C302" s="5" t="s">
        <v>745</v>
      </c>
      <c r="D302" s="21" t="n">
        <v>15.0150003433228</v>
      </c>
    </row>
    <row r="303" customFormat="false" ht="15" hidden="false" customHeight="false" outlineLevel="0" collapsed="false">
      <c r="A303" s="5" t="s">
        <v>507</v>
      </c>
      <c r="B303" s="2" t="s">
        <v>674</v>
      </c>
      <c r="C303" s="5" t="s">
        <v>746</v>
      </c>
      <c r="D303" s="21" t="n">
        <v>8.58899974822998</v>
      </c>
    </row>
    <row r="304" customFormat="false" ht="15" hidden="false" customHeight="false" outlineLevel="0" collapsed="false">
      <c r="A304" s="5" t="s">
        <v>507</v>
      </c>
      <c r="B304" s="2" t="s">
        <v>674</v>
      </c>
      <c r="C304" s="5" t="s">
        <v>747</v>
      </c>
      <c r="D304" s="21" t="n">
        <v>10.3070001602173</v>
      </c>
    </row>
    <row r="305" customFormat="false" ht="15" hidden="false" customHeight="false" outlineLevel="0" collapsed="false">
      <c r="A305" s="5" t="s">
        <v>507</v>
      </c>
      <c r="B305" s="2" t="s">
        <v>674</v>
      </c>
      <c r="C305" s="5" t="s">
        <v>748</v>
      </c>
      <c r="D305" s="21" t="n">
        <v>17.4950008392334</v>
      </c>
    </row>
    <row r="306" customFormat="false" ht="15" hidden="false" customHeight="false" outlineLevel="0" collapsed="false">
      <c r="A306" s="5" t="s">
        <v>507</v>
      </c>
      <c r="B306" s="2" t="s">
        <v>674</v>
      </c>
      <c r="C306" s="5" t="s">
        <v>749</v>
      </c>
      <c r="D306" s="21" t="n">
        <v>26.6370003223419</v>
      </c>
    </row>
    <row r="307" customFormat="false" ht="15" hidden="false" customHeight="false" outlineLevel="0" collapsed="false">
      <c r="A307" s="5" t="s">
        <v>507</v>
      </c>
      <c r="B307" s="2" t="s">
        <v>674</v>
      </c>
      <c r="C307" s="5" t="s">
        <v>750</v>
      </c>
      <c r="D307" s="21" t="n">
        <v>29.1159992218018</v>
      </c>
    </row>
    <row r="308" customFormat="false" ht="15" hidden="false" customHeight="false" outlineLevel="0" collapsed="false">
      <c r="A308" s="5" t="s">
        <v>507</v>
      </c>
      <c r="B308" s="2" t="s">
        <v>674</v>
      </c>
      <c r="C308" s="5" t="s">
        <v>751</v>
      </c>
      <c r="D308" s="21" t="n">
        <v>1.5</v>
      </c>
    </row>
    <row r="309" customFormat="false" ht="15" hidden="false" customHeight="false" outlineLevel="0" collapsed="false">
      <c r="A309" s="5" t="s">
        <v>510</v>
      </c>
      <c r="B309" s="2" t="s">
        <v>675</v>
      </c>
      <c r="C309" s="5" t="s">
        <v>744</v>
      </c>
      <c r="D309" s="21" t="n">
        <v>0.950999975204468</v>
      </c>
    </row>
    <row r="310" customFormat="false" ht="15" hidden="false" customHeight="false" outlineLevel="0" collapsed="false">
      <c r="A310" s="5" t="s">
        <v>510</v>
      </c>
      <c r="B310" s="2" t="s">
        <v>675</v>
      </c>
      <c r="C310" s="5" t="s">
        <v>745</v>
      </c>
      <c r="D310" s="21" t="n">
        <v>0.782000005245209</v>
      </c>
    </row>
    <row r="311" customFormat="false" ht="15" hidden="false" customHeight="false" outlineLevel="0" collapsed="false">
      <c r="A311" s="5" t="s">
        <v>510</v>
      </c>
      <c r="B311" s="2" t="s">
        <v>675</v>
      </c>
      <c r="C311" s="5" t="s">
        <v>746</v>
      </c>
      <c r="D311" s="21" t="n">
        <v>0.446999996900558</v>
      </c>
    </row>
    <row r="312" customFormat="false" ht="15" hidden="false" customHeight="false" outlineLevel="0" collapsed="false">
      <c r="A312" s="5" t="s">
        <v>510</v>
      </c>
      <c r="B312" s="2" t="s">
        <v>675</v>
      </c>
      <c r="C312" s="5" t="s">
        <v>747</v>
      </c>
      <c r="D312" s="21" t="n">
        <v>0.537000000476837</v>
      </c>
    </row>
    <row r="313" customFormat="false" ht="15" hidden="false" customHeight="false" outlineLevel="0" collapsed="false">
      <c r="A313" s="5" t="s">
        <v>510</v>
      </c>
      <c r="B313" s="2" t="s">
        <v>675</v>
      </c>
      <c r="C313" s="5" t="s">
        <v>748</v>
      </c>
      <c r="D313" s="21" t="n">
        <v>8.12199974060059</v>
      </c>
    </row>
    <row r="314" customFormat="false" ht="15" hidden="false" customHeight="false" outlineLevel="0" collapsed="false">
      <c r="A314" s="5" t="s">
        <v>510</v>
      </c>
      <c r="B314" s="2" t="s">
        <v>675</v>
      </c>
      <c r="C314" s="5" t="s">
        <v>749</v>
      </c>
      <c r="D314" s="21" t="n">
        <v>3.7440000474453</v>
      </c>
    </row>
    <row r="315" customFormat="false" ht="15" hidden="false" customHeight="false" outlineLevel="0" collapsed="false">
      <c r="A315" s="5" t="s">
        <v>510</v>
      </c>
      <c r="B315" s="2" t="s">
        <v>675</v>
      </c>
      <c r="C315" s="5" t="s">
        <v>750</v>
      </c>
      <c r="D315" s="21" t="n">
        <v>1.51600003242493</v>
      </c>
    </row>
    <row r="316" customFormat="false" ht="15" hidden="false" customHeight="false" outlineLevel="0" collapsed="false">
      <c r="A316" s="5" t="s">
        <v>510</v>
      </c>
      <c r="B316" s="2" t="s">
        <v>675</v>
      </c>
      <c r="C316" s="5" t="s">
        <v>751</v>
      </c>
      <c r="D316" s="21" t="n">
        <v>2</v>
      </c>
    </row>
    <row r="317" customFormat="false" ht="15" hidden="false" customHeight="false" outlineLevel="0" collapsed="false">
      <c r="A317" s="5" t="s">
        <v>512</v>
      </c>
      <c r="B317" s="2" t="s">
        <v>676</v>
      </c>
      <c r="C317" s="5" t="s">
        <v>744</v>
      </c>
      <c r="D317" s="21" t="n">
        <v>1.49500000476837</v>
      </c>
    </row>
    <row r="318" customFormat="false" ht="15" hidden="false" customHeight="false" outlineLevel="0" collapsed="false">
      <c r="A318" s="5" t="s">
        <v>512</v>
      </c>
      <c r="B318" s="2" t="s">
        <v>676</v>
      </c>
      <c r="C318" s="5" t="s">
        <v>745</v>
      </c>
      <c r="D318" s="21" t="n">
        <v>1.23000001907349</v>
      </c>
    </row>
    <row r="319" customFormat="false" ht="15" hidden="false" customHeight="false" outlineLevel="0" collapsed="false">
      <c r="A319" s="5" t="s">
        <v>512</v>
      </c>
      <c r="B319" s="2" t="s">
        <v>676</v>
      </c>
      <c r="C319" s="5" t="s">
        <v>746</v>
      </c>
      <c r="D319" s="21" t="n">
        <v>0.703999996185303</v>
      </c>
    </row>
    <row r="320" customFormat="false" ht="15" hidden="false" customHeight="false" outlineLevel="0" collapsed="false">
      <c r="A320" s="5" t="s">
        <v>512</v>
      </c>
      <c r="B320" s="2" t="s">
        <v>676</v>
      </c>
      <c r="C320" s="5" t="s">
        <v>747</v>
      </c>
      <c r="D320" s="21" t="n">
        <v>0.843999981880188</v>
      </c>
    </row>
    <row r="321" customFormat="false" ht="15" hidden="false" customHeight="false" outlineLevel="0" collapsed="false">
      <c r="A321" s="5" t="s">
        <v>512</v>
      </c>
      <c r="B321" s="2" t="s">
        <v>676</v>
      </c>
      <c r="C321" s="5" t="s">
        <v>748</v>
      </c>
      <c r="D321" s="21" t="n">
        <v>7.85599994659424</v>
      </c>
    </row>
    <row r="322" customFormat="false" ht="15" hidden="false" customHeight="false" outlineLevel="0" collapsed="false">
      <c r="A322" s="5" t="s">
        <v>512</v>
      </c>
      <c r="B322" s="2" t="s">
        <v>676</v>
      </c>
      <c r="C322" s="5" t="s">
        <v>749</v>
      </c>
      <c r="D322" s="21" t="n">
        <v>4.74599993228912</v>
      </c>
    </row>
    <row r="323" customFormat="false" ht="15" hidden="false" customHeight="false" outlineLevel="0" collapsed="false">
      <c r="A323" s="5" t="s">
        <v>512</v>
      </c>
      <c r="B323" s="2" t="s">
        <v>676</v>
      </c>
      <c r="C323" s="5" t="s">
        <v>750</v>
      </c>
      <c r="D323" s="21" t="n">
        <v>2.38499999046326</v>
      </c>
    </row>
    <row r="324" customFormat="false" ht="15" hidden="false" customHeight="false" outlineLevel="0" collapsed="false">
      <c r="A324" s="5" t="s">
        <v>512</v>
      </c>
      <c r="B324" s="2" t="s">
        <v>676</v>
      </c>
      <c r="C324" s="5" t="s">
        <v>751</v>
      </c>
      <c r="D324" s="21" t="n">
        <v>2</v>
      </c>
    </row>
    <row r="325" customFormat="false" ht="15" hidden="false" customHeight="false" outlineLevel="0" collapsed="false">
      <c r="A325" s="5" t="s">
        <v>514</v>
      </c>
      <c r="B325" s="2" t="s">
        <v>677</v>
      </c>
      <c r="C325" s="5" t="s">
        <v>744</v>
      </c>
      <c r="D325" s="21" t="n">
        <v>0.586000025272369</v>
      </c>
    </row>
    <row r="326" customFormat="false" ht="15" hidden="false" customHeight="false" outlineLevel="0" collapsed="false">
      <c r="A326" s="5" t="s">
        <v>514</v>
      </c>
      <c r="B326" s="2" t="s">
        <v>677</v>
      </c>
      <c r="C326" s="5" t="s">
        <v>745</v>
      </c>
      <c r="D326" s="21" t="n">
        <v>0.48199999332428</v>
      </c>
    </row>
    <row r="327" customFormat="false" ht="15" hidden="false" customHeight="false" outlineLevel="0" collapsed="false">
      <c r="A327" s="5" t="s">
        <v>514</v>
      </c>
      <c r="B327" s="2" t="s">
        <v>677</v>
      </c>
      <c r="C327" s="5" t="s">
        <v>746</v>
      </c>
      <c r="D327" s="21" t="n">
        <v>0.275999993085861</v>
      </c>
    </row>
    <row r="328" customFormat="false" ht="15" hidden="false" customHeight="false" outlineLevel="0" collapsed="false">
      <c r="A328" s="5" t="s">
        <v>514</v>
      </c>
      <c r="B328" s="2" t="s">
        <v>677</v>
      </c>
      <c r="C328" s="5" t="s">
        <v>747</v>
      </c>
      <c r="D328" s="21" t="n">
        <v>0.331000000238419</v>
      </c>
    </row>
    <row r="329" customFormat="false" ht="15" hidden="false" customHeight="false" outlineLevel="0" collapsed="false">
      <c r="A329" s="5" t="s">
        <v>514</v>
      </c>
      <c r="B329" s="2" t="s">
        <v>677</v>
      </c>
      <c r="C329" s="5" t="s">
        <v>748</v>
      </c>
      <c r="D329" s="21" t="n">
        <v>9.5939998626709</v>
      </c>
    </row>
    <row r="330" customFormat="false" ht="15" hidden="false" customHeight="false" outlineLevel="0" collapsed="false">
      <c r="A330" s="5" t="s">
        <v>514</v>
      </c>
      <c r="B330" s="2" t="s">
        <v>677</v>
      </c>
      <c r="C330" s="5" t="s">
        <v>749</v>
      </c>
      <c r="D330" s="21" t="n">
        <v>6.49800004810095</v>
      </c>
    </row>
    <row r="331" customFormat="false" ht="15" hidden="false" customHeight="false" outlineLevel="0" collapsed="false">
      <c r="A331" s="5" t="s">
        <v>514</v>
      </c>
      <c r="B331" s="2" t="s">
        <v>677</v>
      </c>
      <c r="C331" s="5" t="s">
        <v>750</v>
      </c>
      <c r="D331" s="21" t="n">
        <v>0.935000002384186</v>
      </c>
    </row>
    <row r="332" customFormat="false" ht="15" hidden="false" customHeight="false" outlineLevel="0" collapsed="false">
      <c r="A332" s="5" t="s">
        <v>514</v>
      </c>
      <c r="B332" s="2" t="s">
        <v>677</v>
      </c>
      <c r="C332" s="5" t="s">
        <v>751</v>
      </c>
      <c r="D332" s="21" t="n">
        <v>10</v>
      </c>
    </row>
    <row r="333" customFormat="false" ht="15" hidden="false" customHeight="false" outlineLevel="0" collapsed="false">
      <c r="A333" s="5" t="s">
        <v>516</v>
      </c>
      <c r="B333" s="2" t="s">
        <v>678</v>
      </c>
      <c r="C333" s="5" t="s">
        <v>744</v>
      </c>
      <c r="D333" s="21" t="n">
        <v>46.3359985351563</v>
      </c>
    </row>
    <row r="334" customFormat="false" ht="15" hidden="false" customHeight="false" outlineLevel="0" collapsed="false">
      <c r="A334" s="5" t="s">
        <v>516</v>
      </c>
      <c r="B334" s="2" t="s">
        <v>678</v>
      </c>
      <c r="C334" s="5" t="s">
        <v>745</v>
      </c>
      <c r="D334" s="21" t="n">
        <v>38.1049995422363</v>
      </c>
    </row>
    <row r="335" customFormat="false" ht="15" hidden="false" customHeight="false" outlineLevel="0" collapsed="false">
      <c r="A335" s="5" t="s">
        <v>516</v>
      </c>
      <c r="B335" s="2" t="s">
        <v>678</v>
      </c>
      <c r="C335" s="5" t="s">
        <v>746</v>
      </c>
      <c r="D335" s="21" t="n">
        <v>21.7980003356934</v>
      </c>
    </row>
    <row r="336" customFormat="false" ht="15" hidden="false" customHeight="false" outlineLevel="0" collapsed="false">
      <c r="A336" s="5" t="s">
        <v>516</v>
      </c>
      <c r="B336" s="2" t="s">
        <v>678</v>
      </c>
      <c r="C336" s="5" t="s">
        <v>747</v>
      </c>
      <c r="D336" s="21" t="n">
        <v>26.1580009460449</v>
      </c>
    </row>
    <row r="337" customFormat="false" ht="15" hidden="false" customHeight="false" outlineLevel="0" collapsed="false">
      <c r="A337" s="5" t="s">
        <v>516</v>
      </c>
      <c r="B337" s="2" t="s">
        <v>678</v>
      </c>
      <c r="C337" s="5" t="s">
        <v>748</v>
      </c>
      <c r="D337" s="21" t="n">
        <v>86.2799987792969</v>
      </c>
    </row>
    <row r="338" customFormat="false" ht="15" hidden="false" customHeight="false" outlineLevel="0" collapsed="false">
      <c r="A338" s="5" t="s">
        <v>516</v>
      </c>
      <c r="B338" s="2" t="s">
        <v>678</v>
      </c>
      <c r="C338" s="5" t="s">
        <v>749</v>
      </c>
      <c r="D338" s="21" t="n">
        <v>98.1869990825653</v>
      </c>
    </row>
    <row r="339" customFormat="false" ht="15" hidden="false" customHeight="false" outlineLevel="0" collapsed="false">
      <c r="A339" s="5" t="s">
        <v>516</v>
      </c>
      <c r="B339" s="2" t="s">
        <v>678</v>
      </c>
      <c r="C339" s="5" t="s">
        <v>750</v>
      </c>
      <c r="D339" s="21" t="n">
        <v>73.8929977416992</v>
      </c>
    </row>
    <row r="340" customFormat="false" ht="15" hidden="false" customHeight="false" outlineLevel="0" collapsed="false">
      <c r="A340" s="5" t="s">
        <v>516</v>
      </c>
      <c r="B340" s="2" t="s">
        <v>678</v>
      </c>
      <c r="C340" s="5" t="s">
        <v>751</v>
      </c>
      <c r="D340" s="21" t="n">
        <v>5</v>
      </c>
    </row>
    <row r="341" customFormat="false" ht="15" hidden="false" customHeight="false" outlineLevel="0" collapsed="false">
      <c r="A341" s="5" t="s">
        <v>518</v>
      </c>
      <c r="B341" s="2" t="s">
        <v>679</v>
      </c>
      <c r="C341" s="5" t="s">
        <v>744</v>
      </c>
      <c r="D341" s="21" t="n">
        <v>46.3359985351563</v>
      </c>
    </row>
    <row r="342" customFormat="false" ht="15" hidden="false" customHeight="false" outlineLevel="0" collapsed="false">
      <c r="A342" s="5" t="s">
        <v>518</v>
      </c>
      <c r="B342" s="2" t="s">
        <v>679</v>
      </c>
      <c r="C342" s="5" t="s">
        <v>745</v>
      </c>
      <c r="D342" s="21" t="n">
        <v>38.1049995422363</v>
      </c>
    </row>
    <row r="343" customFormat="false" ht="15" hidden="false" customHeight="false" outlineLevel="0" collapsed="false">
      <c r="A343" s="5" t="s">
        <v>518</v>
      </c>
      <c r="B343" s="2" t="s">
        <v>679</v>
      </c>
      <c r="C343" s="5" t="s">
        <v>746</v>
      </c>
      <c r="D343" s="21" t="n">
        <v>21.7980003356934</v>
      </c>
    </row>
    <row r="344" customFormat="false" ht="15" hidden="false" customHeight="false" outlineLevel="0" collapsed="false">
      <c r="A344" s="5" t="s">
        <v>518</v>
      </c>
      <c r="B344" s="2" t="s">
        <v>679</v>
      </c>
      <c r="C344" s="5" t="s">
        <v>747</v>
      </c>
      <c r="D344" s="21" t="n">
        <v>26.1580009460449</v>
      </c>
    </row>
    <row r="345" customFormat="false" ht="15" hidden="false" customHeight="false" outlineLevel="0" collapsed="false">
      <c r="A345" s="5" t="s">
        <v>518</v>
      </c>
      <c r="B345" s="2" t="s">
        <v>679</v>
      </c>
      <c r="C345" s="5" t="s">
        <v>748</v>
      </c>
      <c r="D345" s="21" t="n">
        <v>129.104995727539</v>
      </c>
    </row>
    <row r="346" customFormat="false" ht="15" hidden="false" customHeight="false" outlineLevel="0" collapsed="false">
      <c r="A346" s="5" t="s">
        <v>518</v>
      </c>
      <c r="B346" s="2" t="s">
        <v>679</v>
      </c>
      <c r="C346" s="5" t="s">
        <v>749</v>
      </c>
      <c r="D346" s="21" t="n">
        <v>132.257999897003</v>
      </c>
    </row>
    <row r="347" customFormat="false" ht="15" hidden="false" customHeight="false" outlineLevel="0" collapsed="false">
      <c r="A347" s="5" t="s">
        <v>518</v>
      </c>
      <c r="B347" s="2" t="s">
        <v>679</v>
      </c>
      <c r="C347" s="5" t="s">
        <v>750</v>
      </c>
      <c r="D347" s="21" t="n">
        <v>73.8929977416992</v>
      </c>
    </row>
    <row r="348" customFormat="false" ht="15" hidden="false" customHeight="false" outlineLevel="0" collapsed="false">
      <c r="A348" s="5" t="s">
        <v>518</v>
      </c>
      <c r="B348" s="2" t="s">
        <v>679</v>
      </c>
      <c r="C348" s="5" t="s">
        <v>751</v>
      </c>
      <c r="D348" s="21" t="n">
        <v>5</v>
      </c>
    </row>
    <row r="349" customFormat="false" ht="15" hidden="false" customHeight="false" outlineLevel="0" collapsed="false">
      <c r="A349" s="5" t="s">
        <v>520</v>
      </c>
      <c r="B349" s="2" t="s">
        <v>680</v>
      </c>
      <c r="C349" s="5" t="s">
        <v>744</v>
      </c>
      <c r="D349" s="21" t="n">
        <v>57.1389999389648</v>
      </c>
    </row>
    <row r="350" customFormat="false" ht="15" hidden="false" customHeight="false" outlineLevel="0" collapsed="false">
      <c r="A350" s="5" t="s">
        <v>520</v>
      </c>
      <c r="B350" s="2" t="s">
        <v>680</v>
      </c>
      <c r="C350" s="5" t="s">
        <v>745</v>
      </c>
      <c r="D350" s="21" t="n">
        <v>46.9889984130859</v>
      </c>
    </row>
    <row r="351" customFormat="false" ht="15" hidden="false" customHeight="false" outlineLevel="0" collapsed="false">
      <c r="A351" s="5" t="s">
        <v>520</v>
      </c>
      <c r="B351" s="2" t="s">
        <v>680</v>
      </c>
      <c r="C351" s="5" t="s">
        <v>746</v>
      </c>
      <c r="D351" s="21" t="n">
        <v>26.8799991607666</v>
      </c>
    </row>
    <row r="352" customFormat="false" ht="15" hidden="false" customHeight="false" outlineLevel="0" collapsed="false">
      <c r="A352" s="5" t="s">
        <v>520</v>
      </c>
      <c r="B352" s="2" t="s">
        <v>680</v>
      </c>
      <c r="C352" s="5" t="s">
        <v>747</v>
      </c>
      <c r="D352" s="21" t="n">
        <v>32.2560005187988</v>
      </c>
    </row>
    <row r="353" customFormat="false" ht="15" hidden="false" customHeight="false" outlineLevel="0" collapsed="false">
      <c r="A353" s="5" t="s">
        <v>520</v>
      </c>
      <c r="B353" s="2" t="s">
        <v>680</v>
      </c>
      <c r="C353" s="5" t="s">
        <v>748</v>
      </c>
      <c r="D353" s="21" t="n">
        <v>91.7170028686523</v>
      </c>
    </row>
    <row r="354" customFormat="false" ht="15" hidden="false" customHeight="false" outlineLevel="0" collapsed="false">
      <c r="A354" s="5" t="s">
        <v>520</v>
      </c>
      <c r="B354" s="2" t="s">
        <v>680</v>
      </c>
      <c r="C354" s="5" t="s">
        <v>749</v>
      </c>
      <c r="D354" s="21" t="n">
        <v>114.008999586105</v>
      </c>
    </row>
    <row r="355" customFormat="false" ht="15" hidden="false" customHeight="false" outlineLevel="0" collapsed="false">
      <c r="A355" s="5" t="s">
        <v>520</v>
      </c>
      <c r="B355" s="2" t="s">
        <v>680</v>
      </c>
      <c r="C355" s="5" t="s">
        <v>750</v>
      </c>
      <c r="D355" s="21" t="n">
        <v>91.120002746582</v>
      </c>
    </row>
    <row r="356" customFormat="false" ht="15" hidden="false" customHeight="false" outlineLevel="0" collapsed="false">
      <c r="A356" s="5" t="s">
        <v>520</v>
      </c>
      <c r="B356" s="2" t="s">
        <v>680</v>
      </c>
      <c r="C356" s="5" t="s">
        <v>751</v>
      </c>
      <c r="D356" s="21" t="n">
        <v>5</v>
      </c>
    </row>
    <row r="357" customFormat="false" ht="15" hidden="false" customHeight="false" outlineLevel="0" collapsed="false">
      <c r="A357" s="5" t="s">
        <v>522</v>
      </c>
      <c r="B357" s="2" t="s">
        <v>681</v>
      </c>
      <c r="C357" s="5" t="s">
        <v>744</v>
      </c>
      <c r="D357" s="21" t="n">
        <v>57.1389999389648</v>
      </c>
    </row>
    <row r="358" customFormat="false" ht="15" hidden="false" customHeight="false" outlineLevel="0" collapsed="false">
      <c r="A358" s="5" t="s">
        <v>522</v>
      </c>
      <c r="B358" s="2" t="s">
        <v>681</v>
      </c>
      <c r="C358" s="5" t="s">
        <v>745</v>
      </c>
      <c r="D358" s="21" t="n">
        <v>46.9889984130859</v>
      </c>
    </row>
    <row r="359" customFormat="false" ht="15" hidden="false" customHeight="false" outlineLevel="0" collapsed="false">
      <c r="A359" s="5" t="s">
        <v>522</v>
      </c>
      <c r="B359" s="2" t="s">
        <v>681</v>
      </c>
      <c r="C359" s="5" t="s">
        <v>746</v>
      </c>
      <c r="D359" s="21" t="n">
        <v>26.8799991607666</v>
      </c>
    </row>
    <row r="360" customFormat="false" ht="15" hidden="false" customHeight="false" outlineLevel="0" collapsed="false">
      <c r="A360" s="5" t="s">
        <v>522</v>
      </c>
      <c r="B360" s="2" t="s">
        <v>681</v>
      </c>
      <c r="C360" s="5" t="s">
        <v>747</v>
      </c>
      <c r="D360" s="21" t="n">
        <v>32.2560005187988</v>
      </c>
    </row>
    <row r="361" customFormat="false" ht="15" hidden="false" customHeight="false" outlineLevel="0" collapsed="false">
      <c r="A361" s="5" t="s">
        <v>522</v>
      </c>
      <c r="B361" s="2" t="s">
        <v>681</v>
      </c>
      <c r="C361" s="5" t="s">
        <v>748</v>
      </c>
      <c r="D361" s="21" t="n">
        <v>142.658004760742</v>
      </c>
    </row>
    <row r="362" customFormat="false" ht="15" hidden="false" customHeight="false" outlineLevel="0" collapsed="false">
      <c r="A362" s="5" t="s">
        <v>522</v>
      </c>
      <c r="B362" s="2" t="s">
        <v>681</v>
      </c>
      <c r="C362" s="5" t="s">
        <v>749</v>
      </c>
      <c r="D362" s="21" t="n">
        <v>148.228999614716</v>
      </c>
    </row>
    <row r="363" customFormat="false" ht="15" hidden="false" customHeight="false" outlineLevel="0" collapsed="false">
      <c r="A363" s="5" t="s">
        <v>522</v>
      </c>
      <c r="B363" s="2" t="s">
        <v>681</v>
      </c>
      <c r="C363" s="5" t="s">
        <v>750</v>
      </c>
      <c r="D363" s="21" t="n">
        <v>91.120002746582</v>
      </c>
    </row>
    <row r="364" customFormat="false" ht="15" hidden="false" customHeight="false" outlineLevel="0" collapsed="false">
      <c r="A364" s="5" t="s">
        <v>522</v>
      </c>
      <c r="B364" s="2" t="s">
        <v>681</v>
      </c>
      <c r="C364" s="5" t="s">
        <v>751</v>
      </c>
      <c r="D364" s="21" t="n">
        <v>5</v>
      </c>
    </row>
    <row r="365" customFormat="false" ht="15" hidden="false" customHeight="false" outlineLevel="0" collapsed="false">
      <c r="A365" s="5" t="s">
        <v>524</v>
      </c>
      <c r="B365" s="2" t="s">
        <v>682</v>
      </c>
      <c r="C365" s="5" t="s">
        <v>744</v>
      </c>
      <c r="D365" s="21" t="n">
        <v>70.6650009155273</v>
      </c>
    </row>
    <row r="366" customFormat="false" ht="15" hidden="false" customHeight="false" outlineLevel="0" collapsed="false">
      <c r="A366" s="5" t="s">
        <v>524</v>
      </c>
      <c r="B366" s="2" t="s">
        <v>682</v>
      </c>
      <c r="C366" s="5" t="s">
        <v>745</v>
      </c>
      <c r="D366" s="21" t="n">
        <v>58.1129989624023</v>
      </c>
    </row>
    <row r="367" customFormat="false" ht="15" hidden="false" customHeight="false" outlineLevel="0" collapsed="false">
      <c r="A367" s="5" t="s">
        <v>524</v>
      </c>
      <c r="B367" s="2" t="s">
        <v>682</v>
      </c>
      <c r="C367" s="5" t="s">
        <v>746</v>
      </c>
      <c r="D367" s="21" t="n">
        <v>33.2430000305176</v>
      </c>
    </row>
    <row r="368" customFormat="false" ht="15" hidden="false" customHeight="false" outlineLevel="0" collapsed="false">
      <c r="A368" s="5" t="s">
        <v>524</v>
      </c>
      <c r="B368" s="2" t="s">
        <v>682</v>
      </c>
      <c r="C368" s="5" t="s">
        <v>747</v>
      </c>
      <c r="D368" s="21" t="n">
        <v>39.8919982910156</v>
      </c>
    </row>
    <row r="369" customFormat="false" ht="15" hidden="false" customHeight="false" outlineLevel="0" collapsed="false">
      <c r="A369" s="5" t="s">
        <v>524</v>
      </c>
      <c r="B369" s="2" t="s">
        <v>682</v>
      </c>
      <c r="C369" s="5" t="s">
        <v>748</v>
      </c>
      <c r="D369" s="21" t="n">
        <v>103.814002990723</v>
      </c>
    </row>
    <row r="370" customFormat="false" ht="15" hidden="false" customHeight="false" outlineLevel="0" collapsed="false">
      <c r="A370" s="5" t="s">
        <v>524</v>
      </c>
      <c r="B370" s="2" t="s">
        <v>682</v>
      </c>
      <c r="C370" s="5" t="s">
        <v>749</v>
      </c>
      <c r="D370" s="21" t="n">
        <v>137.445002317429</v>
      </c>
    </row>
    <row r="371" customFormat="false" ht="15" hidden="false" customHeight="false" outlineLevel="0" collapsed="false">
      <c r="A371" s="5" t="s">
        <v>524</v>
      </c>
      <c r="B371" s="2" t="s">
        <v>682</v>
      </c>
      <c r="C371" s="5" t="s">
        <v>750</v>
      </c>
      <c r="D371" s="21" t="n">
        <v>112.690002441406</v>
      </c>
    </row>
    <row r="372" customFormat="false" ht="15" hidden="false" customHeight="false" outlineLevel="0" collapsed="false">
      <c r="A372" s="5" t="s">
        <v>524</v>
      </c>
      <c r="B372" s="2" t="s">
        <v>682</v>
      </c>
      <c r="C372" s="5" t="s">
        <v>751</v>
      </c>
      <c r="D372" s="21" t="n">
        <v>5</v>
      </c>
    </row>
    <row r="373" customFormat="false" ht="15" hidden="false" customHeight="false" outlineLevel="0" collapsed="false">
      <c r="A373" s="5" t="s">
        <v>526</v>
      </c>
      <c r="B373" s="2" t="s">
        <v>683</v>
      </c>
      <c r="C373" s="5" t="s">
        <v>744</v>
      </c>
      <c r="D373" s="21" t="n">
        <v>70.6650009155273</v>
      </c>
    </row>
    <row r="374" customFormat="false" ht="15" hidden="false" customHeight="false" outlineLevel="0" collapsed="false">
      <c r="A374" s="5" t="s">
        <v>526</v>
      </c>
      <c r="B374" s="2" t="s">
        <v>683</v>
      </c>
      <c r="C374" s="5" t="s">
        <v>745</v>
      </c>
      <c r="D374" s="21" t="n">
        <v>58.1129989624023</v>
      </c>
    </row>
    <row r="375" customFormat="false" ht="15" hidden="false" customHeight="false" outlineLevel="0" collapsed="false">
      <c r="A375" s="5" t="s">
        <v>526</v>
      </c>
      <c r="B375" s="2" t="s">
        <v>683</v>
      </c>
      <c r="C375" s="5" t="s">
        <v>746</v>
      </c>
      <c r="D375" s="21" t="n">
        <v>33.2430000305176</v>
      </c>
    </row>
    <row r="376" customFormat="false" ht="15" hidden="false" customHeight="false" outlineLevel="0" collapsed="false">
      <c r="A376" s="5" t="s">
        <v>526</v>
      </c>
      <c r="B376" s="2" t="s">
        <v>683</v>
      </c>
      <c r="C376" s="5" t="s">
        <v>747</v>
      </c>
      <c r="D376" s="21" t="n">
        <v>39.8919982910156</v>
      </c>
    </row>
    <row r="377" customFormat="false" ht="15" hidden="false" customHeight="false" outlineLevel="0" collapsed="false">
      <c r="A377" s="5" t="s">
        <v>526</v>
      </c>
      <c r="B377" s="2" t="s">
        <v>683</v>
      </c>
      <c r="C377" s="5" t="s">
        <v>748</v>
      </c>
      <c r="D377" s="21" t="n">
        <v>152.755996704102</v>
      </c>
    </row>
    <row r="378" customFormat="false" ht="15" hidden="false" customHeight="false" outlineLevel="0" collapsed="false">
      <c r="A378" s="5" t="s">
        <v>526</v>
      </c>
      <c r="B378" s="2" t="s">
        <v>683</v>
      </c>
      <c r="C378" s="5" t="s">
        <v>749</v>
      </c>
      <c r="D378" s="21" t="n">
        <v>171.682003498077</v>
      </c>
    </row>
    <row r="379" customFormat="false" ht="15" hidden="false" customHeight="false" outlineLevel="0" collapsed="false">
      <c r="A379" s="5" t="s">
        <v>526</v>
      </c>
      <c r="B379" s="2" t="s">
        <v>683</v>
      </c>
      <c r="C379" s="5" t="s">
        <v>750</v>
      </c>
      <c r="D379" s="21" t="n">
        <v>112.690002441406</v>
      </c>
    </row>
    <row r="380" customFormat="false" ht="15" hidden="false" customHeight="false" outlineLevel="0" collapsed="false">
      <c r="A380" s="5" t="s">
        <v>526</v>
      </c>
      <c r="B380" s="2" t="s">
        <v>683</v>
      </c>
      <c r="C380" s="5" t="s">
        <v>751</v>
      </c>
      <c r="D380" s="21" t="n">
        <v>5</v>
      </c>
    </row>
    <row r="381" customFormat="false" ht="15" hidden="false" customHeight="false" outlineLevel="0" collapsed="false">
      <c r="A381" s="5" t="s">
        <v>528</v>
      </c>
      <c r="B381" s="2" t="s">
        <v>684</v>
      </c>
      <c r="C381" s="5" t="s">
        <v>744</v>
      </c>
      <c r="D381" s="21" t="n">
        <v>92.8509979248047</v>
      </c>
    </row>
    <row r="382" customFormat="false" ht="15" hidden="false" customHeight="false" outlineLevel="0" collapsed="false">
      <c r="A382" s="5" t="s">
        <v>528</v>
      </c>
      <c r="B382" s="2" t="s">
        <v>684</v>
      </c>
      <c r="C382" s="5" t="s">
        <v>745</v>
      </c>
      <c r="D382" s="21" t="n">
        <v>76.3580017089844</v>
      </c>
    </row>
    <row r="383" customFormat="false" ht="15" hidden="false" customHeight="false" outlineLevel="0" collapsed="false">
      <c r="A383" s="5" t="s">
        <v>528</v>
      </c>
      <c r="B383" s="2" t="s">
        <v>684</v>
      </c>
      <c r="C383" s="5" t="s">
        <v>746</v>
      </c>
      <c r="D383" s="21" t="n">
        <v>43.6800003051758</v>
      </c>
    </row>
    <row r="384" customFormat="false" ht="15" hidden="false" customHeight="false" outlineLevel="0" collapsed="false">
      <c r="A384" s="5" t="s">
        <v>528</v>
      </c>
      <c r="B384" s="2" t="s">
        <v>684</v>
      </c>
      <c r="C384" s="5" t="s">
        <v>747</v>
      </c>
      <c r="D384" s="21" t="n">
        <v>52.4160003662109</v>
      </c>
    </row>
    <row r="385" customFormat="false" ht="15" hidden="false" customHeight="false" outlineLevel="0" collapsed="false">
      <c r="A385" s="5" t="s">
        <v>528</v>
      </c>
      <c r="B385" s="2" t="s">
        <v>684</v>
      </c>
      <c r="C385" s="5" t="s">
        <v>748</v>
      </c>
      <c r="D385" s="21" t="n">
        <v>121.160003662109</v>
      </c>
    </row>
    <row r="386" customFormat="false" ht="15" hidden="false" customHeight="false" outlineLevel="0" collapsed="false">
      <c r="A386" s="5" t="s">
        <v>528</v>
      </c>
      <c r="B386" s="2" t="s">
        <v>684</v>
      </c>
      <c r="C386" s="5" t="s">
        <v>749</v>
      </c>
      <c r="D386" s="21" t="n">
        <v>165.584001302719</v>
      </c>
    </row>
    <row r="387" customFormat="false" ht="15" hidden="false" customHeight="false" outlineLevel="0" collapsed="false">
      <c r="A387" s="5" t="s">
        <v>528</v>
      </c>
      <c r="B387" s="2" t="s">
        <v>684</v>
      </c>
      <c r="C387" s="5" t="s">
        <v>750</v>
      </c>
      <c r="D387" s="21" t="n">
        <v>148.070999145508</v>
      </c>
    </row>
    <row r="388" customFormat="false" ht="15" hidden="false" customHeight="false" outlineLevel="0" collapsed="false">
      <c r="A388" s="5" t="s">
        <v>528</v>
      </c>
      <c r="B388" s="2" t="s">
        <v>684</v>
      </c>
      <c r="C388" s="5" t="s">
        <v>751</v>
      </c>
      <c r="D388" s="21" t="n">
        <v>5</v>
      </c>
    </row>
    <row r="389" customFormat="false" ht="15" hidden="false" customHeight="false" outlineLevel="0" collapsed="false">
      <c r="A389" s="5" t="s">
        <v>530</v>
      </c>
      <c r="B389" s="2" t="s">
        <v>685</v>
      </c>
      <c r="C389" s="5" t="s">
        <v>744</v>
      </c>
      <c r="D389" s="21" t="n">
        <v>92.8509979248047</v>
      </c>
    </row>
    <row r="390" customFormat="false" ht="15" hidden="false" customHeight="false" outlineLevel="0" collapsed="false">
      <c r="A390" s="5" t="s">
        <v>530</v>
      </c>
      <c r="B390" s="2" t="s">
        <v>685</v>
      </c>
      <c r="C390" s="5" t="s">
        <v>745</v>
      </c>
      <c r="D390" s="21" t="n">
        <v>76.3580017089844</v>
      </c>
    </row>
    <row r="391" customFormat="false" ht="15" hidden="false" customHeight="false" outlineLevel="0" collapsed="false">
      <c r="A391" s="5" t="s">
        <v>530</v>
      </c>
      <c r="B391" s="2" t="s">
        <v>685</v>
      </c>
      <c r="C391" s="5" t="s">
        <v>746</v>
      </c>
      <c r="D391" s="21" t="n">
        <v>43.6800003051758</v>
      </c>
    </row>
    <row r="392" customFormat="false" ht="15" hidden="false" customHeight="false" outlineLevel="0" collapsed="false">
      <c r="A392" s="5" t="s">
        <v>530</v>
      </c>
      <c r="B392" s="2" t="s">
        <v>685</v>
      </c>
      <c r="C392" s="5" t="s">
        <v>747</v>
      </c>
      <c r="D392" s="21" t="n">
        <v>52.4160003662109</v>
      </c>
    </row>
    <row r="393" customFormat="false" ht="15" hidden="false" customHeight="false" outlineLevel="0" collapsed="false">
      <c r="A393" s="5" t="s">
        <v>530</v>
      </c>
      <c r="B393" s="2" t="s">
        <v>685</v>
      </c>
      <c r="C393" s="5" t="s">
        <v>748</v>
      </c>
      <c r="D393" s="21" t="n">
        <v>166.40299987793</v>
      </c>
    </row>
    <row r="394" customFormat="false" ht="15" hidden="false" customHeight="false" outlineLevel="0" collapsed="false">
      <c r="A394" s="5" t="s">
        <v>530</v>
      </c>
      <c r="B394" s="2" t="s">
        <v>685</v>
      </c>
      <c r="C394" s="5" t="s">
        <v>749</v>
      </c>
      <c r="D394" s="21" t="n">
        <v>201.657001018524</v>
      </c>
    </row>
    <row r="395" customFormat="false" ht="15" hidden="false" customHeight="false" outlineLevel="0" collapsed="false">
      <c r="A395" s="5" t="s">
        <v>530</v>
      </c>
      <c r="B395" s="2" t="s">
        <v>685</v>
      </c>
      <c r="C395" s="5" t="s">
        <v>750</v>
      </c>
      <c r="D395" s="21" t="n">
        <v>148.070999145508</v>
      </c>
    </row>
    <row r="396" customFormat="false" ht="15" hidden="false" customHeight="false" outlineLevel="0" collapsed="false">
      <c r="A396" s="5" t="s">
        <v>530</v>
      </c>
      <c r="B396" s="2" t="s">
        <v>685</v>
      </c>
      <c r="C396" s="5" t="s">
        <v>751</v>
      </c>
      <c r="D396" s="21" t="n">
        <v>5</v>
      </c>
    </row>
    <row r="397" customFormat="false" ht="15" hidden="false" customHeight="false" outlineLevel="0" collapsed="false">
      <c r="A397" s="5" t="s">
        <v>532</v>
      </c>
      <c r="B397" s="2" t="s">
        <v>686</v>
      </c>
      <c r="C397" s="5" t="s">
        <v>744</v>
      </c>
      <c r="D397" s="21" t="n">
        <v>116.51000213623</v>
      </c>
    </row>
    <row r="398" customFormat="false" ht="15" hidden="false" customHeight="false" outlineLevel="0" collapsed="false">
      <c r="A398" s="5" t="s">
        <v>532</v>
      </c>
      <c r="B398" s="2" t="s">
        <v>686</v>
      </c>
      <c r="C398" s="5" t="s">
        <v>745</v>
      </c>
      <c r="D398" s="21" t="n">
        <v>95.8140029907227</v>
      </c>
    </row>
    <row r="399" customFormat="false" ht="15" hidden="false" customHeight="false" outlineLevel="0" collapsed="false">
      <c r="A399" s="5" t="s">
        <v>532</v>
      </c>
      <c r="B399" s="2" t="s">
        <v>686</v>
      </c>
      <c r="C399" s="5" t="s">
        <v>746</v>
      </c>
      <c r="D399" s="21" t="n">
        <v>54.810001373291</v>
      </c>
    </row>
    <row r="400" customFormat="false" ht="15" hidden="false" customHeight="false" outlineLevel="0" collapsed="false">
      <c r="A400" s="5" t="s">
        <v>532</v>
      </c>
      <c r="B400" s="2" t="s">
        <v>686</v>
      </c>
      <c r="C400" s="5" t="s">
        <v>747</v>
      </c>
      <c r="D400" s="21" t="n">
        <v>65.7720031738281</v>
      </c>
    </row>
    <row r="401" customFormat="false" ht="15" hidden="false" customHeight="false" outlineLevel="0" collapsed="false">
      <c r="A401" s="5" t="s">
        <v>532</v>
      </c>
      <c r="B401" s="2" t="s">
        <v>686</v>
      </c>
      <c r="C401" s="5" t="s">
        <v>748</v>
      </c>
      <c r="D401" s="21" t="n">
        <v>145.302993774414</v>
      </c>
    </row>
    <row r="402" customFormat="false" ht="15" hidden="false" customHeight="false" outlineLevel="0" collapsed="false">
      <c r="A402" s="5" t="s">
        <v>532</v>
      </c>
      <c r="B402" s="2" t="s">
        <v>686</v>
      </c>
      <c r="C402" s="5" t="s">
        <v>749</v>
      </c>
      <c r="D402" s="21" t="n">
        <v>196.627999782562</v>
      </c>
    </row>
    <row r="403" customFormat="false" ht="15" hidden="false" customHeight="false" outlineLevel="0" collapsed="false">
      <c r="A403" s="5" t="s">
        <v>532</v>
      </c>
      <c r="B403" s="2" t="s">
        <v>686</v>
      </c>
      <c r="C403" s="5" t="s">
        <v>750</v>
      </c>
      <c r="D403" s="21" t="n">
        <v>185.800003051758</v>
      </c>
    </row>
    <row r="404" customFormat="false" ht="15" hidden="false" customHeight="false" outlineLevel="0" collapsed="false">
      <c r="A404" s="5" t="s">
        <v>532</v>
      </c>
      <c r="B404" s="2" t="s">
        <v>686</v>
      </c>
      <c r="C404" s="5" t="s">
        <v>751</v>
      </c>
      <c r="D404" s="21" t="n">
        <v>5</v>
      </c>
    </row>
    <row r="405" customFormat="false" ht="15" hidden="false" customHeight="false" outlineLevel="0" collapsed="false">
      <c r="A405" s="5" t="s">
        <v>534</v>
      </c>
      <c r="B405" s="2" t="s">
        <v>687</v>
      </c>
      <c r="C405" s="5" t="s">
        <v>744</v>
      </c>
      <c r="D405" s="21" t="n">
        <v>116.51000213623</v>
      </c>
    </row>
    <row r="406" customFormat="false" ht="15" hidden="false" customHeight="false" outlineLevel="0" collapsed="false">
      <c r="A406" s="5" t="s">
        <v>534</v>
      </c>
      <c r="B406" s="2" t="s">
        <v>687</v>
      </c>
      <c r="C406" s="5" t="s">
        <v>745</v>
      </c>
      <c r="D406" s="21" t="n">
        <v>95.8140029907227</v>
      </c>
    </row>
    <row r="407" customFormat="false" ht="15" hidden="false" customHeight="false" outlineLevel="0" collapsed="false">
      <c r="A407" s="5" t="s">
        <v>534</v>
      </c>
      <c r="B407" s="2" t="s">
        <v>687</v>
      </c>
      <c r="C407" s="5" t="s">
        <v>746</v>
      </c>
      <c r="D407" s="21" t="n">
        <v>54.810001373291</v>
      </c>
    </row>
    <row r="408" customFormat="false" ht="15" hidden="false" customHeight="false" outlineLevel="0" collapsed="false">
      <c r="A408" s="5" t="s">
        <v>534</v>
      </c>
      <c r="B408" s="2" t="s">
        <v>687</v>
      </c>
      <c r="C408" s="5" t="s">
        <v>747</v>
      </c>
      <c r="D408" s="21" t="n">
        <v>65.7720031738281</v>
      </c>
    </row>
    <row r="409" customFormat="false" ht="15" hidden="false" customHeight="false" outlineLevel="0" collapsed="false">
      <c r="A409" s="5" t="s">
        <v>534</v>
      </c>
      <c r="B409" s="2" t="s">
        <v>687</v>
      </c>
      <c r="C409" s="5" t="s">
        <v>748</v>
      </c>
      <c r="D409" s="21" t="n">
        <v>209.300003051758</v>
      </c>
    </row>
    <row r="410" customFormat="false" ht="15" hidden="false" customHeight="false" outlineLevel="0" collapsed="false">
      <c r="A410" s="5" t="s">
        <v>534</v>
      </c>
      <c r="B410" s="2" t="s">
        <v>687</v>
      </c>
      <c r="C410" s="5" t="s">
        <v>749</v>
      </c>
      <c r="D410" s="21" t="n">
        <v>232.99299955368</v>
      </c>
    </row>
    <row r="411" customFormat="false" ht="15" hidden="false" customHeight="false" outlineLevel="0" collapsed="false">
      <c r="A411" s="5" t="s">
        <v>534</v>
      </c>
      <c r="B411" s="2" t="s">
        <v>687</v>
      </c>
      <c r="C411" s="5" t="s">
        <v>750</v>
      </c>
      <c r="D411" s="21" t="n">
        <v>185.800003051758</v>
      </c>
    </row>
    <row r="412" customFormat="false" ht="15" hidden="false" customHeight="false" outlineLevel="0" collapsed="false">
      <c r="A412" s="5" t="s">
        <v>534</v>
      </c>
      <c r="B412" s="2" t="s">
        <v>687</v>
      </c>
      <c r="C412" s="5" t="s">
        <v>751</v>
      </c>
      <c r="D412" s="21" t="n">
        <v>5</v>
      </c>
    </row>
    <row r="413" customFormat="false" ht="15" hidden="false" customHeight="false" outlineLevel="0" collapsed="false">
      <c r="A413" s="5" t="s">
        <v>536</v>
      </c>
      <c r="B413" s="2" t="s">
        <v>688</v>
      </c>
      <c r="C413" s="5" t="s">
        <v>744</v>
      </c>
      <c r="D413" s="21" t="n">
        <v>1.50999999046326</v>
      </c>
    </row>
    <row r="414" customFormat="false" ht="15" hidden="false" customHeight="false" outlineLevel="0" collapsed="false">
      <c r="A414" s="5" t="s">
        <v>536</v>
      </c>
      <c r="B414" s="2" t="s">
        <v>688</v>
      </c>
      <c r="C414" s="5" t="s">
        <v>745</v>
      </c>
      <c r="D414" s="21" t="n">
        <v>1.24199998378754</v>
      </c>
    </row>
    <row r="415" customFormat="false" ht="15" hidden="false" customHeight="false" outlineLevel="0" collapsed="false">
      <c r="A415" s="5" t="s">
        <v>536</v>
      </c>
      <c r="B415" s="2" t="s">
        <v>688</v>
      </c>
      <c r="C415" s="5" t="s">
        <v>746</v>
      </c>
      <c r="D415" s="21" t="n">
        <v>0.711000025272369</v>
      </c>
    </row>
    <row r="416" customFormat="false" ht="15" hidden="false" customHeight="false" outlineLevel="0" collapsed="false">
      <c r="A416" s="5" t="s">
        <v>536</v>
      </c>
      <c r="B416" s="2" t="s">
        <v>688</v>
      </c>
      <c r="C416" s="5" t="s">
        <v>747</v>
      </c>
      <c r="D416" s="21" t="n">
        <v>0.852999985218048</v>
      </c>
    </row>
    <row r="417" customFormat="false" ht="15" hidden="false" customHeight="false" outlineLevel="0" collapsed="false">
      <c r="A417" s="5" t="s">
        <v>536</v>
      </c>
      <c r="B417" s="2" t="s">
        <v>688</v>
      </c>
      <c r="C417" s="5" t="s">
        <v>748</v>
      </c>
      <c r="D417" s="21" t="n">
        <v>9.48499965667725</v>
      </c>
    </row>
    <row r="418" customFormat="false" ht="15" hidden="false" customHeight="false" outlineLevel="0" collapsed="false">
      <c r="A418" s="5" t="s">
        <v>536</v>
      </c>
      <c r="B418" s="2" t="s">
        <v>688</v>
      </c>
      <c r="C418" s="5" t="s">
        <v>749</v>
      </c>
      <c r="D418" s="21" t="n">
        <v>6.45700009167194</v>
      </c>
    </row>
    <row r="419" customFormat="false" ht="15" hidden="false" customHeight="false" outlineLevel="0" collapsed="false">
      <c r="A419" s="5" t="s">
        <v>536</v>
      </c>
      <c r="B419" s="2" t="s">
        <v>688</v>
      </c>
      <c r="C419" s="5" t="s">
        <v>750</v>
      </c>
      <c r="D419" s="21" t="n">
        <v>2.40899991989136</v>
      </c>
    </row>
    <row r="420" customFormat="false" ht="15" hidden="false" customHeight="false" outlineLevel="0" collapsed="false">
      <c r="A420" s="5" t="s">
        <v>536</v>
      </c>
      <c r="B420" s="2" t="s">
        <v>688</v>
      </c>
      <c r="C420" s="5" t="s">
        <v>751</v>
      </c>
      <c r="D420" s="21" t="n">
        <v>10</v>
      </c>
    </row>
    <row r="421" customFormat="false" ht="15" hidden="false" customHeight="false" outlineLevel="0" collapsed="false">
      <c r="A421" s="5" t="s">
        <v>538</v>
      </c>
      <c r="B421" s="2" t="s">
        <v>689</v>
      </c>
      <c r="C421" s="5" t="s">
        <v>744</v>
      </c>
      <c r="D421" s="21" t="n">
        <v>18.257999420166</v>
      </c>
    </row>
    <row r="422" customFormat="false" ht="15" hidden="false" customHeight="false" outlineLevel="0" collapsed="false">
      <c r="A422" s="5" t="s">
        <v>538</v>
      </c>
      <c r="B422" s="2" t="s">
        <v>689</v>
      </c>
      <c r="C422" s="5" t="s">
        <v>745</v>
      </c>
      <c r="D422" s="21" t="n">
        <v>15.0150003433228</v>
      </c>
    </row>
    <row r="423" customFormat="false" ht="15" hidden="false" customHeight="false" outlineLevel="0" collapsed="false">
      <c r="A423" s="5" t="s">
        <v>538</v>
      </c>
      <c r="B423" s="2" t="s">
        <v>689</v>
      </c>
      <c r="C423" s="5" t="s">
        <v>746</v>
      </c>
      <c r="D423" s="21" t="n">
        <v>8.58899974822998</v>
      </c>
    </row>
    <row r="424" customFormat="false" ht="15" hidden="false" customHeight="false" outlineLevel="0" collapsed="false">
      <c r="A424" s="5" t="s">
        <v>538</v>
      </c>
      <c r="B424" s="2" t="s">
        <v>689</v>
      </c>
      <c r="C424" s="5" t="s">
        <v>747</v>
      </c>
      <c r="D424" s="21" t="n">
        <v>10.3070001602173</v>
      </c>
    </row>
    <row r="425" customFormat="false" ht="15" hidden="false" customHeight="false" outlineLevel="0" collapsed="false">
      <c r="A425" s="5" t="s">
        <v>538</v>
      </c>
      <c r="B425" s="2" t="s">
        <v>689</v>
      </c>
      <c r="C425" s="5" t="s">
        <v>748</v>
      </c>
      <c r="D425" s="21" t="n">
        <v>84.0279998779297</v>
      </c>
    </row>
    <row r="426" customFormat="false" ht="15" hidden="false" customHeight="false" outlineLevel="0" collapsed="false">
      <c r="A426" s="5" t="s">
        <v>538</v>
      </c>
      <c r="B426" s="2" t="s">
        <v>689</v>
      </c>
      <c r="C426" s="5" t="s">
        <v>749</v>
      </c>
      <c r="D426" s="21" t="n">
        <v>85.7929999828339</v>
      </c>
    </row>
    <row r="427" customFormat="false" ht="15" hidden="false" customHeight="false" outlineLevel="0" collapsed="false">
      <c r="A427" s="5" t="s">
        <v>538</v>
      </c>
      <c r="B427" s="2" t="s">
        <v>689</v>
      </c>
      <c r="C427" s="5" t="s">
        <v>750</v>
      </c>
      <c r="D427" s="21" t="n">
        <v>29.1159992218018</v>
      </c>
    </row>
    <row r="428" customFormat="false" ht="15" hidden="false" customHeight="false" outlineLevel="0" collapsed="false">
      <c r="A428" s="5" t="s">
        <v>538</v>
      </c>
      <c r="B428" s="2" t="s">
        <v>689</v>
      </c>
      <c r="C428" s="5" t="s">
        <v>751</v>
      </c>
      <c r="D428" s="21" t="n">
        <v>5</v>
      </c>
    </row>
    <row r="429" customFormat="false" ht="15" hidden="false" customHeight="false" outlineLevel="0" collapsed="false">
      <c r="A429" s="5" t="s">
        <v>540</v>
      </c>
      <c r="B429" s="2" t="s">
        <v>690</v>
      </c>
      <c r="C429" s="5" t="s">
        <v>744</v>
      </c>
      <c r="D429" s="21" t="n">
        <v>26.4270000457764</v>
      </c>
    </row>
    <row r="430" customFormat="false" ht="15" hidden="false" customHeight="false" outlineLevel="0" collapsed="false">
      <c r="A430" s="5" t="s">
        <v>540</v>
      </c>
      <c r="B430" s="2" t="s">
        <v>690</v>
      </c>
      <c r="C430" s="5" t="s">
        <v>745</v>
      </c>
      <c r="D430" s="21" t="n">
        <v>21.7329998016357</v>
      </c>
    </row>
    <row r="431" customFormat="false" ht="15" hidden="false" customHeight="false" outlineLevel="0" collapsed="false">
      <c r="A431" s="5" t="s">
        <v>540</v>
      </c>
      <c r="B431" s="2" t="s">
        <v>690</v>
      </c>
      <c r="C431" s="5" t="s">
        <v>746</v>
      </c>
      <c r="D431" s="21" t="n">
        <v>12.4320001602173</v>
      </c>
    </row>
    <row r="432" customFormat="false" ht="15" hidden="false" customHeight="false" outlineLevel="0" collapsed="false">
      <c r="A432" s="5" t="s">
        <v>540</v>
      </c>
      <c r="B432" s="2" t="s">
        <v>690</v>
      </c>
      <c r="C432" s="5" t="s">
        <v>747</v>
      </c>
      <c r="D432" s="21" t="n">
        <v>14.9180002212524</v>
      </c>
    </row>
    <row r="433" customFormat="false" ht="15" hidden="false" customHeight="false" outlineLevel="0" collapsed="false">
      <c r="A433" s="5" t="s">
        <v>540</v>
      </c>
      <c r="B433" s="2" t="s">
        <v>690</v>
      </c>
      <c r="C433" s="5" t="s">
        <v>748</v>
      </c>
      <c r="D433" s="21" t="n">
        <v>57.6339988708496</v>
      </c>
    </row>
    <row r="434" customFormat="false" ht="15" hidden="false" customHeight="false" outlineLevel="0" collapsed="false">
      <c r="A434" s="5" t="s">
        <v>540</v>
      </c>
      <c r="B434" s="2" t="s">
        <v>690</v>
      </c>
      <c r="C434" s="5" t="s">
        <v>749</v>
      </c>
      <c r="D434" s="21" t="n">
        <v>70.503999710083</v>
      </c>
    </row>
    <row r="435" customFormat="false" ht="15" hidden="false" customHeight="false" outlineLevel="0" collapsed="false">
      <c r="A435" s="5" t="s">
        <v>540</v>
      </c>
      <c r="B435" s="2" t="s">
        <v>690</v>
      </c>
      <c r="C435" s="5" t="s">
        <v>750</v>
      </c>
      <c r="D435" s="21" t="n">
        <v>42.1430015563965</v>
      </c>
    </row>
    <row r="436" customFormat="false" ht="15" hidden="false" customHeight="false" outlineLevel="0" collapsed="false">
      <c r="A436" s="5" t="s">
        <v>540</v>
      </c>
      <c r="B436" s="2" t="s">
        <v>690</v>
      </c>
      <c r="C436" s="5" t="s">
        <v>751</v>
      </c>
      <c r="D436" s="21" t="n">
        <v>5</v>
      </c>
    </row>
    <row r="437" customFormat="false" ht="15" hidden="false" customHeight="false" outlineLevel="0" collapsed="false">
      <c r="A437" s="5" t="s">
        <v>542</v>
      </c>
      <c r="B437" s="2" t="s">
        <v>691</v>
      </c>
      <c r="C437" s="5" t="s">
        <v>744</v>
      </c>
      <c r="D437" s="21" t="n">
        <v>26.4270000457764</v>
      </c>
    </row>
    <row r="438" customFormat="false" ht="15" hidden="false" customHeight="false" outlineLevel="0" collapsed="false">
      <c r="A438" s="5" t="s">
        <v>542</v>
      </c>
      <c r="B438" s="2" t="s">
        <v>691</v>
      </c>
      <c r="C438" s="5" t="s">
        <v>745</v>
      </c>
      <c r="D438" s="21" t="n">
        <v>21.7329998016357</v>
      </c>
    </row>
    <row r="439" customFormat="false" ht="15" hidden="false" customHeight="false" outlineLevel="0" collapsed="false">
      <c r="A439" s="5" t="s">
        <v>542</v>
      </c>
      <c r="B439" s="2" t="s">
        <v>691</v>
      </c>
      <c r="C439" s="5" t="s">
        <v>746</v>
      </c>
      <c r="D439" s="21" t="n">
        <v>12.4320001602173</v>
      </c>
    </row>
    <row r="440" customFormat="false" ht="15" hidden="false" customHeight="false" outlineLevel="0" collapsed="false">
      <c r="A440" s="5" t="s">
        <v>542</v>
      </c>
      <c r="B440" s="2" t="s">
        <v>691</v>
      </c>
      <c r="C440" s="5" t="s">
        <v>747</v>
      </c>
      <c r="D440" s="21" t="n">
        <v>14.9180002212524</v>
      </c>
    </row>
    <row r="441" customFormat="false" ht="15" hidden="false" customHeight="false" outlineLevel="0" collapsed="false">
      <c r="A441" s="5" t="s">
        <v>542</v>
      </c>
      <c r="B441" s="2" t="s">
        <v>691</v>
      </c>
      <c r="C441" s="5" t="s">
        <v>748</v>
      </c>
      <c r="D441" s="21" t="n">
        <v>96.6790008544922</v>
      </c>
    </row>
    <row r="442" customFormat="false" ht="15" hidden="false" customHeight="false" outlineLevel="0" collapsed="false">
      <c r="A442" s="5" t="s">
        <v>542</v>
      </c>
      <c r="B442" s="2" t="s">
        <v>691</v>
      </c>
      <c r="C442" s="5" t="s">
        <v>749</v>
      </c>
      <c r="D442" s="21" t="n">
        <v>100.747000455856</v>
      </c>
    </row>
    <row r="443" customFormat="false" ht="15" hidden="false" customHeight="false" outlineLevel="0" collapsed="false">
      <c r="A443" s="5" t="s">
        <v>542</v>
      </c>
      <c r="B443" s="2" t="s">
        <v>691</v>
      </c>
      <c r="C443" s="5" t="s">
        <v>750</v>
      </c>
      <c r="D443" s="21" t="n">
        <v>42.1430015563965</v>
      </c>
    </row>
    <row r="444" customFormat="false" ht="15" hidden="false" customHeight="false" outlineLevel="0" collapsed="false">
      <c r="A444" s="5" t="s">
        <v>542</v>
      </c>
      <c r="B444" s="2" t="s">
        <v>691</v>
      </c>
      <c r="C444" s="5" t="s">
        <v>751</v>
      </c>
      <c r="D444" s="21" t="n">
        <v>5</v>
      </c>
    </row>
    <row r="445" customFormat="false" ht="15" hidden="false" customHeight="false" outlineLevel="0" collapsed="false">
      <c r="A445" s="5" t="s">
        <v>544</v>
      </c>
      <c r="B445" s="2" t="s">
        <v>692</v>
      </c>
      <c r="C445" s="5" t="s">
        <v>744</v>
      </c>
      <c r="D445" s="21" t="n">
        <v>36.6940002441406</v>
      </c>
    </row>
    <row r="446" customFormat="false" ht="15" hidden="false" customHeight="false" outlineLevel="0" collapsed="false">
      <c r="A446" s="5" t="s">
        <v>544</v>
      </c>
      <c r="B446" s="2" t="s">
        <v>692</v>
      </c>
      <c r="C446" s="5" t="s">
        <v>745</v>
      </c>
      <c r="D446" s="21" t="n">
        <v>30.1760005950928</v>
      </c>
    </row>
    <row r="447" customFormat="false" ht="15" hidden="false" customHeight="false" outlineLevel="0" collapsed="false">
      <c r="A447" s="5" t="s">
        <v>544</v>
      </c>
      <c r="B447" s="2" t="s">
        <v>692</v>
      </c>
      <c r="C447" s="5" t="s">
        <v>746</v>
      </c>
      <c r="D447" s="21" t="n">
        <v>17.261999130249</v>
      </c>
    </row>
    <row r="448" customFormat="false" ht="15" hidden="false" customHeight="false" outlineLevel="0" collapsed="false">
      <c r="A448" s="5" t="s">
        <v>544</v>
      </c>
      <c r="B448" s="2" t="s">
        <v>692</v>
      </c>
      <c r="C448" s="5" t="s">
        <v>747</v>
      </c>
      <c r="D448" s="21" t="n">
        <v>20.7140007019043</v>
      </c>
    </row>
    <row r="449" customFormat="false" ht="15" hidden="false" customHeight="false" outlineLevel="0" collapsed="false">
      <c r="A449" s="5" t="s">
        <v>544</v>
      </c>
      <c r="B449" s="2" t="s">
        <v>692</v>
      </c>
      <c r="C449" s="5" t="s">
        <v>748</v>
      </c>
      <c r="D449" s="21" t="n">
        <v>78.1650009155273</v>
      </c>
    </row>
    <row r="450" customFormat="false" ht="15" hidden="false" customHeight="false" outlineLevel="0" collapsed="false">
      <c r="A450" s="5" t="s">
        <v>544</v>
      </c>
      <c r="B450" s="2" t="s">
        <v>692</v>
      </c>
      <c r="C450" s="5" t="s">
        <v>749</v>
      </c>
      <c r="D450" s="21" t="n">
        <v>84.5130004882813</v>
      </c>
    </row>
    <row r="451" customFormat="false" ht="15" hidden="false" customHeight="false" outlineLevel="0" collapsed="false">
      <c r="A451" s="5" t="s">
        <v>544</v>
      </c>
      <c r="B451" s="2" t="s">
        <v>692</v>
      </c>
      <c r="C451" s="5" t="s">
        <v>750</v>
      </c>
      <c r="D451" s="21" t="n">
        <v>58.515998840332</v>
      </c>
    </row>
    <row r="452" customFormat="false" ht="15" hidden="false" customHeight="false" outlineLevel="0" collapsed="false">
      <c r="A452" s="5" t="s">
        <v>544</v>
      </c>
      <c r="B452" s="2" t="s">
        <v>692</v>
      </c>
      <c r="C452" s="5" t="s">
        <v>751</v>
      </c>
      <c r="D452" s="21" t="n">
        <v>5</v>
      </c>
    </row>
    <row r="453" customFormat="false" ht="15" hidden="false" customHeight="false" outlineLevel="0" collapsed="false">
      <c r="A453" s="5" t="s">
        <v>546</v>
      </c>
      <c r="B453" s="2" t="s">
        <v>693</v>
      </c>
      <c r="C453" s="5" t="s">
        <v>744</v>
      </c>
      <c r="D453" s="21" t="n">
        <v>3.83500003814697</v>
      </c>
    </row>
    <row r="454" customFormat="false" ht="15" hidden="false" customHeight="false" outlineLevel="0" collapsed="false">
      <c r="A454" s="5" t="s">
        <v>546</v>
      </c>
      <c r="B454" s="2" t="s">
        <v>693</v>
      </c>
      <c r="C454" s="5" t="s">
        <v>745</v>
      </c>
      <c r="D454" s="21" t="n">
        <v>3.15300011634827</v>
      </c>
    </row>
    <row r="455" customFormat="false" ht="15" hidden="false" customHeight="false" outlineLevel="0" collapsed="false">
      <c r="A455" s="5" t="s">
        <v>546</v>
      </c>
      <c r="B455" s="2" t="s">
        <v>693</v>
      </c>
      <c r="C455" s="5" t="s">
        <v>746</v>
      </c>
      <c r="D455" s="21" t="n">
        <v>1.80400002002716</v>
      </c>
    </row>
    <row r="456" customFormat="false" ht="15" hidden="false" customHeight="false" outlineLevel="0" collapsed="false">
      <c r="A456" s="5" t="s">
        <v>546</v>
      </c>
      <c r="B456" s="2" t="s">
        <v>693</v>
      </c>
      <c r="C456" s="5" t="s">
        <v>747</v>
      </c>
      <c r="D456" s="21" t="n">
        <v>2.16499996185303</v>
      </c>
    </row>
    <row r="457" customFormat="false" ht="15" hidden="false" customHeight="false" outlineLevel="0" collapsed="false">
      <c r="A457" s="5" t="s">
        <v>546</v>
      </c>
      <c r="B457" s="2" t="s">
        <v>693</v>
      </c>
      <c r="C457" s="5" t="s">
        <v>748</v>
      </c>
      <c r="D457" s="21" t="n">
        <v>11.9409999847412</v>
      </c>
    </row>
    <row r="458" customFormat="false" ht="15" hidden="false" customHeight="false" outlineLevel="0" collapsed="false">
      <c r="A458" s="5" t="s">
        <v>546</v>
      </c>
      <c r="B458" s="2" t="s">
        <v>693</v>
      </c>
      <c r="C458" s="5" t="s">
        <v>749</v>
      </c>
      <c r="D458" s="21" t="n">
        <v>8.68999996781349</v>
      </c>
    </row>
    <row r="459" customFormat="false" ht="15" hidden="false" customHeight="false" outlineLevel="0" collapsed="false">
      <c r="A459" s="5" t="s">
        <v>546</v>
      </c>
      <c r="B459" s="2" t="s">
        <v>693</v>
      </c>
      <c r="C459" s="5" t="s">
        <v>750</v>
      </c>
      <c r="D459" s="21" t="n">
        <v>6.11499977111816</v>
      </c>
    </row>
    <row r="460" customFormat="false" ht="15" hidden="false" customHeight="false" outlineLevel="0" collapsed="false">
      <c r="A460" s="5" t="s">
        <v>546</v>
      </c>
      <c r="B460" s="2" t="s">
        <v>693</v>
      </c>
      <c r="C460" s="5" t="s">
        <v>751</v>
      </c>
      <c r="D460" s="21" t="n">
        <v>1.5</v>
      </c>
    </row>
    <row r="461" customFormat="false" ht="15" hidden="false" customHeight="false" outlineLevel="0" collapsed="false">
      <c r="A461" s="5" t="s">
        <v>548</v>
      </c>
      <c r="B461" s="2" t="s">
        <v>694</v>
      </c>
      <c r="C461" s="5" t="s">
        <v>744</v>
      </c>
      <c r="D461" s="21" t="n">
        <v>46.3359985351563</v>
      </c>
    </row>
    <row r="462" customFormat="false" ht="15" hidden="false" customHeight="false" outlineLevel="0" collapsed="false">
      <c r="A462" s="5" t="s">
        <v>548</v>
      </c>
      <c r="B462" s="2" t="s">
        <v>694</v>
      </c>
      <c r="C462" s="5" t="s">
        <v>745</v>
      </c>
      <c r="D462" s="21" t="n">
        <v>38.1049995422363</v>
      </c>
    </row>
    <row r="463" customFormat="false" ht="15" hidden="false" customHeight="false" outlineLevel="0" collapsed="false">
      <c r="A463" s="5" t="s">
        <v>548</v>
      </c>
      <c r="B463" s="2" t="s">
        <v>694</v>
      </c>
      <c r="C463" s="5" t="s">
        <v>746</v>
      </c>
      <c r="D463" s="21" t="n">
        <v>21.7980003356934</v>
      </c>
    </row>
    <row r="464" customFormat="false" ht="15" hidden="false" customHeight="false" outlineLevel="0" collapsed="false">
      <c r="A464" s="5" t="s">
        <v>548</v>
      </c>
      <c r="B464" s="2" t="s">
        <v>694</v>
      </c>
      <c r="C464" s="5" t="s">
        <v>747</v>
      </c>
      <c r="D464" s="21" t="n">
        <v>26.1580009460449</v>
      </c>
    </row>
    <row r="465" customFormat="false" ht="15" hidden="false" customHeight="false" outlineLevel="0" collapsed="false">
      <c r="A465" s="5" t="s">
        <v>548</v>
      </c>
      <c r="B465" s="2" t="s">
        <v>694</v>
      </c>
      <c r="C465" s="5" t="s">
        <v>748</v>
      </c>
      <c r="D465" s="21" t="n">
        <v>66.1009979248047</v>
      </c>
    </row>
    <row r="466" customFormat="false" ht="15" hidden="false" customHeight="false" outlineLevel="0" collapsed="false">
      <c r="A466" s="5" t="s">
        <v>548</v>
      </c>
      <c r="B466" s="2" t="s">
        <v>694</v>
      </c>
      <c r="C466" s="5" t="s">
        <v>749</v>
      </c>
      <c r="D466" s="21" t="n">
        <v>84.0549994707108</v>
      </c>
    </row>
    <row r="467" customFormat="false" ht="15" hidden="false" customHeight="false" outlineLevel="0" collapsed="false">
      <c r="A467" s="5" t="s">
        <v>548</v>
      </c>
      <c r="B467" s="2" t="s">
        <v>694</v>
      </c>
      <c r="C467" s="5" t="s">
        <v>750</v>
      </c>
      <c r="D467" s="21" t="n">
        <v>73.8929977416992</v>
      </c>
    </row>
    <row r="468" customFormat="false" ht="15" hidden="false" customHeight="false" outlineLevel="0" collapsed="false">
      <c r="A468" s="5" t="s">
        <v>548</v>
      </c>
      <c r="B468" s="2" t="s">
        <v>694</v>
      </c>
      <c r="C468" s="5" t="s">
        <v>751</v>
      </c>
      <c r="D468" s="21" t="n">
        <v>5</v>
      </c>
    </row>
    <row r="469" customFormat="false" ht="15" hidden="false" customHeight="false" outlineLevel="0" collapsed="false">
      <c r="A469" s="5" t="s">
        <v>550</v>
      </c>
      <c r="B469" s="2" t="s">
        <v>695</v>
      </c>
      <c r="C469" s="5" t="s">
        <v>744</v>
      </c>
      <c r="D469" s="21" t="n">
        <v>46.3359985351563</v>
      </c>
    </row>
    <row r="470" customFormat="false" ht="15" hidden="false" customHeight="false" outlineLevel="0" collapsed="false">
      <c r="A470" s="5" t="s">
        <v>550</v>
      </c>
      <c r="B470" s="2" t="s">
        <v>695</v>
      </c>
      <c r="C470" s="5" t="s">
        <v>745</v>
      </c>
      <c r="D470" s="21" t="n">
        <v>38.1049995422363</v>
      </c>
    </row>
    <row r="471" customFormat="false" ht="15" hidden="false" customHeight="false" outlineLevel="0" collapsed="false">
      <c r="A471" s="5" t="s">
        <v>550</v>
      </c>
      <c r="B471" s="2" t="s">
        <v>695</v>
      </c>
      <c r="C471" s="5" t="s">
        <v>746</v>
      </c>
      <c r="D471" s="21" t="n">
        <v>21.7980003356934</v>
      </c>
    </row>
    <row r="472" customFormat="false" ht="15" hidden="false" customHeight="false" outlineLevel="0" collapsed="false">
      <c r="A472" s="5" t="s">
        <v>550</v>
      </c>
      <c r="B472" s="2" t="s">
        <v>695</v>
      </c>
      <c r="C472" s="5" t="s">
        <v>747</v>
      </c>
      <c r="D472" s="21" t="n">
        <v>26.1580009460449</v>
      </c>
    </row>
    <row r="473" customFormat="false" ht="15" hidden="false" customHeight="false" outlineLevel="0" collapsed="false">
      <c r="A473" s="5" t="s">
        <v>550</v>
      </c>
      <c r="B473" s="2" t="s">
        <v>695</v>
      </c>
      <c r="C473" s="5" t="s">
        <v>748</v>
      </c>
      <c r="D473" s="21" t="n">
        <v>41.3559989929199</v>
      </c>
    </row>
    <row r="474" customFormat="false" ht="15" hidden="false" customHeight="false" outlineLevel="0" collapsed="false">
      <c r="A474" s="5" t="s">
        <v>550</v>
      </c>
      <c r="B474" s="2" t="s">
        <v>695</v>
      </c>
      <c r="C474" s="5" t="s">
        <v>749</v>
      </c>
      <c r="D474" s="21" t="n">
        <v>61.7920010089874</v>
      </c>
    </row>
    <row r="475" customFormat="false" ht="15" hidden="false" customHeight="false" outlineLevel="0" collapsed="false">
      <c r="A475" s="5" t="s">
        <v>550</v>
      </c>
      <c r="B475" s="2" t="s">
        <v>695</v>
      </c>
      <c r="C475" s="5" t="s">
        <v>750</v>
      </c>
      <c r="D475" s="21" t="n">
        <v>73.8929977416992</v>
      </c>
    </row>
    <row r="476" customFormat="false" ht="15" hidden="false" customHeight="false" outlineLevel="0" collapsed="false">
      <c r="A476" s="5" t="s">
        <v>550</v>
      </c>
      <c r="B476" s="2" t="s">
        <v>695</v>
      </c>
      <c r="C476" s="5" t="s">
        <v>751</v>
      </c>
      <c r="D476" s="21" t="n">
        <v>1.5</v>
      </c>
    </row>
    <row r="477" customFormat="false" ht="15" hidden="false" customHeight="false" outlineLevel="0" collapsed="false">
      <c r="A477" s="5" t="s">
        <v>552</v>
      </c>
      <c r="B477" s="2" t="s">
        <v>696</v>
      </c>
      <c r="C477" s="5" t="s">
        <v>744</v>
      </c>
      <c r="D477" s="21" t="n">
        <v>57.1389999389648</v>
      </c>
    </row>
    <row r="478" customFormat="false" ht="15" hidden="false" customHeight="false" outlineLevel="0" collapsed="false">
      <c r="A478" s="5" t="s">
        <v>552</v>
      </c>
      <c r="B478" s="2" t="s">
        <v>696</v>
      </c>
      <c r="C478" s="5" t="s">
        <v>745</v>
      </c>
      <c r="D478" s="21" t="n">
        <v>46.9889984130859</v>
      </c>
    </row>
    <row r="479" customFormat="false" ht="15" hidden="false" customHeight="false" outlineLevel="0" collapsed="false">
      <c r="A479" s="5" t="s">
        <v>552</v>
      </c>
      <c r="B479" s="2" t="s">
        <v>696</v>
      </c>
      <c r="C479" s="5" t="s">
        <v>746</v>
      </c>
      <c r="D479" s="21" t="n">
        <v>26.8799991607666</v>
      </c>
    </row>
    <row r="480" customFormat="false" ht="15" hidden="false" customHeight="false" outlineLevel="0" collapsed="false">
      <c r="A480" s="5" t="s">
        <v>552</v>
      </c>
      <c r="B480" s="2" t="s">
        <v>696</v>
      </c>
      <c r="C480" s="5" t="s">
        <v>747</v>
      </c>
      <c r="D480" s="21" t="n">
        <v>32.2560005187988</v>
      </c>
    </row>
    <row r="481" customFormat="false" ht="15" hidden="false" customHeight="false" outlineLevel="0" collapsed="false">
      <c r="A481" s="5" t="s">
        <v>552</v>
      </c>
      <c r="B481" s="2" t="s">
        <v>696</v>
      </c>
      <c r="C481" s="5" t="s">
        <v>748</v>
      </c>
      <c r="D481" s="21" t="n">
        <v>43.1619987487793</v>
      </c>
    </row>
    <row r="482" customFormat="false" ht="15" hidden="false" customHeight="false" outlineLevel="0" collapsed="false">
      <c r="A482" s="5" t="s">
        <v>552</v>
      </c>
      <c r="B482" s="2" t="s">
        <v>696</v>
      </c>
      <c r="C482" s="5" t="s">
        <v>749</v>
      </c>
      <c r="D482" s="21" t="n">
        <v>77.7459989786148</v>
      </c>
    </row>
    <row r="483" customFormat="false" ht="15" hidden="false" customHeight="false" outlineLevel="0" collapsed="false">
      <c r="A483" s="5" t="s">
        <v>552</v>
      </c>
      <c r="B483" s="2" t="s">
        <v>696</v>
      </c>
      <c r="C483" s="5" t="s">
        <v>750</v>
      </c>
      <c r="D483" s="21" t="n">
        <v>91.120002746582</v>
      </c>
    </row>
    <row r="484" customFormat="false" ht="15" hidden="false" customHeight="false" outlineLevel="0" collapsed="false">
      <c r="A484" s="5" t="s">
        <v>552</v>
      </c>
      <c r="B484" s="2" t="s">
        <v>696</v>
      </c>
      <c r="C484" s="5" t="s">
        <v>751</v>
      </c>
      <c r="D484" s="21" t="n">
        <v>1</v>
      </c>
    </row>
    <row r="485" customFormat="false" ht="15" hidden="false" customHeight="false" outlineLevel="0" collapsed="false">
      <c r="A485" s="5" t="s">
        <v>554</v>
      </c>
      <c r="B485" s="2" t="s">
        <v>697</v>
      </c>
      <c r="C485" s="5" t="s">
        <v>744</v>
      </c>
      <c r="D485" s="21" t="n">
        <v>6.09299993515015</v>
      </c>
    </row>
    <row r="486" customFormat="false" ht="15" hidden="false" customHeight="false" outlineLevel="0" collapsed="false">
      <c r="A486" s="5" t="s">
        <v>554</v>
      </c>
      <c r="B486" s="2" t="s">
        <v>697</v>
      </c>
      <c r="C486" s="5" t="s">
        <v>745</v>
      </c>
      <c r="D486" s="21" t="n">
        <v>5.01100015640259</v>
      </c>
    </row>
    <row r="487" customFormat="false" ht="15" hidden="false" customHeight="false" outlineLevel="0" collapsed="false">
      <c r="A487" s="5" t="s">
        <v>554</v>
      </c>
      <c r="B487" s="2" t="s">
        <v>697</v>
      </c>
      <c r="C487" s="5" t="s">
        <v>746</v>
      </c>
      <c r="D487" s="21" t="n">
        <v>2.86700010299683</v>
      </c>
    </row>
    <row r="488" customFormat="false" ht="15" hidden="false" customHeight="false" outlineLevel="0" collapsed="false">
      <c r="A488" s="5" t="s">
        <v>554</v>
      </c>
      <c r="B488" s="2" t="s">
        <v>697</v>
      </c>
      <c r="C488" s="5" t="s">
        <v>747</v>
      </c>
      <c r="D488" s="21" t="n">
        <v>3.44000005722046</v>
      </c>
    </row>
    <row r="489" customFormat="false" ht="15" hidden="false" customHeight="false" outlineLevel="0" collapsed="false">
      <c r="A489" s="5" t="s">
        <v>554</v>
      </c>
      <c r="B489" s="2" t="s">
        <v>697</v>
      </c>
      <c r="C489" s="5" t="s">
        <v>748</v>
      </c>
      <c r="D489" s="21" t="n">
        <v>12.6700000762939</v>
      </c>
    </row>
    <row r="490" customFormat="false" ht="15" hidden="false" customHeight="false" outlineLevel="0" collapsed="false">
      <c r="A490" s="5" t="s">
        <v>554</v>
      </c>
      <c r="B490" s="2" t="s">
        <v>697</v>
      </c>
      <c r="C490" s="5" t="s">
        <v>749</v>
      </c>
      <c r="D490" s="21" t="n">
        <v>11.5350001007319</v>
      </c>
    </row>
    <row r="491" customFormat="false" ht="15" hidden="false" customHeight="false" outlineLevel="0" collapsed="false">
      <c r="A491" s="5" t="s">
        <v>554</v>
      </c>
      <c r="B491" s="2" t="s">
        <v>697</v>
      </c>
      <c r="C491" s="5" t="s">
        <v>750</v>
      </c>
      <c r="D491" s="21" t="n">
        <v>9.7170000076294</v>
      </c>
    </row>
    <row r="492" customFormat="false" ht="15" hidden="false" customHeight="false" outlineLevel="0" collapsed="false">
      <c r="A492" s="5" t="s">
        <v>554</v>
      </c>
      <c r="B492" s="2" t="s">
        <v>697</v>
      </c>
      <c r="C492" s="5" t="s">
        <v>751</v>
      </c>
      <c r="D492" s="21" t="n">
        <v>1.5</v>
      </c>
    </row>
    <row r="493" customFormat="false" ht="15" hidden="false" customHeight="false" outlineLevel="0" collapsed="false">
      <c r="A493" s="5" t="s">
        <v>556</v>
      </c>
      <c r="B493" s="2" t="s">
        <v>698</v>
      </c>
      <c r="C493" s="5" t="s">
        <v>744</v>
      </c>
      <c r="D493" s="21" t="n">
        <v>70.6650009155273</v>
      </c>
    </row>
    <row r="494" customFormat="false" ht="15" hidden="false" customHeight="false" outlineLevel="0" collapsed="false">
      <c r="A494" s="5" t="s">
        <v>556</v>
      </c>
      <c r="B494" s="2" t="s">
        <v>698</v>
      </c>
      <c r="C494" s="5" t="s">
        <v>745</v>
      </c>
      <c r="D494" s="21" t="n">
        <v>58.1129989624023</v>
      </c>
    </row>
    <row r="495" customFormat="false" ht="15" hidden="false" customHeight="false" outlineLevel="0" collapsed="false">
      <c r="A495" s="5" t="s">
        <v>556</v>
      </c>
      <c r="B495" s="2" t="s">
        <v>698</v>
      </c>
      <c r="C495" s="5" t="s">
        <v>746</v>
      </c>
      <c r="D495" s="21" t="n">
        <v>33.2430000305176</v>
      </c>
    </row>
    <row r="496" customFormat="false" ht="15" hidden="false" customHeight="false" outlineLevel="0" collapsed="false">
      <c r="A496" s="5" t="s">
        <v>556</v>
      </c>
      <c r="B496" s="2" t="s">
        <v>698</v>
      </c>
      <c r="C496" s="5" t="s">
        <v>747</v>
      </c>
      <c r="D496" s="21" t="n">
        <v>39.8919982910156</v>
      </c>
    </row>
    <row r="497" customFormat="false" ht="15" hidden="false" customHeight="false" outlineLevel="0" collapsed="false">
      <c r="A497" s="5" t="s">
        <v>556</v>
      </c>
      <c r="B497" s="2" t="s">
        <v>698</v>
      </c>
      <c r="C497" s="5" t="s">
        <v>748</v>
      </c>
      <c r="D497" s="21" t="n">
        <v>79.5289993286133</v>
      </c>
    </row>
    <row r="498" customFormat="false" ht="15" hidden="false" customHeight="false" outlineLevel="0" collapsed="false">
      <c r="A498" s="5" t="s">
        <v>556</v>
      </c>
      <c r="B498" s="2" t="s">
        <v>698</v>
      </c>
      <c r="C498" s="5" t="s">
        <v>749</v>
      </c>
      <c r="D498" s="21" t="n">
        <v>117.415000677109</v>
      </c>
    </row>
    <row r="499" customFormat="false" ht="15" hidden="false" customHeight="false" outlineLevel="0" collapsed="false">
      <c r="A499" s="5" t="s">
        <v>556</v>
      </c>
      <c r="B499" s="2" t="s">
        <v>698</v>
      </c>
      <c r="C499" s="5" t="s">
        <v>750</v>
      </c>
      <c r="D499" s="21" t="n">
        <v>112.690002441406</v>
      </c>
    </row>
    <row r="500" customFormat="false" ht="15" hidden="false" customHeight="false" outlineLevel="0" collapsed="false">
      <c r="A500" s="5" t="s">
        <v>556</v>
      </c>
      <c r="B500" s="2" t="s">
        <v>698</v>
      </c>
      <c r="C500" s="5" t="s">
        <v>751</v>
      </c>
      <c r="D500" s="21" t="n">
        <v>5</v>
      </c>
    </row>
    <row r="501" customFormat="false" ht="15" hidden="false" customHeight="false" outlineLevel="0" collapsed="false">
      <c r="A501" s="5" t="s">
        <v>558</v>
      </c>
      <c r="B501" s="2" t="s">
        <v>699</v>
      </c>
      <c r="C501" s="5" t="s">
        <v>744</v>
      </c>
      <c r="D501" s="21" t="n">
        <v>70.6650009155273</v>
      </c>
    </row>
    <row r="502" customFormat="false" ht="15" hidden="false" customHeight="false" outlineLevel="0" collapsed="false">
      <c r="A502" s="5" t="s">
        <v>558</v>
      </c>
      <c r="B502" s="2" t="s">
        <v>699</v>
      </c>
      <c r="C502" s="5" t="s">
        <v>745</v>
      </c>
      <c r="D502" s="21" t="n">
        <v>58.1129989624023</v>
      </c>
    </row>
    <row r="503" customFormat="false" ht="15" hidden="false" customHeight="false" outlineLevel="0" collapsed="false">
      <c r="A503" s="5" t="s">
        <v>558</v>
      </c>
      <c r="B503" s="2" t="s">
        <v>699</v>
      </c>
      <c r="C503" s="5" t="s">
        <v>746</v>
      </c>
      <c r="D503" s="21" t="n">
        <v>33.2430000305176</v>
      </c>
    </row>
    <row r="504" customFormat="false" ht="15" hidden="false" customHeight="false" outlineLevel="0" collapsed="false">
      <c r="A504" s="5" t="s">
        <v>558</v>
      </c>
      <c r="B504" s="2" t="s">
        <v>699</v>
      </c>
      <c r="C504" s="5" t="s">
        <v>747</v>
      </c>
      <c r="D504" s="21" t="n">
        <v>39.8919982910156</v>
      </c>
    </row>
    <row r="505" customFormat="false" ht="15" hidden="false" customHeight="false" outlineLevel="0" collapsed="false">
      <c r="A505" s="5" t="s">
        <v>558</v>
      </c>
      <c r="B505" s="2" t="s">
        <v>699</v>
      </c>
      <c r="C505" s="5" t="s">
        <v>748</v>
      </c>
      <c r="D505" s="21" t="n">
        <v>48.7869987487793</v>
      </c>
    </row>
    <row r="506" customFormat="false" ht="15" hidden="false" customHeight="false" outlineLevel="0" collapsed="false">
      <c r="A506" s="5" t="s">
        <v>558</v>
      </c>
      <c r="B506" s="2" t="s">
        <v>699</v>
      </c>
      <c r="C506" s="5" t="s">
        <v>749</v>
      </c>
      <c r="D506" s="21" t="n">
        <v>93.1819998025894</v>
      </c>
    </row>
    <row r="507" customFormat="false" ht="15" hidden="false" customHeight="false" outlineLevel="0" collapsed="false">
      <c r="A507" s="5" t="s">
        <v>558</v>
      </c>
      <c r="B507" s="2" t="s">
        <v>699</v>
      </c>
      <c r="C507" s="5" t="s">
        <v>750</v>
      </c>
      <c r="D507" s="21" t="n">
        <v>112.690002441406</v>
      </c>
    </row>
    <row r="508" customFormat="false" ht="15" hidden="false" customHeight="false" outlineLevel="0" collapsed="false">
      <c r="A508" s="5" t="s">
        <v>558</v>
      </c>
      <c r="B508" s="2" t="s">
        <v>699</v>
      </c>
      <c r="C508" s="5" t="s">
        <v>751</v>
      </c>
      <c r="D508" s="21" t="n">
        <v>1</v>
      </c>
    </row>
    <row r="509" customFormat="false" ht="15" hidden="false" customHeight="false" outlineLevel="0" collapsed="false">
      <c r="A509" s="5" t="s">
        <v>560</v>
      </c>
      <c r="B509" s="2" t="s">
        <v>700</v>
      </c>
      <c r="C509" s="5" t="s">
        <v>744</v>
      </c>
      <c r="D509" s="21" t="n">
        <v>92.8509979248047</v>
      </c>
    </row>
    <row r="510" customFormat="false" ht="15" hidden="false" customHeight="false" outlineLevel="0" collapsed="false">
      <c r="A510" s="5" t="s">
        <v>560</v>
      </c>
      <c r="B510" s="2" t="s">
        <v>700</v>
      </c>
      <c r="C510" s="5" t="s">
        <v>745</v>
      </c>
      <c r="D510" s="21" t="n">
        <v>76.3580017089844</v>
      </c>
    </row>
    <row r="511" customFormat="false" ht="15" hidden="false" customHeight="false" outlineLevel="0" collapsed="false">
      <c r="A511" s="5" t="s">
        <v>560</v>
      </c>
      <c r="B511" s="2" t="s">
        <v>700</v>
      </c>
      <c r="C511" s="5" t="s">
        <v>746</v>
      </c>
      <c r="D511" s="21" t="n">
        <v>43.6800003051758</v>
      </c>
    </row>
    <row r="512" customFormat="false" ht="15" hidden="false" customHeight="false" outlineLevel="0" collapsed="false">
      <c r="A512" s="5" t="s">
        <v>560</v>
      </c>
      <c r="B512" s="2" t="s">
        <v>700</v>
      </c>
      <c r="C512" s="5" t="s">
        <v>747</v>
      </c>
      <c r="D512" s="21" t="n">
        <v>52.4160003662109</v>
      </c>
    </row>
    <row r="513" customFormat="false" ht="15" hidden="false" customHeight="false" outlineLevel="0" collapsed="false">
      <c r="A513" s="5" t="s">
        <v>560</v>
      </c>
      <c r="B513" s="2" t="s">
        <v>700</v>
      </c>
      <c r="C513" s="5" t="s">
        <v>748</v>
      </c>
      <c r="D513" s="21" t="n">
        <v>91.8659973144531</v>
      </c>
    </row>
    <row r="514" customFormat="false" ht="15" hidden="false" customHeight="false" outlineLevel="0" collapsed="false">
      <c r="A514" s="5" t="s">
        <v>560</v>
      </c>
      <c r="B514" s="2" t="s">
        <v>700</v>
      </c>
      <c r="C514" s="5" t="s">
        <v>749</v>
      </c>
      <c r="D514" s="21" t="n">
        <v>145.371998548508</v>
      </c>
    </row>
    <row r="515" customFormat="false" ht="15" hidden="false" customHeight="false" outlineLevel="0" collapsed="false">
      <c r="A515" s="5" t="s">
        <v>560</v>
      </c>
      <c r="B515" s="2" t="s">
        <v>700</v>
      </c>
      <c r="C515" s="5" t="s">
        <v>750</v>
      </c>
      <c r="D515" s="21" t="n">
        <v>148.070999145508</v>
      </c>
    </row>
    <row r="516" customFormat="false" ht="15" hidden="false" customHeight="false" outlineLevel="0" collapsed="false">
      <c r="A516" s="5" t="s">
        <v>560</v>
      </c>
      <c r="B516" s="2" t="s">
        <v>700</v>
      </c>
      <c r="C516" s="5" t="s">
        <v>751</v>
      </c>
      <c r="D516" s="21" t="n">
        <v>5</v>
      </c>
    </row>
    <row r="517" customFormat="false" ht="15" hidden="false" customHeight="false" outlineLevel="0" collapsed="false">
      <c r="A517" s="5" t="s">
        <v>562</v>
      </c>
      <c r="B517" s="2" t="s">
        <v>701</v>
      </c>
      <c r="C517" s="5" t="s">
        <v>744</v>
      </c>
      <c r="D517" s="21" t="n">
        <v>92.8509979248047</v>
      </c>
    </row>
    <row r="518" customFormat="false" ht="15" hidden="false" customHeight="false" outlineLevel="0" collapsed="false">
      <c r="A518" s="5" t="s">
        <v>562</v>
      </c>
      <c r="B518" s="2" t="s">
        <v>701</v>
      </c>
      <c r="C518" s="5" t="s">
        <v>745</v>
      </c>
      <c r="D518" s="21" t="n">
        <v>76.3580017089844</v>
      </c>
    </row>
    <row r="519" customFormat="false" ht="15" hidden="false" customHeight="false" outlineLevel="0" collapsed="false">
      <c r="A519" s="5" t="s">
        <v>562</v>
      </c>
      <c r="B519" s="2" t="s">
        <v>701</v>
      </c>
      <c r="C519" s="5" t="s">
        <v>746</v>
      </c>
      <c r="D519" s="21" t="n">
        <v>43.6800003051758</v>
      </c>
    </row>
    <row r="520" customFormat="false" ht="15" hidden="false" customHeight="false" outlineLevel="0" collapsed="false">
      <c r="A520" s="5" t="s">
        <v>562</v>
      </c>
      <c r="B520" s="2" t="s">
        <v>701</v>
      </c>
      <c r="C520" s="5" t="s">
        <v>747</v>
      </c>
      <c r="D520" s="21" t="n">
        <v>52.4160003662109</v>
      </c>
    </row>
    <row r="521" customFormat="false" ht="15" hidden="false" customHeight="false" outlineLevel="0" collapsed="false">
      <c r="A521" s="5" t="s">
        <v>562</v>
      </c>
      <c r="B521" s="2" t="s">
        <v>701</v>
      </c>
      <c r="C521" s="5" t="s">
        <v>748</v>
      </c>
      <c r="D521" s="21" t="n">
        <v>56.9819984436035</v>
      </c>
    </row>
    <row r="522" customFormat="false" ht="15" hidden="false" customHeight="false" outlineLevel="0" collapsed="false">
      <c r="A522" s="5" t="s">
        <v>562</v>
      </c>
      <c r="B522" s="2" t="s">
        <v>701</v>
      </c>
      <c r="C522" s="5" t="s">
        <v>749</v>
      </c>
      <c r="D522" s="21" t="n">
        <v>120.046998977661</v>
      </c>
    </row>
    <row r="523" customFormat="false" ht="15" hidden="false" customHeight="false" outlineLevel="0" collapsed="false">
      <c r="A523" s="5" t="s">
        <v>562</v>
      </c>
      <c r="B523" s="2" t="s">
        <v>701</v>
      </c>
      <c r="C523" s="5" t="s">
        <v>750</v>
      </c>
      <c r="D523" s="21" t="n">
        <v>148.070999145508</v>
      </c>
    </row>
    <row r="524" customFormat="false" ht="15" hidden="false" customHeight="false" outlineLevel="0" collapsed="false">
      <c r="A524" s="5" t="s">
        <v>562</v>
      </c>
      <c r="B524" s="2" t="s">
        <v>701</v>
      </c>
      <c r="C524" s="5" t="s">
        <v>751</v>
      </c>
      <c r="D524" s="21" t="n">
        <v>1</v>
      </c>
    </row>
    <row r="525" customFormat="false" ht="15" hidden="false" customHeight="false" outlineLevel="0" collapsed="false">
      <c r="A525" s="5" t="s">
        <v>564</v>
      </c>
      <c r="B525" s="2" t="s">
        <v>702</v>
      </c>
      <c r="C525" s="5" t="s">
        <v>744</v>
      </c>
      <c r="D525" s="21" t="n">
        <v>9.6870002746582</v>
      </c>
    </row>
    <row r="526" customFormat="false" ht="15" hidden="false" customHeight="false" outlineLevel="0" collapsed="false">
      <c r="A526" s="5" t="s">
        <v>564</v>
      </c>
      <c r="B526" s="2" t="s">
        <v>702</v>
      </c>
      <c r="C526" s="5" t="s">
        <v>745</v>
      </c>
      <c r="D526" s="21" t="n">
        <v>7.96600008010864</v>
      </c>
    </row>
    <row r="527" customFormat="false" ht="15" hidden="false" customHeight="false" outlineLevel="0" collapsed="false">
      <c r="A527" s="5" t="s">
        <v>564</v>
      </c>
      <c r="B527" s="2" t="s">
        <v>702</v>
      </c>
      <c r="C527" s="5" t="s">
        <v>746</v>
      </c>
      <c r="D527" s="21" t="n">
        <v>4.55700016021729</v>
      </c>
    </row>
    <row r="528" customFormat="false" ht="15" hidden="false" customHeight="false" outlineLevel="0" collapsed="false">
      <c r="A528" s="5" t="s">
        <v>564</v>
      </c>
      <c r="B528" s="2" t="s">
        <v>702</v>
      </c>
      <c r="C528" s="5" t="s">
        <v>747</v>
      </c>
      <c r="D528" s="21" t="n">
        <v>5.46799993515015</v>
      </c>
    </row>
    <row r="529" customFormat="false" ht="15" hidden="false" customHeight="false" outlineLevel="0" collapsed="false">
      <c r="A529" s="5" t="s">
        <v>564</v>
      </c>
      <c r="B529" s="2" t="s">
        <v>702</v>
      </c>
      <c r="C529" s="5" t="s">
        <v>748</v>
      </c>
      <c r="D529" s="21" t="n">
        <v>16.6070003509522</v>
      </c>
    </row>
    <row r="530" customFormat="false" ht="15" hidden="false" customHeight="false" outlineLevel="0" collapsed="false">
      <c r="A530" s="5" t="s">
        <v>564</v>
      </c>
      <c r="B530" s="2" t="s">
        <v>702</v>
      </c>
      <c r="C530" s="5" t="s">
        <v>749</v>
      </c>
      <c r="D530" s="21" t="n">
        <v>16.2790000736713</v>
      </c>
    </row>
    <row r="531" customFormat="false" ht="15" hidden="false" customHeight="false" outlineLevel="0" collapsed="false">
      <c r="A531" s="5" t="s">
        <v>564</v>
      </c>
      <c r="B531" s="2" t="s">
        <v>702</v>
      </c>
      <c r="C531" s="5" t="s">
        <v>750</v>
      </c>
      <c r="D531" s="21" t="n">
        <v>15.4479999542236</v>
      </c>
    </row>
    <row r="532" customFormat="false" ht="15" hidden="false" customHeight="false" outlineLevel="0" collapsed="false">
      <c r="A532" s="5" t="s">
        <v>564</v>
      </c>
      <c r="B532" s="2" t="s">
        <v>702</v>
      </c>
      <c r="C532" s="5" t="s">
        <v>751</v>
      </c>
      <c r="D532" s="21" t="n">
        <v>1.5</v>
      </c>
    </row>
    <row r="533" customFormat="false" ht="15" hidden="false" customHeight="false" outlineLevel="0" collapsed="false">
      <c r="A533" s="5" t="s">
        <v>566</v>
      </c>
      <c r="B533" s="2" t="s">
        <v>703</v>
      </c>
      <c r="C533" s="5" t="s">
        <v>744</v>
      </c>
      <c r="D533" s="21" t="n">
        <v>116.51000213623</v>
      </c>
    </row>
    <row r="534" customFormat="false" ht="15" hidden="false" customHeight="false" outlineLevel="0" collapsed="false">
      <c r="A534" s="5" t="s">
        <v>566</v>
      </c>
      <c r="B534" s="2" t="s">
        <v>703</v>
      </c>
      <c r="C534" s="5" t="s">
        <v>745</v>
      </c>
      <c r="D534" s="21" t="n">
        <v>95.8140029907227</v>
      </c>
    </row>
    <row r="535" customFormat="false" ht="15" hidden="false" customHeight="false" outlineLevel="0" collapsed="false">
      <c r="A535" s="5" t="s">
        <v>566</v>
      </c>
      <c r="B535" s="2" t="s">
        <v>703</v>
      </c>
      <c r="C535" s="5" t="s">
        <v>746</v>
      </c>
      <c r="D535" s="21" t="n">
        <v>54.810001373291</v>
      </c>
    </row>
    <row r="536" customFormat="false" ht="15" hidden="false" customHeight="false" outlineLevel="0" collapsed="false">
      <c r="A536" s="5" t="s">
        <v>566</v>
      </c>
      <c r="B536" s="2" t="s">
        <v>703</v>
      </c>
      <c r="C536" s="5" t="s">
        <v>747</v>
      </c>
      <c r="D536" s="21" t="n">
        <v>65.7720031738281</v>
      </c>
    </row>
    <row r="537" customFormat="false" ht="15" hidden="false" customHeight="false" outlineLevel="0" collapsed="false">
      <c r="A537" s="5" t="s">
        <v>566</v>
      </c>
      <c r="B537" s="2" t="s">
        <v>703</v>
      </c>
      <c r="C537" s="5" t="s">
        <v>748</v>
      </c>
      <c r="D537" s="21" t="n">
        <v>112.952003479004</v>
      </c>
    </row>
    <row r="538" customFormat="false" ht="15" hidden="false" customHeight="false" outlineLevel="0" collapsed="false">
      <c r="A538" s="5" t="s">
        <v>566</v>
      </c>
      <c r="B538" s="2" t="s">
        <v>703</v>
      </c>
      <c r="C538" s="5" t="s">
        <v>749</v>
      </c>
      <c r="D538" s="21" t="n">
        <v>181.350003957748</v>
      </c>
    </row>
    <row r="539" customFormat="false" ht="15" hidden="false" customHeight="false" outlineLevel="0" collapsed="false">
      <c r="A539" s="5" t="s">
        <v>566</v>
      </c>
      <c r="B539" s="2" t="s">
        <v>703</v>
      </c>
      <c r="C539" s="5" t="s">
        <v>750</v>
      </c>
      <c r="D539" s="21" t="n">
        <v>185.800003051758</v>
      </c>
    </row>
    <row r="540" customFormat="false" ht="15" hidden="false" customHeight="false" outlineLevel="0" collapsed="false">
      <c r="A540" s="5" t="s">
        <v>566</v>
      </c>
      <c r="B540" s="2" t="s">
        <v>703</v>
      </c>
      <c r="C540" s="5" t="s">
        <v>751</v>
      </c>
      <c r="D540" s="21" t="n">
        <v>5</v>
      </c>
    </row>
    <row r="541" customFormat="false" ht="15" hidden="false" customHeight="false" outlineLevel="0" collapsed="false">
      <c r="A541" s="5" t="s">
        <v>568</v>
      </c>
      <c r="B541" s="2" t="s">
        <v>704</v>
      </c>
      <c r="C541" s="5" t="s">
        <v>744</v>
      </c>
      <c r="D541" s="21" t="n">
        <v>116.51000213623</v>
      </c>
    </row>
    <row r="542" customFormat="false" ht="15" hidden="false" customHeight="false" outlineLevel="0" collapsed="false">
      <c r="A542" s="5" t="s">
        <v>568</v>
      </c>
      <c r="B542" s="2" t="s">
        <v>704</v>
      </c>
      <c r="C542" s="5" t="s">
        <v>745</v>
      </c>
      <c r="D542" s="21" t="n">
        <v>95.8140029907227</v>
      </c>
    </row>
    <row r="543" customFormat="false" ht="15" hidden="false" customHeight="false" outlineLevel="0" collapsed="false">
      <c r="A543" s="5" t="s">
        <v>568</v>
      </c>
      <c r="B543" s="2" t="s">
        <v>704</v>
      </c>
      <c r="C543" s="5" t="s">
        <v>746</v>
      </c>
      <c r="D543" s="21" t="n">
        <v>54.810001373291</v>
      </c>
    </row>
    <row r="544" customFormat="false" ht="15" hidden="false" customHeight="false" outlineLevel="0" collapsed="false">
      <c r="A544" s="5" t="s">
        <v>568</v>
      </c>
      <c r="B544" s="2" t="s">
        <v>704</v>
      </c>
      <c r="C544" s="5" t="s">
        <v>747</v>
      </c>
      <c r="D544" s="21" t="n">
        <v>65.7720031738281</v>
      </c>
    </row>
    <row r="545" customFormat="false" ht="15" hidden="false" customHeight="false" outlineLevel="0" collapsed="false">
      <c r="A545" s="5" t="s">
        <v>568</v>
      </c>
      <c r="B545" s="2" t="s">
        <v>704</v>
      </c>
      <c r="C545" s="5" t="s">
        <v>748</v>
      </c>
      <c r="D545" s="21" t="n">
        <v>73.8679962158203</v>
      </c>
    </row>
    <row r="546" customFormat="false" ht="15" hidden="false" customHeight="false" outlineLevel="0" collapsed="false">
      <c r="A546" s="5" t="s">
        <v>568</v>
      </c>
      <c r="B546" s="2" t="s">
        <v>704</v>
      </c>
      <c r="C546" s="5" t="s">
        <v>749</v>
      </c>
      <c r="D546" s="21" t="n">
        <v>148.849998474121</v>
      </c>
    </row>
    <row r="547" customFormat="false" ht="15" hidden="false" customHeight="false" outlineLevel="0" collapsed="false">
      <c r="A547" s="5" t="s">
        <v>568</v>
      </c>
      <c r="B547" s="2" t="s">
        <v>704</v>
      </c>
      <c r="C547" s="5" t="s">
        <v>750</v>
      </c>
      <c r="D547" s="21" t="n">
        <v>185.800003051758</v>
      </c>
    </row>
    <row r="548" customFormat="false" ht="15" hidden="false" customHeight="false" outlineLevel="0" collapsed="false">
      <c r="A548" s="5" t="s">
        <v>568</v>
      </c>
      <c r="B548" s="2" t="s">
        <v>704</v>
      </c>
      <c r="C548" s="5" t="s">
        <v>751</v>
      </c>
      <c r="D548" s="21" t="n">
        <v>1</v>
      </c>
    </row>
    <row r="549" customFormat="false" ht="15" hidden="false" customHeight="false" outlineLevel="0" collapsed="false">
      <c r="A549" s="5" t="s">
        <v>570</v>
      </c>
      <c r="B549" s="2" t="s">
        <v>705</v>
      </c>
      <c r="C549" s="5" t="s">
        <v>744</v>
      </c>
      <c r="D549" s="21" t="n">
        <v>13.4809999465942</v>
      </c>
    </row>
    <row r="550" customFormat="false" ht="15" hidden="false" customHeight="false" outlineLevel="0" collapsed="false">
      <c r="A550" s="5" t="s">
        <v>570</v>
      </c>
      <c r="B550" s="2" t="s">
        <v>705</v>
      </c>
      <c r="C550" s="5" t="s">
        <v>745</v>
      </c>
      <c r="D550" s="21" t="n">
        <v>11.0869998931885</v>
      </c>
    </row>
    <row r="551" customFormat="false" ht="15" hidden="false" customHeight="false" outlineLevel="0" collapsed="false">
      <c r="A551" s="5" t="s">
        <v>570</v>
      </c>
      <c r="B551" s="2" t="s">
        <v>705</v>
      </c>
      <c r="C551" s="5" t="s">
        <v>746</v>
      </c>
      <c r="D551" s="21" t="n">
        <v>6.34200000762939</v>
      </c>
    </row>
    <row r="552" customFormat="false" ht="15" hidden="false" customHeight="false" outlineLevel="0" collapsed="false">
      <c r="A552" s="5" t="s">
        <v>570</v>
      </c>
      <c r="B552" s="2" t="s">
        <v>705</v>
      </c>
      <c r="C552" s="5" t="s">
        <v>747</v>
      </c>
      <c r="D552" s="21" t="n">
        <v>7.6100001335144</v>
      </c>
    </row>
    <row r="553" customFormat="false" ht="15" hidden="false" customHeight="false" outlineLevel="0" collapsed="false">
      <c r="A553" s="5" t="s">
        <v>570</v>
      </c>
      <c r="B553" s="2" t="s">
        <v>705</v>
      </c>
      <c r="C553" s="5" t="s">
        <v>748</v>
      </c>
      <c r="D553" s="21" t="n">
        <v>39.0289993286133</v>
      </c>
    </row>
    <row r="554" customFormat="false" ht="15" hidden="false" customHeight="false" outlineLevel="0" collapsed="false">
      <c r="A554" s="5" t="s">
        <v>570</v>
      </c>
      <c r="B554" s="2" t="s">
        <v>705</v>
      </c>
      <c r="C554" s="5" t="s">
        <v>749</v>
      </c>
      <c r="D554" s="21" t="n">
        <v>37.3749996423721</v>
      </c>
    </row>
    <row r="555" customFormat="false" ht="15" hidden="false" customHeight="false" outlineLevel="0" collapsed="false">
      <c r="A555" s="5" t="s">
        <v>570</v>
      </c>
      <c r="B555" s="2" t="s">
        <v>705</v>
      </c>
      <c r="C555" s="5" t="s">
        <v>750</v>
      </c>
      <c r="D555" s="21" t="n">
        <v>21.4990005493164</v>
      </c>
    </row>
    <row r="556" customFormat="false" ht="15" hidden="false" customHeight="false" outlineLevel="0" collapsed="false">
      <c r="A556" s="5" t="s">
        <v>570</v>
      </c>
      <c r="B556" s="2" t="s">
        <v>705</v>
      </c>
      <c r="C556" s="5" t="s">
        <v>751</v>
      </c>
      <c r="D556" s="21" t="n">
        <v>5</v>
      </c>
    </row>
    <row r="557" customFormat="false" ht="15" hidden="false" customHeight="false" outlineLevel="0" collapsed="false">
      <c r="A557" s="5" t="s">
        <v>572</v>
      </c>
      <c r="B557" s="2" t="s">
        <v>706</v>
      </c>
      <c r="C557" s="5" t="s">
        <v>744</v>
      </c>
      <c r="D557" s="21" t="n">
        <v>13.4809999465942</v>
      </c>
    </row>
    <row r="558" customFormat="false" ht="15" hidden="false" customHeight="false" outlineLevel="0" collapsed="false">
      <c r="A558" s="5" t="s">
        <v>572</v>
      </c>
      <c r="B558" s="2" t="s">
        <v>706</v>
      </c>
      <c r="C558" s="5" t="s">
        <v>745</v>
      </c>
      <c r="D558" s="21" t="n">
        <v>11.0869998931885</v>
      </c>
    </row>
    <row r="559" customFormat="false" ht="15" hidden="false" customHeight="false" outlineLevel="0" collapsed="false">
      <c r="A559" s="5" t="s">
        <v>572</v>
      </c>
      <c r="B559" s="2" t="s">
        <v>706</v>
      </c>
      <c r="C559" s="5" t="s">
        <v>746</v>
      </c>
      <c r="D559" s="21" t="n">
        <v>6.34200000762939</v>
      </c>
    </row>
    <row r="560" customFormat="false" ht="15" hidden="false" customHeight="false" outlineLevel="0" collapsed="false">
      <c r="A560" s="5" t="s">
        <v>572</v>
      </c>
      <c r="B560" s="2" t="s">
        <v>706</v>
      </c>
      <c r="C560" s="5" t="s">
        <v>747</v>
      </c>
      <c r="D560" s="21" t="n">
        <v>7.6100001335144</v>
      </c>
    </row>
    <row r="561" customFormat="false" ht="15" hidden="false" customHeight="false" outlineLevel="0" collapsed="false">
      <c r="A561" s="5" t="s">
        <v>572</v>
      </c>
      <c r="B561" s="2" t="s">
        <v>706</v>
      </c>
      <c r="C561" s="5" t="s">
        <v>748</v>
      </c>
      <c r="D561" s="21" t="n">
        <v>17.2719993591309</v>
      </c>
    </row>
    <row r="562" customFormat="false" ht="15" hidden="false" customHeight="false" outlineLevel="0" collapsed="false">
      <c r="A562" s="5" t="s">
        <v>572</v>
      </c>
      <c r="B562" s="2" t="s">
        <v>706</v>
      </c>
      <c r="C562" s="5" t="s">
        <v>749</v>
      </c>
      <c r="D562" s="21" t="n">
        <v>20.6829999983311</v>
      </c>
    </row>
    <row r="563" customFormat="false" ht="15" hidden="false" customHeight="false" outlineLevel="0" collapsed="false">
      <c r="A563" s="5" t="s">
        <v>572</v>
      </c>
      <c r="B563" s="2" t="s">
        <v>706</v>
      </c>
      <c r="C563" s="5" t="s">
        <v>750</v>
      </c>
      <c r="D563" s="21" t="n">
        <v>21.4990005493164</v>
      </c>
    </row>
    <row r="564" customFormat="false" ht="15" hidden="false" customHeight="false" outlineLevel="0" collapsed="false">
      <c r="A564" s="5" t="s">
        <v>572</v>
      </c>
      <c r="B564" s="2" t="s">
        <v>706</v>
      </c>
      <c r="C564" s="5" t="s">
        <v>751</v>
      </c>
      <c r="D564" s="21" t="n">
        <v>1.5</v>
      </c>
    </row>
    <row r="565" customFormat="false" ht="15" hidden="false" customHeight="false" outlineLevel="0" collapsed="false">
      <c r="A565" s="5" t="s">
        <v>574</v>
      </c>
      <c r="B565" s="2" t="s">
        <v>707</v>
      </c>
      <c r="C565" s="5" t="s">
        <v>744</v>
      </c>
      <c r="D565" s="21" t="n">
        <v>18.257999420166</v>
      </c>
    </row>
    <row r="566" customFormat="false" ht="15" hidden="false" customHeight="false" outlineLevel="0" collapsed="false">
      <c r="A566" s="5" t="s">
        <v>574</v>
      </c>
      <c r="B566" s="2" t="s">
        <v>707</v>
      </c>
      <c r="C566" s="5" t="s">
        <v>745</v>
      </c>
      <c r="D566" s="21" t="n">
        <v>15.0150003433228</v>
      </c>
    </row>
    <row r="567" customFormat="false" ht="15" hidden="false" customHeight="false" outlineLevel="0" collapsed="false">
      <c r="A567" s="5" t="s">
        <v>574</v>
      </c>
      <c r="B567" s="2" t="s">
        <v>707</v>
      </c>
      <c r="C567" s="5" t="s">
        <v>746</v>
      </c>
      <c r="D567" s="21" t="n">
        <v>8.58899974822998</v>
      </c>
    </row>
    <row r="568" customFormat="false" ht="15" hidden="false" customHeight="false" outlineLevel="0" collapsed="false">
      <c r="A568" s="5" t="s">
        <v>574</v>
      </c>
      <c r="B568" s="2" t="s">
        <v>707</v>
      </c>
      <c r="C568" s="5" t="s">
        <v>747</v>
      </c>
      <c r="D568" s="21" t="n">
        <v>10.3070001602173</v>
      </c>
    </row>
    <row r="569" customFormat="false" ht="15" hidden="false" customHeight="false" outlineLevel="0" collapsed="false">
      <c r="A569" s="5" t="s">
        <v>574</v>
      </c>
      <c r="B569" s="2" t="s">
        <v>707</v>
      </c>
      <c r="C569" s="5" t="s">
        <v>748</v>
      </c>
      <c r="D569" s="21" t="n">
        <v>56.8190002441406</v>
      </c>
    </row>
    <row r="570" customFormat="false" ht="15" hidden="false" customHeight="false" outlineLevel="0" collapsed="false">
      <c r="A570" s="5" t="s">
        <v>574</v>
      </c>
      <c r="B570" s="2" t="s">
        <v>707</v>
      </c>
      <c r="C570" s="5" t="s">
        <v>749</v>
      </c>
      <c r="D570" s="21" t="n">
        <v>57.1049987077713</v>
      </c>
    </row>
    <row r="571" customFormat="false" ht="15" hidden="false" customHeight="false" outlineLevel="0" collapsed="false">
      <c r="A571" s="5" t="s">
        <v>574</v>
      </c>
      <c r="B571" s="2" t="s">
        <v>707</v>
      </c>
      <c r="C571" s="5" t="s">
        <v>750</v>
      </c>
      <c r="D571" s="21" t="n">
        <v>29.1159992218018</v>
      </c>
    </row>
    <row r="572" customFormat="false" ht="15" hidden="false" customHeight="false" outlineLevel="0" collapsed="false">
      <c r="A572" s="5" t="s">
        <v>574</v>
      </c>
      <c r="B572" s="2" t="s">
        <v>707</v>
      </c>
      <c r="C572" s="5" t="s">
        <v>751</v>
      </c>
      <c r="D572" s="21" t="n">
        <v>5</v>
      </c>
    </row>
    <row r="573" customFormat="false" ht="15" hidden="false" customHeight="false" outlineLevel="0" collapsed="false">
      <c r="A573" s="5" t="s">
        <v>507</v>
      </c>
      <c r="B573" s="2" t="s">
        <v>708</v>
      </c>
      <c r="C573" s="5" t="s">
        <v>744</v>
      </c>
      <c r="D573" s="21" t="n">
        <v>18.257999420166</v>
      </c>
    </row>
    <row r="574" customFormat="false" ht="15" hidden="false" customHeight="false" outlineLevel="0" collapsed="false">
      <c r="A574" s="5" t="s">
        <v>507</v>
      </c>
      <c r="B574" s="2" t="s">
        <v>708</v>
      </c>
      <c r="C574" s="5" t="s">
        <v>745</v>
      </c>
      <c r="D574" s="21" t="n">
        <v>15.0150003433228</v>
      </c>
    </row>
    <row r="575" customFormat="false" ht="15" hidden="false" customHeight="false" outlineLevel="0" collapsed="false">
      <c r="A575" s="5" t="s">
        <v>507</v>
      </c>
      <c r="B575" s="2" t="s">
        <v>708</v>
      </c>
      <c r="C575" s="5" t="s">
        <v>746</v>
      </c>
      <c r="D575" s="21" t="n">
        <v>8.58899974822998</v>
      </c>
    </row>
    <row r="576" customFormat="false" ht="15" hidden="false" customHeight="false" outlineLevel="0" collapsed="false">
      <c r="A576" s="5" t="s">
        <v>507</v>
      </c>
      <c r="B576" s="2" t="s">
        <v>708</v>
      </c>
      <c r="C576" s="5" t="s">
        <v>747</v>
      </c>
      <c r="D576" s="21" t="n">
        <v>10.3070001602173</v>
      </c>
    </row>
    <row r="577" customFormat="false" ht="15" hidden="false" customHeight="false" outlineLevel="0" collapsed="false">
      <c r="A577" s="5" t="s">
        <v>507</v>
      </c>
      <c r="B577" s="2" t="s">
        <v>708</v>
      </c>
      <c r="C577" s="5" t="s">
        <v>748</v>
      </c>
      <c r="D577" s="21" t="n">
        <v>17.4950008392334</v>
      </c>
    </row>
    <row r="578" customFormat="false" ht="15" hidden="false" customHeight="false" outlineLevel="0" collapsed="false">
      <c r="A578" s="5" t="s">
        <v>507</v>
      </c>
      <c r="B578" s="2" t="s">
        <v>708</v>
      </c>
      <c r="C578" s="5" t="s">
        <v>749</v>
      </c>
      <c r="D578" s="21" t="n">
        <v>26.6370003223419</v>
      </c>
    </row>
    <row r="579" customFormat="false" ht="15" hidden="false" customHeight="false" outlineLevel="0" collapsed="false">
      <c r="A579" s="5" t="s">
        <v>507</v>
      </c>
      <c r="B579" s="2" t="s">
        <v>708</v>
      </c>
      <c r="C579" s="5" t="s">
        <v>750</v>
      </c>
      <c r="D579" s="21" t="n">
        <v>29.1159992218018</v>
      </c>
    </row>
    <row r="580" customFormat="false" ht="15" hidden="false" customHeight="false" outlineLevel="0" collapsed="false">
      <c r="A580" s="5" t="s">
        <v>507</v>
      </c>
      <c r="B580" s="2" t="s">
        <v>708</v>
      </c>
      <c r="C580" s="5" t="s">
        <v>751</v>
      </c>
      <c r="D580" s="21" t="n">
        <v>1.5</v>
      </c>
    </row>
    <row r="581" customFormat="false" ht="15" hidden="false" customHeight="false" outlineLevel="0" collapsed="false">
      <c r="A581" s="5" t="s">
        <v>576</v>
      </c>
      <c r="B581" s="2" t="s">
        <v>709</v>
      </c>
      <c r="C581" s="5" t="s">
        <v>744</v>
      </c>
      <c r="D581" s="21" t="n">
        <v>2.28099989891052</v>
      </c>
    </row>
    <row r="582" customFormat="false" ht="15" hidden="false" customHeight="false" outlineLevel="0" collapsed="false">
      <c r="A582" s="5" t="s">
        <v>576</v>
      </c>
      <c r="B582" s="2" t="s">
        <v>709</v>
      </c>
      <c r="C582" s="5" t="s">
        <v>745</v>
      </c>
      <c r="D582" s="21" t="n">
        <v>1.87600004673004</v>
      </c>
    </row>
    <row r="583" customFormat="false" ht="15" hidden="false" customHeight="false" outlineLevel="0" collapsed="false">
      <c r="A583" s="5" t="s">
        <v>576</v>
      </c>
      <c r="B583" s="2" t="s">
        <v>709</v>
      </c>
      <c r="C583" s="5" t="s">
        <v>746</v>
      </c>
      <c r="D583" s="21" t="n">
        <v>1.07299995422363</v>
      </c>
    </row>
    <row r="584" customFormat="false" ht="15" hidden="false" customHeight="false" outlineLevel="0" collapsed="false">
      <c r="A584" s="5" t="s">
        <v>576</v>
      </c>
      <c r="B584" s="2" t="s">
        <v>709</v>
      </c>
      <c r="C584" s="5" t="s">
        <v>747</v>
      </c>
      <c r="D584" s="21" t="n">
        <v>1.28799998760223</v>
      </c>
    </row>
    <row r="585" customFormat="false" ht="15" hidden="false" customHeight="false" outlineLevel="0" collapsed="false">
      <c r="A585" s="5" t="s">
        <v>576</v>
      </c>
      <c r="B585" s="2" t="s">
        <v>709</v>
      </c>
      <c r="C585" s="5" t="s">
        <v>748</v>
      </c>
      <c r="D585" s="21" t="n">
        <v>7.98899984359741</v>
      </c>
    </row>
    <row r="586" customFormat="false" ht="15" hidden="false" customHeight="false" outlineLevel="0" collapsed="false">
      <c r="A586" s="5" t="s">
        <v>576</v>
      </c>
      <c r="B586" s="2" t="s">
        <v>709</v>
      </c>
      <c r="C586" s="5" t="s">
        <v>749</v>
      </c>
      <c r="D586" s="21" t="n">
        <v>6.17200000584126</v>
      </c>
    </row>
    <row r="587" customFormat="false" ht="15" hidden="false" customHeight="false" outlineLevel="0" collapsed="false">
      <c r="A587" s="5" t="s">
        <v>576</v>
      </c>
      <c r="B587" s="2" t="s">
        <v>709</v>
      </c>
      <c r="C587" s="5" t="s">
        <v>750</v>
      </c>
      <c r="D587" s="21" t="n">
        <v>3.63800001144409</v>
      </c>
    </row>
    <row r="588" customFormat="false" ht="15" hidden="false" customHeight="false" outlineLevel="0" collapsed="false">
      <c r="A588" s="5" t="s">
        <v>576</v>
      </c>
      <c r="B588" s="2" t="s">
        <v>709</v>
      </c>
      <c r="C588" s="5" t="s">
        <v>751</v>
      </c>
      <c r="D588" s="21" t="n">
        <v>2</v>
      </c>
    </row>
    <row r="589" customFormat="false" ht="15" hidden="false" customHeight="false" outlineLevel="0" collapsed="false">
      <c r="A589" s="5" t="s">
        <v>540</v>
      </c>
      <c r="B589" s="2" t="s">
        <v>710</v>
      </c>
      <c r="C589" s="5" t="s">
        <v>744</v>
      </c>
      <c r="D589" s="21" t="n">
        <v>26.4270000457764</v>
      </c>
    </row>
    <row r="590" customFormat="false" ht="15" hidden="false" customHeight="false" outlineLevel="0" collapsed="false">
      <c r="A590" s="5" t="s">
        <v>540</v>
      </c>
      <c r="B590" s="2" t="s">
        <v>710</v>
      </c>
      <c r="C590" s="5" t="s">
        <v>745</v>
      </c>
      <c r="D590" s="21" t="n">
        <v>21.7329998016357</v>
      </c>
    </row>
    <row r="591" customFormat="false" ht="15" hidden="false" customHeight="false" outlineLevel="0" collapsed="false">
      <c r="A591" s="5" t="s">
        <v>540</v>
      </c>
      <c r="B591" s="2" t="s">
        <v>710</v>
      </c>
      <c r="C591" s="5" t="s">
        <v>746</v>
      </c>
      <c r="D591" s="21" t="n">
        <v>12.4320001602173</v>
      </c>
    </row>
    <row r="592" customFormat="false" ht="15" hidden="false" customHeight="false" outlineLevel="0" collapsed="false">
      <c r="A592" s="5" t="s">
        <v>540</v>
      </c>
      <c r="B592" s="2" t="s">
        <v>710</v>
      </c>
      <c r="C592" s="5" t="s">
        <v>747</v>
      </c>
      <c r="D592" s="21" t="n">
        <v>14.9180002212524</v>
      </c>
    </row>
    <row r="593" customFormat="false" ht="15" hidden="false" customHeight="false" outlineLevel="0" collapsed="false">
      <c r="A593" s="5" t="s">
        <v>540</v>
      </c>
      <c r="B593" s="2" t="s">
        <v>710</v>
      </c>
      <c r="C593" s="5" t="s">
        <v>748</v>
      </c>
      <c r="D593" s="21" t="n">
        <v>57.6339988708496</v>
      </c>
    </row>
    <row r="594" customFormat="false" ht="15" hidden="false" customHeight="false" outlineLevel="0" collapsed="false">
      <c r="A594" s="5" t="s">
        <v>540</v>
      </c>
      <c r="B594" s="2" t="s">
        <v>710</v>
      </c>
      <c r="C594" s="5" t="s">
        <v>749</v>
      </c>
      <c r="D594" s="21" t="n">
        <v>70.503999710083</v>
      </c>
    </row>
    <row r="595" customFormat="false" ht="15" hidden="false" customHeight="false" outlineLevel="0" collapsed="false">
      <c r="A595" s="5" t="s">
        <v>540</v>
      </c>
      <c r="B595" s="2" t="s">
        <v>710</v>
      </c>
      <c r="C595" s="5" t="s">
        <v>750</v>
      </c>
      <c r="D595" s="21" t="n">
        <v>42.1430015563965</v>
      </c>
    </row>
    <row r="596" customFormat="false" ht="15" hidden="false" customHeight="false" outlineLevel="0" collapsed="false">
      <c r="A596" s="5" t="s">
        <v>540</v>
      </c>
      <c r="B596" s="2" t="s">
        <v>710</v>
      </c>
      <c r="C596" s="5" t="s">
        <v>751</v>
      </c>
      <c r="D596" s="21" t="n">
        <v>5</v>
      </c>
    </row>
    <row r="597" customFormat="false" ht="15" hidden="false" customHeight="false" outlineLevel="0" collapsed="false">
      <c r="A597" s="5" t="s">
        <v>578</v>
      </c>
      <c r="B597" s="2" t="s">
        <v>711</v>
      </c>
      <c r="C597" s="5" t="s">
        <v>744</v>
      </c>
      <c r="D597" s="21" t="n">
        <v>26.4270000457764</v>
      </c>
    </row>
    <row r="598" customFormat="false" ht="15" hidden="false" customHeight="false" outlineLevel="0" collapsed="false">
      <c r="A598" s="5" t="s">
        <v>578</v>
      </c>
      <c r="B598" s="2" t="s">
        <v>711</v>
      </c>
      <c r="C598" s="5" t="s">
        <v>745</v>
      </c>
      <c r="D598" s="21" t="n">
        <v>21.7329998016357</v>
      </c>
    </row>
    <row r="599" customFormat="false" ht="15" hidden="false" customHeight="false" outlineLevel="0" collapsed="false">
      <c r="A599" s="5" t="s">
        <v>578</v>
      </c>
      <c r="B599" s="2" t="s">
        <v>711</v>
      </c>
      <c r="C599" s="5" t="s">
        <v>746</v>
      </c>
      <c r="D599" s="21" t="n">
        <v>12.4320001602173</v>
      </c>
    </row>
    <row r="600" customFormat="false" ht="15" hidden="false" customHeight="false" outlineLevel="0" collapsed="false">
      <c r="A600" s="5" t="s">
        <v>578</v>
      </c>
      <c r="B600" s="2" t="s">
        <v>711</v>
      </c>
      <c r="C600" s="5" t="s">
        <v>747</v>
      </c>
      <c r="D600" s="21" t="n">
        <v>14.9180002212524</v>
      </c>
    </row>
    <row r="601" customFormat="false" ht="15" hidden="false" customHeight="false" outlineLevel="0" collapsed="false">
      <c r="A601" s="5" t="s">
        <v>578</v>
      </c>
      <c r="B601" s="2" t="s">
        <v>711</v>
      </c>
      <c r="C601" s="5" t="s">
        <v>748</v>
      </c>
      <c r="D601" s="21" t="n">
        <v>26.5139999389648</v>
      </c>
    </row>
    <row r="602" customFormat="false" ht="15" hidden="false" customHeight="false" outlineLevel="0" collapsed="false">
      <c r="A602" s="5" t="s">
        <v>578</v>
      </c>
      <c r="B602" s="2" t="s">
        <v>711</v>
      </c>
      <c r="C602" s="5" t="s">
        <v>749</v>
      </c>
      <c r="D602" s="21" t="n">
        <v>37.9740005433559</v>
      </c>
    </row>
    <row r="603" customFormat="false" ht="15" hidden="false" customHeight="false" outlineLevel="0" collapsed="false">
      <c r="A603" s="5" t="s">
        <v>578</v>
      </c>
      <c r="B603" s="2" t="s">
        <v>711</v>
      </c>
      <c r="C603" s="5" t="s">
        <v>750</v>
      </c>
      <c r="D603" s="21" t="n">
        <v>42.1430015563965</v>
      </c>
    </row>
    <row r="604" customFormat="false" ht="15" hidden="false" customHeight="false" outlineLevel="0" collapsed="false">
      <c r="A604" s="5" t="s">
        <v>578</v>
      </c>
      <c r="B604" s="2" t="s">
        <v>711</v>
      </c>
      <c r="C604" s="5" t="s">
        <v>751</v>
      </c>
      <c r="D604" s="21" t="n">
        <v>1.5</v>
      </c>
    </row>
    <row r="605" customFormat="false" ht="15" hidden="false" customHeight="false" outlineLevel="0" collapsed="false">
      <c r="A605" s="5" t="s">
        <v>580</v>
      </c>
      <c r="B605" s="2" t="s">
        <v>712</v>
      </c>
      <c r="C605" s="5" t="s">
        <v>744</v>
      </c>
      <c r="D605" s="21" t="n">
        <v>26.4270000457764</v>
      </c>
    </row>
    <row r="606" customFormat="false" ht="15" hidden="false" customHeight="false" outlineLevel="0" collapsed="false">
      <c r="A606" s="5" t="s">
        <v>580</v>
      </c>
      <c r="B606" s="2" t="s">
        <v>712</v>
      </c>
      <c r="C606" s="5" t="s">
        <v>745</v>
      </c>
      <c r="D606" s="21" t="n">
        <v>21.7329998016357</v>
      </c>
    </row>
    <row r="607" customFormat="false" ht="15" hidden="false" customHeight="false" outlineLevel="0" collapsed="false">
      <c r="A607" s="5" t="s">
        <v>580</v>
      </c>
      <c r="B607" s="2" t="s">
        <v>712</v>
      </c>
      <c r="C607" s="5" t="s">
        <v>746</v>
      </c>
      <c r="D607" s="21" t="n">
        <v>12.4320001602173</v>
      </c>
    </row>
    <row r="608" customFormat="false" ht="15" hidden="false" customHeight="false" outlineLevel="0" collapsed="false">
      <c r="A608" s="5" t="s">
        <v>580</v>
      </c>
      <c r="B608" s="2" t="s">
        <v>712</v>
      </c>
      <c r="C608" s="5" t="s">
        <v>747</v>
      </c>
      <c r="D608" s="21" t="n">
        <v>14.9180002212524</v>
      </c>
    </row>
    <row r="609" customFormat="false" ht="15" hidden="false" customHeight="false" outlineLevel="0" collapsed="false">
      <c r="A609" s="5" t="s">
        <v>580</v>
      </c>
      <c r="B609" s="2" t="s">
        <v>712</v>
      </c>
      <c r="C609" s="5" t="s">
        <v>748</v>
      </c>
      <c r="D609" s="21" t="n">
        <v>46.8899993896484</v>
      </c>
    </row>
    <row r="610" customFormat="false" ht="15" hidden="false" customHeight="false" outlineLevel="0" collapsed="false">
      <c r="A610" s="5" t="s">
        <v>580</v>
      </c>
      <c r="B610" s="2" t="s">
        <v>712</v>
      </c>
      <c r="C610" s="5" t="s">
        <v>749</v>
      </c>
      <c r="D610" s="21" t="n">
        <v>57.7199999094009</v>
      </c>
    </row>
    <row r="611" customFormat="false" ht="15" hidden="false" customHeight="false" outlineLevel="0" collapsed="false">
      <c r="A611" s="5" t="s">
        <v>580</v>
      </c>
      <c r="B611" s="2" t="s">
        <v>712</v>
      </c>
      <c r="C611" s="5" t="s">
        <v>750</v>
      </c>
      <c r="D611" s="21" t="n">
        <v>42.1430015563965</v>
      </c>
    </row>
    <row r="612" customFormat="false" ht="15" hidden="false" customHeight="false" outlineLevel="0" collapsed="false">
      <c r="A612" s="5" t="s">
        <v>580</v>
      </c>
      <c r="B612" s="2" t="s">
        <v>712</v>
      </c>
      <c r="C612" s="5" t="s">
        <v>751</v>
      </c>
      <c r="D612" s="21" t="n">
        <v>5</v>
      </c>
    </row>
    <row r="613" customFormat="false" ht="15" hidden="false" customHeight="false" outlineLevel="0" collapsed="false">
      <c r="A613" s="5" t="s">
        <v>582</v>
      </c>
      <c r="B613" s="2" t="s">
        <v>713</v>
      </c>
      <c r="C613" s="5" t="s">
        <v>744</v>
      </c>
      <c r="D613" s="21" t="n">
        <v>36.6940002441406</v>
      </c>
    </row>
    <row r="614" customFormat="false" ht="15" hidden="false" customHeight="false" outlineLevel="0" collapsed="false">
      <c r="A614" s="5" t="s">
        <v>582</v>
      </c>
      <c r="B614" s="2" t="s">
        <v>713</v>
      </c>
      <c r="C614" s="5" t="s">
        <v>745</v>
      </c>
      <c r="D614" s="21" t="n">
        <v>30.1760005950928</v>
      </c>
    </row>
    <row r="615" customFormat="false" ht="15" hidden="false" customHeight="false" outlineLevel="0" collapsed="false">
      <c r="A615" s="5" t="s">
        <v>582</v>
      </c>
      <c r="B615" s="2" t="s">
        <v>713</v>
      </c>
      <c r="C615" s="5" t="s">
        <v>746</v>
      </c>
      <c r="D615" s="21" t="n">
        <v>17.261999130249</v>
      </c>
    </row>
    <row r="616" customFormat="false" ht="15" hidden="false" customHeight="false" outlineLevel="0" collapsed="false">
      <c r="A616" s="5" t="s">
        <v>582</v>
      </c>
      <c r="B616" s="2" t="s">
        <v>713</v>
      </c>
      <c r="C616" s="5" t="s">
        <v>747</v>
      </c>
      <c r="D616" s="21" t="n">
        <v>20.7140007019043</v>
      </c>
    </row>
    <row r="617" customFormat="false" ht="15" hidden="false" customHeight="false" outlineLevel="0" collapsed="false">
      <c r="A617" s="5" t="s">
        <v>582</v>
      </c>
      <c r="B617" s="2" t="s">
        <v>713</v>
      </c>
      <c r="C617" s="5" t="s">
        <v>748</v>
      </c>
      <c r="D617" s="21" t="n">
        <v>116.348999023438</v>
      </c>
    </row>
    <row r="618" customFormat="false" ht="15" hidden="false" customHeight="false" outlineLevel="0" collapsed="false">
      <c r="A618" s="5" t="s">
        <v>582</v>
      </c>
      <c r="B618" s="2" t="s">
        <v>713</v>
      </c>
      <c r="C618" s="5" t="s">
        <v>749</v>
      </c>
      <c r="D618" s="21" t="n">
        <v>116.161000490189</v>
      </c>
    </row>
    <row r="619" customFormat="false" ht="15" hidden="false" customHeight="false" outlineLevel="0" collapsed="false">
      <c r="A619" s="5" t="s">
        <v>582</v>
      </c>
      <c r="B619" s="2" t="s">
        <v>713</v>
      </c>
      <c r="C619" s="5" t="s">
        <v>750</v>
      </c>
      <c r="D619" s="21" t="n">
        <v>58.515998840332</v>
      </c>
    </row>
    <row r="620" customFormat="false" ht="15" hidden="false" customHeight="false" outlineLevel="0" collapsed="false">
      <c r="A620" s="5" t="s">
        <v>582</v>
      </c>
      <c r="B620" s="2" t="s">
        <v>713</v>
      </c>
      <c r="C620" s="5" t="s">
        <v>751</v>
      </c>
      <c r="D620" s="21" t="n">
        <v>5</v>
      </c>
    </row>
    <row r="621" customFormat="false" ht="15" hidden="false" customHeight="false" outlineLevel="0" collapsed="false">
      <c r="A621" s="5" t="s">
        <v>584</v>
      </c>
      <c r="B621" s="2" t="s">
        <v>714</v>
      </c>
      <c r="C621" s="5" t="s">
        <v>744</v>
      </c>
      <c r="D621" s="21" t="n">
        <v>36.6940002441406</v>
      </c>
    </row>
    <row r="622" customFormat="false" ht="15" hidden="false" customHeight="false" outlineLevel="0" collapsed="false">
      <c r="A622" s="5" t="s">
        <v>584</v>
      </c>
      <c r="B622" s="2" t="s">
        <v>714</v>
      </c>
      <c r="C622" s="5" t="s">
        <v>745</v>
      </c>
      <c r="D622" s="21" t="n">
        <v>30.1760005950928</v>
      </c>
    </row>
    <row r="623" customFormat="false" ht="15" hidden="false" customHeight="false" outlineLevel="0" collapsed="false">
      <c r="A623" s="5" t="s">
        <v>584</v>
      </c>
      <c r="B623" s="2" t="s">
        <v>714</v>
      </c>
      <c r="C623" s="5" t="s">
        <v>746</v>
      </c>
      <c r="D623" s="21" t="n">
        <v>17.261999130249</v>
      </c>
    </row>
    <row r="624" customFormat="false" ht="15" hidden="false" customHeight="false" outlineLevel="0" collapsed="false">
      <c r="A624" s="5" t="s">
        <v>584</v>
      </c>
      <c r="B624" s="2" t="s">
        <v>714</v>
      </c>
      <c r="C624" s="5" t="s">
        <v>747</v>
      </c>
      <c r="D624" s="21" t="n">
        <v>20.7140007019043</v>
      </c>
    </row>
    <row r="625" customFormat="false" ht="15" hidden="false" customHeight="false" outlineLevel="0" collapsed="false">
      <c r="A625" s="5" t="s">
        <v>584</v>
      </c>
      <c r="B625" s="2" t="s">
        <v>714</v>
      </c>
      <c r="C625" s="5" t="s">
        <v>748</v>
      </c>
      <c r="D625" s="21" t="n">
        <v>61.5909996032715</v>
      </c>
    </row>
    <row r="626" customFormat="false" ht="15" hidden="false" customHeight="false" outlineLevel="0" collapsed="false">
      <c r="A626" s="5" t="s">
        <v>584</v>
      </c>
      <c r="B626" s="2" t="s">
        <v>714</v>
      </c>
      <c r="C626" s="5" t="s">
        <v>749</v>
      </c>
      <c r="D626" s="21" t="n">
        <v>71.7879997491837</v>
      </c>
    </row>
    <row r="627" customFormat="false" ht="15" hidden="false" customHeight="false" outlineLevel="0" collapsed="false">
      <c r="A627" s="5" t="s">
        <v>584</v>
      </c>
      <c r="B627" s="2" t="s">
        <v>714</v>
      </c>
      <c r="C627" s="5" t="s">
        <v>750</v>
      </c>
      <c r="D627" s="21" t="n">
        <v>58.515998840332</v>
      </c>
    </row>
    <row r="628" customFormat="false" ht="15" hidden="false" customHeight="false" outlineLevel="0" collapsed="false">
      <c r="A628" s="5" t="s">
        <v>584</v>
      </c>
      <c r="B628" s="2" t="s">
        <v>714</v>
      </c>
      <c r="C628" s="5" t="s">
        <v>751</v>
      </c>
      <c r="D628" s="21" t="n">
        <v>5</v>
      </c>
    </row>
    <row r="629" customFormat="false" ht="15" hidden="false" customHeight="false" outlineLevel="0" collapsed="false">
      <c r="A629" s="5" t="s">
        <v>586</v>
      </c>
      <c r="B629" s="2" t="s">
        <v>715</v>
      </c>
      <c r="C629" s="5" t="s">
        <v>744</v>
      </c>
      <c r="D629" s="21" t="n">
        <v>36.6940002441406</v>
      </c>
    </row>
    <row r="630" customFormat="false" ht="15" hidden="false" customHeight="false" outlineLevel="0" collapsed="false">
      <c r="A630" s="5" t="s">
        <v>586</v>
      </c>
      <c r="B630" s="2" t="s">
        <v>715</v>
      </c>
      <c r="C630" s="5" t="s">
        <v>745</v>
      </c>
      <c r="D630" s="21" t="n">
        <v>30.1760005950928</v>
      </c>
    </row>
    <row r="631" customFormat="false" ht="15" hidden="false" customHeight="false" outlineLevel="0" collapsed="false">
      <c r="A631" s="5" t="s">
        <v>586</v>
      </c>
      <c r="B631" s="2" t="s">
        <v>715</v>
      </c>
      <c r="C631" s="5" t="s">
        <v>746</v>
      </c>
      <c r="D631" s="21" t="n">
        <v>17.261999130249</v>
      </c>
    </row>
    <row r="632" customFormat="false" ht="15" hidden="false" customHeight="false" outlineLevel="0" collapsed="false">
      <c r="A632" s="5" t="s">
        <v>586</v>
      </c>
      <c r="B632" s="2" t="s">
        <v>715</v>
      </c>
      <c r="C632" s="5" t="s">
        <v>747</v>
      </c>
      <c r="D632" s="21" t="n">
        <v>20.7140007019043</v>
      </c>
    </row>
    <row r="633" customFormat="false" ht="15" hidden="false" customHeight="false" outlineLevel="0" collapsed="false">
      <c r="A633" s="5" t="s">
        <v>586</v>
      </c>
      <c r="B633" s="2" t="s">
        <v>715</v>
      </c>
      <c r="C633" s="5" t="s">
        <v>748</v>
      </c>
      <c r="D633" s="21" t="n">
        <v>25.8980007171631</v>
      </c>
    </row>
    <row r="634" customFormat="false" ht="15" hidden="false" customHeight="false" outlineLevel="0" collapsed="false">
      <c r="A634" s="5" t="s">
        <v>586</v>
      </c>
      <c r="B634" s="2" t="s">
        <v>715</v>
      </c>
      <c r="C634" s="5" t="s">
        <v>749</v>
      </c>
      <c r="D634" s="21" t="n">
        <v>50.0730000734329</v>
      </c>
    </row>
    <row r="635" customFormat="false" ht="15" hidden="false" customHeight="false" outlineLevel="0" collapsed="false">
      <c r="A635" s="5" t="s">
        <v>586</v>
      </c>
      <c r="B635" s="2" t="s">
        <v>715</v>
      </c>
      <c r="C635" s="5" t="s">
        <v>750</v>
      </c>
      <c r="D635" s="21" t="n">
        <v>58.515998840332</v>
      </c>
    </row>
    <row r="636" customFormat="false" ht="15" hidden="false" customHeight="false" outlineLevel="0" collapsed="false">
      <c r="A636" s="5" t="s">
        <v>586</v>
      </c>
      <c r="B636" s="2" t="s">
        <v>715</v>
      </c>
      <c r="C636" s="5" t="s">
        <v>751</v>
      </c>
      <c r="D636" s="21" t="n">
        <v>1.5</v>
      </c>
    </row>
    <row r="637" customFormat="false" ht="15" hidden="false" customHeight="false" outlineLevel="0" collapsed="false">
      <c r="A637" s="5" t="s">
        <v>588</v>
      </c>
      <c r="B637" s="2" t="s">
        <v>716</v>
      </c>
      <c r="C637" s="5" t="s">
        <v>744</v>
      </c>
      <c r="D637" s="21" t="n">
        <v>1.26800000667572</v>
      </c>
    </row>
    <row r="638" customFormat="false" ht="15" hidden="false" customHeight="false" outlineLevel="0" collapsed="false">
      <c r="A638" s="5" t="s">
        <v>588</v>
      </c>
      <c r="B638" s="2" t="s">
        <v>716</v>
      </c>
      <c r="C638" s="5" t="s">
        <v>745</v>
      </c>
      <c r="D638" s="21" t="n">
        <v>1.04299998283386</v>
      </c>
    </row>
    <row r="639" customFormat="false" ht="15" hidden="false" customHeight="false" outlineLevel="0" collapsed="false">
      <c r="A639" s="5" t="s">
        <v>588</v>
      </c>
      <c r="B639" s="2" t="s">
        <v>716</v>
      </c>
      <c r="C639" s="5" t="s">
        <v>746</v>
      </c>
      <c r="D639" s="21" t="n">
        <v>0.596000015735626</v>
      </c>
    </row>
    <row r="640" customFormat="false" ht="15" hidden="false" customHeight="false" outlineLevel="0" collapsed="false">
      <c r="A640" s="5" t="s">
        <v>588</v>
      </c>
      <c r="B640" s="2" t="s">
        <v>716</v>
      </c>
      <c r="C640" s="5" t="s">
        <v>747</v>
      </c>
      <c r="D640" s="21" t="n">
        <v>0.716000020503998</v>
      </c>
    </row>
    <row r="641" customFormat="false" ht="15" hidden="false" customHeight="false" outlineLevel="0" collapsed="false">
      <c r="A641" s="5" t="s">
        <v>588</v>
      </c>
      <c r="B641" s="2" t="s">
        <v>716</v>
      </c>
      <c r="C641" s="5" t="s">
        <v>748</v>
      </c>
      <c r="D641" s="21" t="n">
        <v>8.04199981689453</v>
      </c>
    </row>
    <row r="642" customFormat="false" ht="15" hidden="false" customHeight="false" outlineLevel="0" collapsed="false">
      <c r="A642" s="5" t="s">
        <v>588</v>
      </c>
      <c r="B642" s="2" t="s">
        <v>716</v>
      </c>
      <c r="C642" s="5" t="s">
        <v>749</v>
      </c>
      <c r="D642" s="21" t="n">
        <v>4.4340000897646</v>
      </c>
    </row>
    <row r="643" customFormat="false" ht="15" hidden="false" customHeight="false" outlineLevel="0" collapsed="false">
      <c r="A643" s="5" t="s">
        <v>588</v>
      </c>
      <c r="B643" s="2" t="s">
        <v>716</v>
      </c>
      <c r="C643" s="5" t="s">
        <v>750</v>
      </c>
      <c r="D643" s="21" t="n">
        <v>2.0220000743866</v>
      </c>
    </row>
    <row r="644" customFormat="false" ht="15" hidden="false" customHeight="false" outlineLevel="0" collapsed="false">
      <c r="A644" s="5" t="s">
        <v>588</v>
      </c>
      <c r="B644" s="2" t="s">
        <v>716</v>
      </c>
      <c r="C644" s="5" t="s">
        <v>751</v>
      </c>
      <c r="D644" s="21" t="n">
        <v>2</v>
      </c>
    </row>
    <row r="645" customFormat="false" ht="15" hidden="false" customHeight="false" outlineLevel="0" collapsed="false">
      <c r="A645" s="5" t="s">
        <v>590</v>
      </c>
      <c r="B645" s="2" t="s">
        <v>717</v>
      </c>
      <c r="C645" s="5" t="s">
        <v>744</v>
      </c>
      <c r="D645" s="21" t="n">
        <v>1.99399995803833</v>
      </c>
    </row>
    <row r="646" customFormat="false" ht="15" hidden="false" customHeight="false" outlineLevel="0" collapsed="false">
      <c r="A646" s="5" t="s">
        <v>590</v>
      </c>
      <c r="B646" s="2" t="s">
        <v>717</v>
      </c>
      <c r="C646" s="5" t="s">
        <v>745</v>
      </c>
      <c r="D646" s="21" t="n">
        <v>1.63999998569489</v>
      </c>
    </row>
    <row r="647" customFormat="false" ht="15" hidden="false" customHeight="false" outlineLevel="0" collapsed="false">
      <c r="A647" s="5" t="s">
        <v>590</v>
      </c>
      <c r="B647" s="2" t="s">
        <v>717</v>
      </c>
      <c r="C647" s="5" t="s">
        <v>746</v>
      </c>
      <c r="D647" s="21" t="n">
        <v>0.938000023365021</v>
      </c>
    </row>
    <row r="648" customFormat="false" ht="15" hidden="false" customHeight="false" outlineLevel="0" collapsed="false">
      <c r="A648" s="5" t="s">
        <v>590</v>
      </c>
      <c r="B648" s="2" t="s">
        <v>717</v>
      </c>
      <c r="C648" s="5" t="s">
        <v>747</v>
      </c>
      <c r="D648" s="21" t="n">
        <v>1.12600004673004</v>
      </c>
    </row>
    <row r="649" customFormat="false" ht="15" hidden="false" customHeight="false" outlineLevel="0" collapsed="false">
      <c r="A649" s="5" t="s">
        <v>590</v>
      </c>
      <c r="B649" s="2" t="s">
        <v>717</v>
      </c>
      <c r="C649" s="5" t="s">
        <v>748</v>
      </c>
      <c r="D649" s="21" t="n">
        <v>8.10599994659424</v>
      </c>
    </row>
    <row r="650" customFormat="false" ht="15" hidden="false" customHeight="false" outlineLevel="0" collapsed="false">
      <c r="A650" s="5" t="s">
        <v>590</v>
      </c>
      <c r="B650" s="2" t="s">
        <v>717</v>
      </c>
      <c r="C650" s="5" t="s">
        <v>749</v>
      </c>
      <c r="D650" s="21" t="n">
        <v>5.71599994599819</v>
      </c>
    </row>
    <row r="651" customFormat="false" ht="15" hidden="false" customHeight="false" outlineLevel="0" collapsed="false">
      <c r="A651" s="5" t="s">
        <v>590</v>
      </c>
      <c r="B651" s="2" t="s">
        <v>717</v>
      </c>
      <c r="C651" s="5" t="s">
        <v>750</v>
      </c>
      <c r="D651" s="21" t="n">
        <v>3.1800000667572</v>
      </c>
    </row>
    <row r="652" customFormat="false" ht="15" hidden="false" customHeight="false" outlineLevel="0" collapsed="false">
      <c r="A652" s="5" t="s">
        <v>590</v>
      </c>
      <c r="B652" s="2" t="s">
        <v>717</v>
      </c>
      <c r="C652" s="5" t="s">
        <v>751</v>
      </c>
      <c r="D652" s="21" t="n">
        <v>2</v>
      </c>
    </row>
    <row r="653" customFormat="false" ht="15" hidden="false" customHeight="false" outlineLevel="0" collapsed="false">
      <c r="A653" s="5" t="s">
        <v>592</v>
      </c>
      <c r="B653" s="2" t="s">
        <v>718</v>
      </c>
      <c r="C653" s="5" t="s">
        <v>744</v>
      </c>
      <c r="D653" s="21" t="n">
        <v>9.6569995880127</v>
      </c>
    </row>
    <row r="654" customFormat="false" ht="15" hidden="false" customHeight="false" outlineLevel="0" collapsed="false">
      <c r="A654" s="5" t="s">
        <v>592</v>
      </c>
      <c r="B654" s="2" t="s">
        <v>718</v>
      </c>
      <c r="C654" s="5" t="s">
        <v>745</v>
      </c>
      <c r="D654" s="21" t="n">
        <v>7.94099998474121</v>
      </c>
    </row>
    <row r="655" customFormat="false" ht="15" hidden="false" customHeight="false" outlineLevel="0" collapsed="false">
      <c r="A655" s="5" t="s">
        <v>592</v>
      </c>
      <c r="B655" s="2" t="s">
        <v>718</v>
      </c>
      <c r="C655" s="5" t="s">
        <v>746</v>
      </c>
      <c r="D655" s="21" t="n">
        <v>4.54300022125244</v>
      </c>
    </row>
    <row r="656" customFormat="false" ht="15" hidden="false" customHeight="false" outlineLevel="0" collapsed="false">
      <c r="A656" s="5" t="s">
        <v>592</v>
      </c>
      <c r="B656" s="2" t="s">
        <v>718</v>
      </c>
      <c r="C656" s="5" t="s">
        <v>747</v>
      </c>
      <c r="D656" s="21" t="n">
        <v>5.45100021362305</v>
      </c>
    </row>
    <row r="657" customFormat="false" ht="15" hidden="false" customHeight="false" outlineLevel="0" collapsed="false">
      <c r="A657" s="5" t="s">
        <v>592</v>
      </c>
      <c r="B657" s="2" t="s">
        <v>718</v>
      </c>
      <c r="C657" s="5" t="s">
        <v>748</v>
      </c>
      <c r="D657" s="21" t="n">
        <v>33.5919990539551</v>
      </c>
    </row>
    <row r="658" customFormat="false" ht="15" hidden="false" customHeight="false" outlineLevel="0" collapsed="false">
      <c r="A658" s="5" t="s">
        <v>592</v>
      </c>
      <c r="B658" s="2" t="s">
        <v>718</v>
      </c>
      <c r="C658" s="5" t="s">
        <v>749</v>
      </c>
      <c r="D658" s="21" t="n">
        <v>47.3580006957054</v>
      </c>
    </row>
    <row r="659" customFormat="false" ht="15" hidden="false" customHeight="false" outlineLevel="0" collapsed="false">
      <c r="A659" s="5" t="s">
        <v>592</v>
      </c>
      <c r="B659" s="2" t="s">
        <v>718</v>
      </c>
      <c r="C659" s="5" t="s">
        <v>750</v>
      </c>
      <c r="D659" s="21" t="n">
        <v>15.3990001678467</v>
      </c>
    </row>
    <row r="660" customFormat="false" ht="15" hidden="false" customHeight="false" outlineLevel="0" collapsed="false">
      <c r="A660" s="5" t="s">
        <v>592</v>
      </c>
      <c r="B660" s="2" t="s">
        <v>718</v>
      </c>
      <c r="C660" s="5" t="s">
        <v>751</v>
      </c>
      <c r="D660" s="21" t="n">
        <v>10</v>
      </c>
    </row>
    <row r="661" customFormat="false" ht="15" hidden="false" customHeight="false" outlineLevel="0" collapsed="false">
      <c r="A661" s="5" t="s">
        <v>594</v>
      </c>
      <c r="B661" s="2" t="s">
        <v>719</v>
      </c>
      <c r="C661" s="5" t="s">
        <v>744</v>
      </c>
      <c r="D661" s="21" t="n">
        <v>15.8219995498657</v>
      </c>
    </row>
    <row r="662" customFormat="false" ht="15" hidden="false" customHeight="false" outlineLevel="0" collapsed="false">
      <c r="A662" s="5" t="s">
        <v>594</v>
      </c>
      <c r="B662" s="2" t="s">
        <v>719</v>
      </c>
      <c r="C662" s="5" t="s">
        <v>745</v>
      </c>
      <c r="D662" s="21" t="n">
        <v>13.0109996795654</v>
      </c>
    </row>
    <row r="663" customFormat="false" ht="15" hidden="false" customHeight="false" outlineLevel="0" collapsed="false">
      <c r="A663" s="5" t="s">
        <v>594</v>
      </c>
      <c r="B663" s="2" t="s">
        <v>719</v>
      </c>
      <c r="C663" s="5" t="s">
        <v>746</v>
      </c>
      <c r="D663" s="21" t="n">
        <v>7.44299983978272</v>
      </c>
    </row>
    <row r="664" customFormat="false" ht="15" hidden="false" customHeight="false" outlineLevel="0" collapsed="false">
      <c r="A664" s="5" t="s">
        <v>594</v>
      </c>
      <c r="B664" s="2" t="s">
        <v>719</v>
      </c>
      <c r="C664" s="5" t="s">
        <v>747</v>
      </c>
      <c r="D664" s="21" t="n">
        <v>8.93200016021729</v>
      </c>
    </row>
    <row r="665" customFormat="false" ht="15" hidden="false" customHeight="false" outlineLevel="0" collapsed="false">
      <c r="A665" s="5" t="s">
        <v>594</v>
      </c>
      <c r="B665" s="2" t="s">
        <v>719</v>
      </c>
      <c r="C665" s="5" t="s">
        <v>748</v>
      </c>
      <c r="D665" s="21" t="n">
        <v>38.5509986877441</v>
      </c>
    </row>
    <row r="666" customFormat="false" ht="15" hidden="false" customHeight="false" outlineLevel="0" collapsed="false">
      <c r="A666" s="5" t="s">
        <v>594</v>
      </c>
      <c r="B666" s="2" t="s">
        <v>719</v>
      </c>
      <c r="C666" s="5" t="s">
        <v>749</v>
      </c>
      <c r="D666" s="21" t="n">
        <v>61.6869996786118</v>
      </c>
    </row>
    <row r="667" customFormat="false" ht="15" hidden="false" customHeight="false" outlineLevel="0" collapsed="false">
      <c r="A667" s="5" t="s">
        <v>594</v>
      </c>
      <c r="B667" s="2" t="s">
        <v>719</v>
      </c>
      <c r="C667" s="5" t="s">
        <v>750</v>
      </c>
      <c r="D667" s="21" t="n">
        <v>25.2310009002686</v>
      </c>
    </row>
    <row r="668" customFormat="false" ht="15" hidden="false" customHeight="false" outlineLevel="0" collapsed="false">
      <c r="A668" s="5" t="s">
        <v>594</v>
      </c>
      <c r="B668" s="2" t="s">
        <v>719</v>
      </c>
      <c r="C668" s="5" t="s">
        <v>751</v>
      </c>
      <c r="D668" s="21" t="n">
        <v>10</v>
      </c>
    </row>
    <row r="669" customFormat="false" ht="15" hidden="false" customHeight="false" outlineLevel="0" collapsed="false">
      <c r="A669" s="5" t="s">
        <v>596</v>
      </c>
      <c r="B669" s="2" t="s">
        <v>720</v>
      </c>
      <c r="C669" s="5" t="s">
        <v>744</v>
      </c>
      <c r="D669" s="21" t="n">
        <v>15.8219995498657</v>
      </c>
    </row>
    <row r="670" customFormat="false" ht="15" hidden="false" customHeight="false" outlineLevel="0" collapsed="false">
      <c r="A670" s="5" t="s">
        <v>596</v>
      </c>
      <c r="B670" s="2" t="s">
        <v>720</v>
      </c>
      <c r="C670" s="5" t="s">
        <v>745</v>
      </c>
      <c r="D670" s="21" t="n">
        <v>13.0109996795654</v>
      </c>
    </row>
    <row r="671" customFormat="false" ht="15" hidden="false" customHeight="false" outlineLevel="0" collapsed="false">
      <c r="A671" s="5" t="s">
        <v>596</v>
      </c>
      <c r="B671" s="2" t="s">
        <v>720</v>
      </c>
      <c r="C671" s="5" t="s">
        <v>746</v>
      </c>
      <c r="D671" s="21" t="n">
        <v>7.44299983978272</v>
      </c>
    </row>
    <row r="672" customFormat="false" ht="15" hidden="false" customHeight="false" outlineLevel="0" collapsed="false">
      <c r="A672" s="5" t="s">
        <v>596</v>
      </c>
      <c r="B672" s="2" t="s">
        <v>720</v>
      </c>
      <c r="C672" s="5" t="s">
        <v>747</v>
      </c>
      <c r="D672" s="21" t="n">
        <v>8.93200016021729</v>
      </c>
    </row>
    <row r="673" customFormat="false" ht="15" hidden="false" customHeight="false" outlineLevel="0" collapsed="false">
      <c r="A673" s="5" t="s">
        <v>596</v>
      </c>
      <c r="B673" s="2" t="s">
        <v>720</v>
      </c>
      <c r="C673" s="5" t="s">
        <v>748</v>
      </c>
      <c r="D673" s="21" t="n">
        <v>35.5390014648438</v>
      </c>
    </row>
    <row r="674" customFormat="false" ht="15" hidden="false" customHeight="false" outlineLevel="0" collapsed="false">
      <c r="A674" s="5" t="s">
        <v>596</v>
      </c>
      <c r="B674" s="2" t="s">
        <v>720</v>
      </c>
      <c r="C674" s="5" t="s">
        <v>749</v>
      </c>
      <c r="D674" s="21" t="n">
        <v>35.6750005483627</v>
      </c>
    </row>
    <row r="675" customFormat="false" ht="15" hidden="false" customHeight="false" outlineLevel="0" collapsed="false">
      <c r="A675" s="5" t="s">
        <v>596</v>
      </c>
      <c r="B675" s="2" t="s">
        <v>720</v>
      </c>
      <c r="C675" s="5" t="s">
        <v>750</v>
      </c>
      <c r="D675" s="21" t="n">
        <v>25.2310009002686</v>
      </c>
    </row>
    <row r="676" customFormat="false" ht="15" hidden="false" customHeight="false" outlineLevel="0" collapsed="false">
      <c r="A676" s="5" t="s">
        <v>596</v>
      </c>
      <c r="B676" s="2" t="s">
        <v>720</v>
      </c>
      <c r="C676" s="5" t="s">
        <v>751</v>
      </c>
      <c r="D676" s="21" t="n">
        <v>10</v>
      </c>
    </row>
    <row r="677" customFormat="false" ht="15" hidden="false" customHeight="false" outlineLevel="0" collapsed="false">
      <c r="A677" s="5" t="s">
        <v>598</v>
      </c>
      <c r="B677" s="2" t="s">
        <v>721</v>
      </c>
      <c r="C677" s="5" t="s">
        <v>744</v>
      </c>
      <c r="D677" s="21" t="n">
        <v>5.11299991607666</v>
      </c>
    </row>
    <row r="678" customFormat="false" ht="15" hidden="false" customHeight="false" outlineLevel="0" collapsed="false">
      <c r="A678" s="5" t="s">
        <v>598</v>
      </c>
      <c r="B678" s="2" t="s">
        <v>721</v>
      </c>
      <c r="C678" s="5" t="s">
        <v>745</v>
      </c>
      <c r="D678" s="21" t="n">
        <v>4.20499992370606</v>
      </c>
    </row>
    <row r="679" customFormat="false" ht="15" hidden="false" customHeight="false" outlineLevel="0" collapsed="false">
      <c r="A679" s="5" t="s">
        <v>598</v>
      </c>
      <c r="B679" s="2" t="s">
        <v>721</v>
      </c>
      <c r="C679" s="5" t="s">
        <v>746</v>
      </c>
      <c r="D679" s="21" t="n">
        <v>2.40499997138977</v>
      </c>
    </row>
    <row r="680" customFormat="false" ht="15" hidden="false" customHeight="false" outlineLevel="0" collapsed="false">
      <c r="A680" s="5" t="s">
        <v>598</v>
      </c>
      <c r="B680" s="2" t="s">
        <v>721</v>
      </c>
      <c r="C680" s="5" t="s">
        <v>747</v>
      </c>
      <c r="D680" s="21" t="n">
        <v>2.88599991798401</v>
      </c>
    </row>
    <row r="681" customFormat="false" ht="15" hidden="false" customHeight="false" outlineLevel="0" collapsed="false">
      <c r="A681" s="5" t="s">
        <v>598</v>
      </c>
      <c r="B681" s="2" t="s">
        <v>721</v>
      </c>
      <c r="C681" s="5" t="s">
        <v>748</v>
      </c>
      <c r="D681" s="21" t="n">
        <v>12.6370000839233</v>
      </c>
    </row>
    <row r="682" customFormat="false" ht="15" hidden="false" customHeight="false" outlineLevel="0" collapsed="false">
      <c r="A682" s="5" t="s">
        <v>598</v>
      </c>
      <c r="B682" s="2" t="s">
        <v>721</v>
      </c>
      <c r="C682" s="5" t="s">
        <v>749</v>
      </c>
      <c r="D682" s="21" t="n">
        <v>10.5460000187159</v>
      </c>
    </row>
    <row r="683" customFormat="false" ht="15" hidden="false" customHeight="false" outlineLevel="0" collapsed="false">
      <c r="A683" s="5" t="s">
        <v>598</v>
      </c>
      <c r="B683" s="2" t="s">
        <v>721</v>
      </c>
      <c r="C683" s="5" t="s">
        <v>750</v>
      </c>
      <c r="D683" s="21" t="n">
        <v>8.15299987792969</v>
      </c>
    </row>
    <row r="684" customFormat="false" ht="15" hidden="false" customHeight="false" outlineLevel="0" collapsed="false">
      <c r="A684" s="5" t="s">
        <v>598</v>
      </c>
      <c r="B684" s="2" t="s">
        <v>721</v>
      </c>
      <c r="C684" s="5" t="s">
        <v>751</v>
      </c>
      <c r="D684" s="21" t="n">
        <v>1.5</v>
      </c>
    </row>
    <row r="685" customFormat="false" ht="15" hidden="false" customHeight="false" outlineLevel="0" collapsed="false">
      <c r="A685" s="5" t="s">
        <v>600</v>
      </c>
      <c r="B685" s="2" t="s">
        <v>722</v>
      </c>
      <c r="C685" s="5" t="s">
        <v>744</v>
      </c>
      <c r="D685" s="21" t="n">
        <v>76.1859970092773</v>
      </c>
    </row>
    <row r="686" customFormat="false" ht="15" hidden="false" customHeight="false" outlineLevel="0" collapsed="false">
      <c r="A686" s="5" t="s">
        <v>600</v>
      </c>
      <c r="B686" s="2" t="s">
        <v>722</v>
      </c>
      <c r="C686" s="5" t="s">
        <v>745</v>
      </c>
      <c r="D686" s="21" t="n">
        <v>62.6520004272461</v>
      </c>
    </row>
    <row r="687" customFormat="false" ht="15" hidden="false" customHeight="false" outlineLevel="0" collapsed="false">
      <c r="A687" s="5" t="s">
        <v>600</v>
      </c>
      <c r="B687" s="2" t="s">
        <v>722</v>
      </c>
      <c r="C687" s="5" t="s">
        <v>746</v>
      </c>
      <c r="D687" s="21" t="n">
        <v>35.8400001525879</v>
      </c>
    </row>
    <row r="688" customFormat="false" ht="15" hidden="false" customHeight="false" outlineLevel="0" collapsed="false">
      <c r="A688" s="5" t="s">
        <v>600</v>
      </c>
      <c r="B688" s="2" t="s">
        <v>722</v>
      </c>
      <c r="C688" s="5" t="s">
        <v>747</v>
      </c>
      <c r="D688" s="21" t="n">
        <v>43.007999420166</v>
      </c>
    </row>
    <row r="689" customFormat="false" ht="15" hidden="false" customHeight="false" outlineLevel="0" collapsed="false">
      <c r="A689" s="5" t="s">
        <v>600</v>
      </c>
      <c r="B689" s="2" t="s">
        <v>722</v>
      </c>
      <c r="C689" s="5" t="s">
        <v>748</v>
      </c>
      <c r="D689" s="21" t="n">
        <v>50.1030006408691</v>
      </c>
    </row>
    <row r="690" customFormat="false" ht="15" hidden="false" customHeight="false" outlineLevel="0" collapsed="false">
      <c r="A690" s="5" t="s">
        <v>600</v>
      </c>
      <c r="B690" s="2" t="s">
        <v>722</v>
      </c>
      <c r="C690" s="5" t="s">
        <v>749</v>
      </c>
      <c r="D690" s="21" t="n">
        <v>100.751000404358</v>
      </c>
    </row>
    <row r="691" customFormat="false" ht="15" hidden="false" customHeight="false" outlineLevel="0" collapsed="false">
      <c r="A691" s="5" t="s">
        <v>600</v>
      </c>
      <c r="B691" s="2" t="s">
        <v>722</v>
      </c>
      <c r="C691" s="5" t="s">
        <v>750</v>
      </c>
      <c r="D691" s="21" t="n">
        <v>121.494003295898</v>
      </c>
    </row>
    <row r="692" customFormat="false" ht="15" hidden="false" customHeight="false" outlineLevel="0" collapsed="false">
      <c r="A692" s="5" t="s">
        <v>600</v>
      </c>
      <c r="B692" s="2" t="s">
        <v>722</v>
      </c>
      <c r="C692" s="5" t="s">
        <v>751</v>
      </c>
      <c r="D692" s="21" t="n">
        <v>1</v>
      </c>
    </row>
    <row r="693" customFormat="false" ht="15" hidden="false" customHeight="false" outlineLevel="0" collapsed="false">
      <c r="A693" s="5" t="s">
        <v>602</v>
      </c>
      <c r="B693" s="2" t="s">
        <v>723</v>
      </c>
      <c r="C693" s="5" t="s">
        <v>744</v>
      </c>
      <c r="D693" s="21" t="n">
        <v>8.12399959564209</v>
      </c>
    </row>
    <row r="694" customFormat="false" ht="15" hidden="false" customHeight="false" outlineLevel="0" collapsed="false">
      <c r="A694" s="5" t="s">
        <v>602</v>
      </c>
      <c r="B694" s="2" t="s">
        <v>723</v>
      </c>
      <c r="C694" s="5" t="s">
        <v>745</v>
      </c>
      <c r="D694" s="21" t="n">
        <v>6.68100023269653</v>
      </c>
    </row>
    <row r="695" customFormat="false" ht="15" hidden="false" customHeight="false" outlineLevel="0" collapsed="false">
      <c r="A695" s="5" t="s">
        <v>602</v>
      </c>
      <c r="B695" s="2" t="s">
        <v>723</v>
      </c>
      <c r="C695" s="5" t="s">
        <v>746</v>
      </c>
      <c r="D695" s="21" t="n">
        <v>3.82200002670288</v>
      </c>
    </row>
    <row r="696" customFormat="false" ht="15" hidden="false" customHeight="false" outlineLevel="0" collapsed="false">
      <c r="A696" s="5" t="s">
        <v>602</v>
      </c>
      <c r="B696" s="2" t="s">
        <v>723</v>
      </c>
      <c r="C696" s="5" t="s">
        <v>747</v>
      </c>
      <c r="D696" s="21" t="n">
        <v>4.58599996566773</v>
      </c>
    </row>
    <row r="697" customFormat="false" ht="15" hidden="false" customHeight="false" outlineLevel="0" collapsed="false">
      <c r="A697" s="5" t="s">
        <v>602</v>
      </c>
      <c r="B697" s="2" t="s">
        <v>723</v>
      </c>
      <c r="C697" s="5" t="s">
        <v>748</v>
      </c>
      <c r="D697" s="21" t="n">
        <v>12.4650001525879</v>
      </c>
    </row>
    <row r="698" customFormat="false" ht="15" hidden="false" customHeight="false" outlineLevel="0" collapsed="false">
      <c r="A698" s="5" t="s">
        <v>602</v>
      </c>
      <c r="B698" s="2" t="s">
        <v>723</v>
      </c>
      <c r="C698" s="5" t="s">
        <v>749</v>
      </c>
      <c r="D698" s="21" t="n">
        <v>14.6530000269413</v>
      </c>
    </row>
    <row r="699" customFormat="false" ht="15" hidden="false" customHeight="false" outlineLevel="0" collapsed="false">
      <c r="A699" s="5" t="s">
        <v>602</v>
      </c>
      <c r="B699" s="2" t="s">
        <v>723</v>
      </c>
      <c r="C699" s="5" t="s">
        <v>750</v>
      </c>
      <c r="D699" s="21" t="n">
        <v>12.956000328064</v>
      </c>
    </row>
    <row r="700" customFormat="false" ht="15" hidden="false" customHeight="false" outlineLevel="0" collapsed="false">
      <c r="A700" s="5" t="s">
        <v>602</v>
      </c>
      <c r="B700" s="2" t="s">
        <v>723</v>
      </c>
      <c r="C700" s="5" t="s">
        <v>751</v>
      </c>
      <c r="D700" s="21" t="n">
        <v>1.5</v>
      </c>
    </row>
    <row r="701" customFormat="false" ht="15" hidden="false" customHeight="false" outlineLevel="0" collapsed="false">
      <c r="A701" s="5" t="s">
        <v>604</v>
      </c>
      <c r="B701" s="2" t="s">
        <v>724</v>
      </c>
      <c r="C701" s="5" t="s">
        <v>744</v>
      </c>
      <c r="D701" s="21" t="n">
        <v>94.2200012207031</v>
      </c>
    </row>
    <row r="702" customFormat="false" ht="15" hidden="false" customHeight="false" outlineLevel="0" collapsed="false">
      <c r="A702" s="5" t="s">
        <v>604</v>
      </c>
      <c r="B702" s="2" t="s">
        <v>724</v>
      </c>
      <c r="C702" s="5" t="s">
        <v>745</v>
      </c>
      <c r="D702" s="21" t="n">
        <v>77.4830017089844</v>
      </c>
    </row>
    <row r="703" customFormat="false" ht="15" hidden="false" customHeight="false" outlineLevel="0" collapsed="false">
      <c r="A703" s="5" t="s">
        <v>604</v>
      </c>
      <c r="B703" s="2" t="s">
        <v>724</v>
      </c>
      <c r="C703" s="5" t="s">
        <v>746</v>
      </c>
      <c r="D703" s="21" t="n">
        <v>44.3240013122559</v>
      </c>
    </row>
    <row r="704" customFormat="false" ht="15" hidden="false" customHeight="false" outlineLevel="0" collapsed="false">
      <c r="A704" s="5" t="s">
        <v>604</v>
      </c>
      <c r="B704" s="2" t="s">
        <v>724</v>
      </c>
      <c r="C704" s="5" t="s">
        <v>747</v>
      </c>
      <c r="D704" s="21" t="n">
        <v>53.1889991760254</v>
      </c>
    </row>
    <row r="705" customFormat="false" ht="15" hidden="false" customHeight="false" outlineLevel="0" collapsed="false">
      <c r="A705" s="5" t="s">
        <v>604</v>
      </c>
      <c r="B705" s="2" t="s">
        <v>724</v>
      </c>
      <c r="C705" s="5" t="s">
        <v>748</v>
      </c>
      <c r="D705" s="21" t="n">
        <v>55.2849998474121</v>
      </c>
    </row>
    <row r="706" customFormat="false" ht="15" hidden="false" customHeight="false" outlineLevel="0" collapsed="false">
      <c r="A706" s="5" t="s">
        <v>604</v>
      </c>
      <c r="B706" s="2" t="s">
        <v>724</v>
      </c>
      <c r="C706" s="5" t="s">
        <v>749</v>
      </c>
      <c r="D706" s="21" t="n">
        <v>121.875999450684</v>
      </c>
    </row>
    <row r="707" customFormat="false" ht="15" hidden="false" customHeight="false" outlineLevel="0" collapsed="false">
      <c r="A707" s="5" t="s">
        <v>604</v>
      </c>
      <c r="B707" s="2" t="s">
        <v>724</v>
      </c>
      <c r="C707" s="5" t="s">
        <v>750</v>
      </c>
      <c r="D707" s="21" t="n">
        <v>150.253997802734</v>
      </c>
    </row>
    <row r="708" customFormat="false" ht="15" hidden="false" customHeight="false" outlineLevel="0" collapsed="false">
      <c r="A708" s="5" t="s">
        <v>604</v>
      </c>
      <c r="B708" s="2" t="s">
        <v>724</v>
      </c>
      <c r="C708" s="5" t="s">
        <v>751</v>
      </c>
      <c r="D708" s="21" t="n">
        <v>1</v>
      </c>
    </row>
    <row r="709" customFormat="false" ht="15" hidden="false" customHeight="false" outlineLevel="0" collapsed="false">
      <c r="A709" s="5" t="s">
        <v>606</v>
      </c>
      <c r="B709" s="2" t="s">
        <v>725</v>
      </c>
      <c r="C709" s="5" t="s">
        <v>744</v>
      </c>
      <c r="D709" s="21" t="n">
        <v>123.802001953125</v>
      </c>
    </row>
    <row r="710" customFormat="false" ht="15" hidden="false" customHeight="false" outlineLevel="0" collapsed="false">
      <c r="A710" s="5" t="s">
        <v>606</v>
      </c>
      <c r="B710" s="2" t="s">
        <v>725</v>
      </c>
      <c r="C710" s="5" t="s">
        <v>745</v>
      </c>
      <c r="D710" s="21" t="n">
        <v>101.809997558594</v>
      </c>
    </row>
    <row r="711" customFormat="false" ht="15" hidden="false" customHeight="false" outlineLevel="0" collapsed="false">
      <c r="A711" s="5" t="s">
        <v>606</v>
      </c>
      <c r="B711" s="2" t="s">
        <v>725</v>
      </c>
      <c r="C711" s="5" t="s">
        <v>746</v>
      </c>
      <c r="D711" s="21" t="n">
        <v>58.2400016784668</v>
      </c>
    </row>
    <row r="712" customFormat="false" ht="15" hidden="false" customHeight="false" outlineLevel="0" collapsed="false">
      <c r="A712" s="5" t="s">
        <v>606</v>
      </c>
      <c r="B712" s="2" t="s">
        <v>725</v>
      </c>
      <c r="C712" s="5" t="s">
        <v>747</v>
      </c>
      <c r="D712" s="21" t="n">
        <v>69.8880004882813</v>
      </c>
    </row>
    <row r="713" customFormat="false" ht="15" hidden="false" customHeight="false" outlineLevel="0" collapsed="false">
      <c r="A713" s="5" t="s">
        <v>606</v>
      </c>
      <c r="B713" s="2" t="s">
        <v>725</v>
      </c>
      <c r="C713" s="5" t="s">
        <v>748</v>
      </c>
      <c r="D713" s="21" t="n">
        <v>64.6630020141602</v>
      </c>
    </row>
    <row r="714" customFormat="false" ht="15" hidden="false" customHeight="false" outlineLevel="0" collapsed="false">
      <c r="A714" s="5" t="s">
        <v>606</v>
      </c>
      <c r="B714" s="2" t="s">
        <v>725</v>
      </c>
      <c r="C714" s="5" t="s">
        <v>749</v>
      </c>
      <c r="D714" s="21" t="n">
        <v>157.797998428345</v>
      </c>
    </row>
    <row r="715" customFormat="false" ht="15" hidden="false" customHeight="false" outlineLevel="0" collapsed="false">
      <c r="A715" s="5" t="s">
        <v>606</v>
      </c>
      <c r="B715" s="2" t="s">
        <v>725</v>
      </c>
      <c r="C715" s="5" t="s">
        <v>750</v>
      </c>
      <c r="D715" s="21" t="n">
        <v>197.427993774414</v>
      </c>
    </row>
    <row r="716" customFormat="false" ht="15" hidden="false" customHeight="false" outlineLevel="0" collapsed="false">
      <c r="A716" s="5" t="s">
        <v>606</v>
      </c>
      <c r="B716" s="2" t="s">
        <v>725</v>
      </c>
      <c r="C716" s="5" t="s">
        <v>751</v>
      </c>
      <c r="D716" s="21" t="n">
        <v>1</v>
      </c>
    </row>
    <row r="717" customFormat="false" ht="15" hidden="false" customHeight="false" outlineLevel="0" collapsed="false">
      <c r="A717" s="5" t="s">
        <v>608</v>
      </c>
      <c r="B717" s="2" t="s">
        <v>726</v>
      </c>
      <c r="C717" s="5" t="s">
        <v>744</v>
      </c>
      <c r="D717" s="21" t="n">
        <v>12.9160003662109</v>
      </c>
    </row>
    <row r="718" customFormat="false" ht="15" hidden="false" customHeight="false" outlineLevel="0" collapsed="false">
      <c r="A718" s="5" t="s">
        <v>608</v>
      </c>
      <c r="B718" s="2" t="s">
        <v>726</v>
      </c>
      <c r="C718" s="5" t="s">
        <v>745</v>
      </c>
      <c r="D718" s="21" t="n">
        <v>10.6219997406006</v>
      </c>
    </row>
    <row r="719" customFormat="false" ht="15" hidden="false" customHeight="false" outlineLevel="0" collapsed="false">
      <c r="A719" s="5" t="s">
        <v>608</v>
      </c>
      <c r="B719" s="2" t="s">
        <v>726</v>
      </c>
      <c r="C719" s="5" t="s">
        <v>746</v>
      </c>
      <c r="D719" s="21" t="n">
        <v>6.07600021362305</v>
      </c>
    </row>
    <row r="720" customFormat="false" ht="15" hidden="false" customHeight="false" outlineLevel="0" collapsed="false">
      <c r="A720" s="5" t="s">
        <v>608</v>
      </c>
      <c r="B720" s="2" t="s">
        <v>726</v>
      </c>
      <c r="C720" s="5" t="s">
        <v>747</v>
      </c>
      <c r="D720" s="21" t="n">
        <v>7.29099988937378</v>
      </c>
    </row>
    <row r="721" customFormat="false" ht="15" hidden="false" customHeight="false" outlineLevel="0" collapsed="false">
      <c r="A721" s="5" t="s">
        <v>608</v>
      </c>
      <c r="B721" s="2" t="s">
        <v>726</v>
      </c>
      <c r="C721" s="5" t="s">
        <v>748</v>
      </c>
      <c r="D721" s="21" t="n">
        <v>14.9309997558594</v>
      </c>
    </row>
    <row r="722" customFormat="false" ht="15" hidden="false" customHeight="false" outlineLevel="0" collapsed="false">
      <c r="A722" s="5" t="s">
        <v>608</v>
      </c>
      <c r="B722" s="2" t="s">
        <v>726</v>
      </c>
      <c r="C722" s="5" t="s">
        <v>749</v>
      </c>
      <c r="D722" s="21" t="n">
        <v>20.3520001471043</v>
      </c>
    </row>
    <row r="723" customFormat="false" ht="15" hidden="false" customHeight="false" outlineLevel="0" collapsed="false">
      <c r="A723" s="5" t="s">
        <v>608</v>
      </c>
      <c r="B723" s="2" t="s">
        <v>726</v>
      </c>
      <c r="C723" s="5" t="s">
        <v>750</v>
      </c>
      <c r="D723" s="21" t="n">
        <v>20.5970001220703</v>
      </c>
    </row>
    <row r="724" customFormat="false" ht="15" hidden="false" customHeight="false" outlineLevel="0" collapsed="false">
      <c r="A724" s="5" t="s">
        <v>608</v>
      </c>
      <c r="B724" s="2" t="s">
        <v>726</v>
      </c>
      <c r="C724" s="5" t="s">
        <v>751</v>
      </c>
      <c r="D724" s="21" t="n">
        <v>1.5</v>
      </c>
    </row>
    <row r="725" customFormat="false" ht="15" hidden="false" customHeight="false" outlineLevel="0" collapsed="false">
      <c r="A725" s="5" t="s">
        <v>610</v>
      </c>
      <c r="B725" s="2" t="s">
        <v>727</v>
      </c>
      <c r="C725" s="5" t="s">
        <v>744</v>
      </c>
      <c r="D725" s="21" t="n">
        <v>17.9750003814697</v>
      </c>
    </row>
    <row r="726" customFormat="false" ht="15" hidden="false" customHeight="false" outlineLevel="0" collapsed="false">
      <c r="A726" s="5" t="s">
        <v>610</v>
      </c>
      <c r="B726" s="2" t="s">
        <v>727</v>
      </c>
      <c r="C726" s="5" t="s">
        <v>745</v>
      </c>
      <c r="D726" s="21" t="n">
        <v>14.7819995880127</v>
      </c>
    </row>
    <row r="727" customFormat="false" ht="15" hidden="false" customHeight="false" outlineLevel="0" collapsed="false">
      <c r="A727" s="5" t="s">
        <v>610</v>
      </c>
      <c r="B727" s="2" t="s">
        <v>727</v>
      </c>
      <c r="C727" s="5" t="s">
        <v>746</v>
      </c>
      <c r="D727" s="21" t="n">
        <v>8.45600032806397</v>
      </c>
    </row>
    <row r="728" customFormat="false" ht="15" hidden="false" customHeight="false" outlineLevel="0" collapsed="false">
      <c r="A728" s="5" t="s">
        <v>610</v>
      </c>
      <c r="B728" s="2" t="s">
        <v>727</v>
      </c>
      <c r="C728" s="5" t="s">
        <v>747</v>
      </c>
      <c r="D728" s="21" t="n">
        <v>10.1470003128052</v>
      </c>
    </row>
    <row r="729" customFormat="false" ht="15" hidden="false" customHeight="false" outlineLevel="0" collapsed="false">
      <c r="A729" s="5" t="s">
        <v>610</v>
      </c>
      <c r="B729" s="2" t="s">
        <v>727</v>
      </c>
      <c r="C729" s="5" t="s">
        <v>748</v>
      </c>
      <c r="D729" s="21" t="n">
        <v>18.2080001831055</v>
      </c>
    </row>
    <row r="730" customFormat="false" ht="15" hidden="false" customHeight="false" outlineLevel="0" collapsed="false">
      <c r="A730" s="5" t="s">
        <v>610</v>
      </c>
      <c r="B730" s="2" t="s">
        <v>727</v>
      </c>
      <c r="C730" s="5" t="s">
        <v>749</v>
      </c>
      <c r="D730" s="21" t="n">
        <v>26.110000282526</v>
      </c>
    </row>
    <row r="731" customFormat="false" ht="15" hidden="false" customHeight="false" outlineLevel="0" collapsed="false">
      <c r="A731" s="5" t="s">
        <v>610</v>
      </c>
      <c r="B731" s="2" t="s">
        <v>727</v>
      </c>
      <c r="C731" s="5" t="s">
        <v>750</v>
      </c>
      <c r="D731" s="21" t="n">
        <v>28.6650009155273</v>
      </c>
    </row>
    <row r="732" customFormat="false" ht="15" hidden="false" customHeight="false" outlineLevel="0" collapsed="false">
      <c r="A732" s="5" t="s">
        <v>610</v>
      </c>
      <c r="B732" s="2" t="s">
        <v>727</v>
      </c>
      <c r="C732" s="5" t="s">
        <v>751</v>
      </c>
      <c r="D732" s="21" t="n">
        <v>1.5</v>
      </c>
    </row>
    <row r="733" customFormat="false" ht="15" hidden="false" customHeight="false" outlineLevel="0" collapsed="false">
      <c r="A733" s="5" t="s">
        <v>612</v>
      </c>
      <c r="B733" s="2" t="s">
        <v>728</v>
      </c>
      <c r="C733" s="5" t="s">
        <v>744</v>
      </c>
      <c r="D733" s="21" t="n">
        <v>24.3439998626709</v>
      </c>
    </row>
    <row r="734" customFormat="false" ht="15" hidden="false" customHeight="false" outlineLevel="0" collapsed="false">
      <c r="A734" s="5" t="s">
        <v>612</v>
      </c>
      <c r="B734" s="2" t="s">
        <v>728</v>
      </c>
      <c r="C734" s="5" t="s">
        <v>745</v>
      </c>
      <c r="D734" s="21" t="n">
        <v>20.0189990997314</v>
      </c>
    </row>
    <row r="735" customFormat="false" ht="15" hidden="false" customHeight="false" outlineLevel="0" collapsed="false">
      <c r="A735" s="5" t="s">
        <v>612</v>
      </c>
      <c r="B735" s="2" t="s">
        <v>728</v>
      </c>
      <c r="C735" s="5" t="s">
        <v>746</v>
      </c>
      <c r="D735" s="21" t="n">
        <v>11.4519996643066</v>
      </c>
    </row>
    <row r="736" customFormat="false" ht="15" hidden="false" customHeight="false" outlineLevel="0" collapsed="false">
      <c r="A736" s="5" t="s">
        <v>612</v>
      </c>
      <c r="B736" s="2" t="s">
        <v>728</v>
      </c>
      <c r="C736" s="5" t="s">
        <v>747</v>
      </c>
      <c r="D736" s="21" t="n">
        <v>13.7419996261597</v>
      </c>
    </row>
    <row r="737" customFormat="false" ht="15" hidden="false" customHeight="false" outlineLevel="0" collapsed="false">
      <c r="A737" s="5" t="s">
        <v>612</v>
      </c>
      <c r="B737" s="2" t="s">
        <v>728</v>
      </c>
      <c r="C737" s="5" t="s">
        <v>748</v>
      </c>
      <c r="D737" s="21" t="n">
        <v>20.6860008239746</v>
      </c>
    </row>
    <row r="738" customFormat="false" ht="15" hidden="false" customHeight="false" outlineLevel="0" collapsed="false">
      <c r="A738" s="5" t="s">
        <v>612</v>
      </c>
      <c r="B738" s="2" t="s">
        <v>728</v>
      </c>
      <c r="C738" s="5" t="s">
        <v>749</v>
      </c>
      <c r="D738" s="21" t="n">
        <v>34.1629996299744</v>
      </c>
    </row>
    <row r="739" customFormat="false" ht="15" hidden="false" customHeight="false" outlineLevel="0" collapsed="false">
      <c r="A739" s="5" t="s">
        <v>612</v>
      </c>
      <c r="B739" s="2" t="s">
        <v>728</v>
      </c>
      <c r="C739" s="5" t="s">
        <v>750</v>
      </c>
      <c r="D739" s="21" t="n">
        <v>38.8209991455078</v>
      </c>
    </row>
    <row r="740" customFormat="false" ht="15" hidden="false" customHeight="false" outlineLevel="0" collapsed="false">
      <c r="A740" s="5" t="s">
        <v>612</v>
      </c>
      <c r="B740" s="2" t="s">
        <v>728</v>
      </c>
      <c r="C740" s="5" t="s">
        <v>751</v>
      </c>
      <c r="D740" s="21" t="n">
        <v>1.5</v>
      </c>
    </row>
    <row r="741" customFormat="false" ht="15" hidden="false" customHeight="false" outlineLevel="0" collapsed="false">
      <c r="A741" s="5" t="s">
        <v>614</v>
      </c>
      <c r="B741" s="2" t="s">
        <v>729</v>
      </c>
      <c r="C741" s="5" t="s">
        <v>744</v>
      </c>
      <c r="D741" s="21" t="n">
        <v>3.04099988937378</v>
      </c>
    </row>
    <row r="742" customFormat="false" ht="15" hidden="false" customHeight="false" outlineLevel="0" collapsed="false">
      <c r="A742" s="5" t="s">
        <v>614</v>
      </c>
      <c r="B742" s="2" t="s">
        <v>729</v>
      </c>
      <c r="C742" s="5" t="s">
        <v>745</v>
      </c>
      <c r="D742" s="21" t="n">
        <v>2.50099992752075</v>
      </c>
    </row>
    <row r="743" customFormat="false" ht="15" hidden="false" customHeight="false" outlineLevel="0" collapsed="false">
      <c r="A743" s="5" t="s">
        <v>614</v>
      </c>
      <c r="B743" s="2" t="s">
        <v>729</v>
      </c>
      <c r="C743" s="5" t="s">
        <v>746</v>
      </c>
      <c r="D743" s="21" t="n">
        <v>1.43099999427795</v>
      </c>
    </row>
    <row r="744" customFormat="false" ht="15" hidden="false" customHeight="false" outlineLevel="0" collapsed="false">
      <c r="A744" s="5" t="s">
        <v>614</v>
      </c>
      <c r="B744" s="2" t="s">
        <v>729</v>
      </c>
      <c r="C744" s="5" t="s">
        <v>747</v>
      </c>
      <c r="D744" s="21" t="n">
        <v>1.71700000762939</v>
      </c>
    </row>
    <row r="745" customFormat="false" ht="15" hidden="false" customHeight="false" outlineLevel="0" collapsed="false">
      <c r="A745" s="5" t="s">
        <v>614</v>
      </c>
      <c r="B745" s="2" t="s">
        <v>729</v>
      </c>
      <c r="C745" s="5" t="s">
        <v>748</v>
      </c>
      <c r="D745" s="21" t="n">
        <v>8.50500011444092</v>
      </c>
    </row>
    <row r="746" customFormat="false" ht="15" hidden="false" customHeight="false" outlineLevel="0" collapsed="false">
      <c r="A746" s="5" t="s">
        <v>614</v>
      </c>
      <c r="B746" s="2" t="s">
        <v>729</v>
      </c>
      <c r="C746" s="5" t="s">
        <v>749</v>
      </c>
      <c r="D746" s="21" t="n">
        <v>7.69900001585484</v>
      </c>
    </row>
    <row r="747" customFormat="false" ht="15" hidden="false" customHeight="false" outlineLevel="0" collapsed="false">
      <c r="A747" s="5" t="s">
        <v>614</v>
      </c>
      <c r="B747" s="2" t="s">
        <v>729</v>
      </c>
      <c r="C747" s="5" t="s">
        <v>750</v>
      </c>
      <c r="D747" s="21" t="n">
        <v>4.84999990463257</v>
      </c>
    </row>
    <row r="748" customFormat="false" ht="15" hidden="false" customHeight="false" outlineLevel="0" collapsed="false">
      <c r="A748" s="5" t="s">
        <v>614</v>
      </c>
      <c r="B748" s="2" t="s">
        <v>729</v>
      </c>
      <c r="C748" s="5" t="s">
        <v>751</v>
      </c>
      <c r="D748" s="21" t="n">
        <v>2</v>
      </c>
    </row>
    <row r="749" customFormat="false" ht="15" hidden="false" customHeight="false" outlineLevel="0" collapsed="false">
      <c r="A749" s="5" t="s">
        <v>616</v>
      </c>
      <c r="B749" s="2" t="s">
        <v>730</v>
      </c>
      <c r="C749" s="5" t="s">
        <v>744</v>
      </c>
      <c r="D749" s="21" t="n">
        <v>48.9249992370606</v>
      </c>
    </row>
    <row r="750" customFormat="false" ht="15" hidden="false" customHeight="false" outlineLevel="0" collapsed="false">
      <c r="A750" s="5" t="s">
        <v>616</v>
      </c>
      <c r="B750" s="2" t="s">
        <v>730</v>
      </c>
      <c r="C750" s="5" t="s">
        <v>745</v>
      </c>
      <c r="D750" s="21" t="n">
        <v>40.2350006103516</v>
      </c>
    </row>
    <row r="751" customFormat="false" ht="15" hidden="false" customHeight="false" outlineLevel="0" collapsed="false">
      <c r="A751" s="5" t="s">
        <v>616</v>
      </c>
      <c r="B751" s="2" t="s">
        <v>730</v>
      </c>
      <c r="C751" s="5" t="s">
        <v>746</v>
      </c>
      <c r="D751" s="21" t="n">
        <v>23.0160007476807</v>
      </c>
    </row>
    <row r="752" customFormat="false" ht="15" hidden="false" customHeight="false" outlineLevel="0" collapsed="false">
      <c r="A752" s="5" t="s">
        <v>616</v>
      </c>
      <c r="B752" s="2" t="s">
        <v>730</v>
      </c>
      <c r="C752" s="5" t="s">
        <v>747</v>
      </c>
      <c r="D752" s="21" t="n">
        <v>27.6189994812012</v>
      </c>
    </row>
    <row r="753" customFormat="false" ht="15" hidden="false" customHeight="false" outlineLevel="0" collapsed="false">
      <c r="A753" s="5" t="s">
        <v>616</v>
      </c>
      <c r="B753" s="2" t="s">
        <v>730</v>
      </c>
      <c r="C753" s="5" t="s">
        <v>748</v>
      </c>
      <c r="D753" s="21" t="n">
        <v>29.6849994659424</v>
      </c>
    </row>
    <row r="754" customFormat="false" ht="15" hidden="false" customHeight="false" outlineLevel="0" collapsed="false">
      <c r="A754" s="5" t="s">
        <v>616</v>
      </c>
      <c r="B754" s="2" t="s">
        <v>730</v>
      </c>
      <c r="C754" s="5" t="s">
        <v>749</v>
      </c>
      <c r="D754" s="21" t="n">
        <v>64.7140004634857</v>
      </c>
    </row>
    <row r="755" customFormat="false" ht="15" hidden="false" customHeight="false" outlineLevel="0" collapsed="false">
      <c r="A755" s="5" t="s">
        <v>616</v>
      </c>
      <c r="B755" s="2" t="s">
        <v>730</v>
      </c>
      <c r="C755" s="5" t="s">
        <v>750</v>
      </c>
      <c r="D755" s="21" t="n">
        <v>78.0220031738281</v>
      </c>
    </row>
    <row r="756" customFormat="false" ht="15" hidden="false" customHeight="false" outlineLevel="0" collapsed="false">
      <c r="A756" s="5" t="s">
        <v>616</v>
      </c>
      <c r="B756" s="2" t="s">
        <v>730</v>
      </c>
      <c r="C756" s="5" t="s">
        <v>751</v>
      </c>
      <c r="D756" s="21" t="n">
        <v>1.5</v>
      </c>
    </row>
    <row r="757" customFormat="false" ht="15" hidden="false" customHeight="false" outlineLevel="0" collapsed="false">
      <c r="A757" s="5" t="s">
        <v>618</v>
      </c>
      <c r="B757" s="2" t="s">
        <v>731</v>
      </c>
      <c r="C757" s="5" t="s">
        <v>744</v>
      </c>
      <c r="D757" s="21" t="n">
        <v>1.97300004959106</v>
      </c>
    </row>
    <row r="758" customFormat="false" ht="15" hidden="false" customHeight="false" outlineLevel="0" collapsed="false">
      <c r="A758" s="5" t="s">
        <v>618</v>
      </c>
      <c r="B758" s="2" t="s">
        <v>731</v>
      </c>
      <c r="C758" s="5" t="s">
        <v>745</v>
      </c>
      <c r="D758" s="21" t="n">
        <v>1.62300002574921</v>
      </c>
    </row>
    <row r="759" customFormat="false" ht="15" hidden="false" customHeight="false" outlineLevel="0" collapsed="false">
      <c r="A759" s="5" t="s">
        <v>618</v>
      </c>
      <c r="B759" s="2" t="s">
        <v>731</v>
      </c>
      <c r="C759" s="5" t="s">
        <v>746</v>
      </c>
      <c r="D759" s="21" t="n">
        <v>0.927999973297119</v>
      </c>
    </row>
    <row r="760" customFormat="false" ht="15" hidden="false" customHeight="false" outlineLevel="0" collapsed="false">
      <c r="A760" s="5" t="s">
        <v>618</v>
      </c>
      <c r="B760" s="2" t="s">
        <v>731</v>
      </c>
      <c r="C760" s="5" t="s">
        <v>747</v>
      </c>
      <c r="D760" s="21" t="n">
        <v>1.1139999628067</v>
      </c>
    </row>
    <row r="761" customFormat="false" ht="15" hidden="false" customHeight="false" outlineLevel="0" collapsed="false">
      <c r="A761" s="5" t="s">
        <v>618</v>
      </c>
      <c r="B761" s="2" t="s">
        <v>731</v>
      </c>
      <c r="C761" s="5" t="s">
        <v>748</v>
      </c>
      <c r="D761" s="21" t="n">
        <v>10.9119997024536</v>
      </c>
    </row>
    <row r="762" customFormat="false" ht="15" hidden="false" customHeight="false" outlineLevel="0" collapsed="false">
      <c r="A762" s="5" t="s">
        <v>618</v>
      </c>
      <c r="B762" s="2" t="s">
        <v>731</v>
      </c>
      <c r="C762" s="5" t="s">
        <v>749</v>
      </c>
      <c r="D762" s="21" t="n">
        <v>9.23100009560585</v>
      </c>
    </row>
    <row r="763" customFormat="false" ht="15" hidden="false" customHeight="false" outlineLevel="0" collapsed="false">
      <c r="A763" s="5" t="s">
        <v>618</v>
      </c>
      <c r="B763" s="2" t="s">
        <v>731</v>
      </c>
      <c r="C763" s="5" t="s">
        <v>750</v>
      </c>
      <c r="D763" s="21" t="n">
        <v>3.1470000743866</v>
      </c>
    </row>
    <row r="764" customFormat="false" ht="15" hidden="false" customHeight="false" outlineLevel="0" collapsed="false">
      <c r="A764" s="5" t="s">
        <v>618</v>
      </c>
      <c r="B764" s="2" t="s">
        <v>731</v>
      </c>
      <c r="C764" s="5" t="s">
        <v>751</v>
      </c>
      <c r="D764" s="21" t="n">
        <v>10</v>
      </c>
    </row>
    <row r="765" customFormat="false" ht="15" hidden="false" customHeight="false" outlineLevel="0" collapsed="false">
      <c r="A765" s="5" t="s">
        <v>620</v>
      </c>
      <c r="B765" s="2" t="s">
        <v>732</v>
      </c>
      <c r="C765" s="5" t="s">
        <v>744</v>
      </c>
      <c r="D765" s="21" t="n">
        <v>1.97300004959106</v>
      </c>
    </row>
    <row r="766" customFormat="false" ht="15" hidden="false" customHeight="false" outlineLevel="0" collapsed="false">
      <c r="A766" s="5" t="s">
        <v>620</v>
      </c>
      <c r="B766" s="2" t="s">
        <v>732</v>
      </c>
      <c r="C766" s="5" t="s">
        <v>745</v>
      </c>
      <c r="D766" s="21" t="n">
        <v>1.62300002574921</v>
      </c>
    </row>
    <row r="767" customFormat="false" ht="15" hidden="false" customHeight="false" outlineLevel="0" collapsed="false">
      <c r="A767" s="5" t="s">
        <v>620</v>
      </c>
      <c r="B767" s="2" t="s">
        <v>732</v>
      </c>
      <c r="C767" s="5" t="s">
        <v>746</v>
      </c>
      <c r="D767" s="21" t="n">
        <v>0.927999973297119</v>
      </c>
    </row>
    <row r="768" customFormat="false" ht="15" hidden="false" customHeight="false" outlineLevel="0" collapsed="false">
      <c r="A768" s="5" t="s">
        <v>620</v>
      </c>
      <c r="B768" s="2" t="s">
        <v>732</v>
      </c>
      <c r="C768" s="5" t="s">
        <v>747</v>
      </c>
      <c r="D768" s="21" t="n">
        <v>1.1139999628067</v>
      </c>
    </row>
    <row r="769" customFormat="false" ht="15" hidden="false" customHeight="false" outlineLevel="0" collapsed="false">
      <c r="A769" s="5" t="s">
        <v>620</v>
      </c>
      <c r="B769" s="2" t="s">
        <v>732</v>
      </c>
      <c r="C769" s="5" t="s">
        <v>748</v>
      </c>
      <c r="D769" s="21" t="n">
        <v>12.4079999923706</v>
      </c>
    </row>
    <row r="770" customFormat="false" ht="15" hidden="false" customHeight="false" outlineLevel="0" collapsed="false">
      <c r="A770" s="5" t="s">
        <v>620</v>
      </c>
      <c r="B770" s="2" t="s">
        <v>732</v>
      </c>
      <c r="C770" s="5" t="s">
        <v>749</v>
      </c>
      <c r="D770" s="21" t="n">
        <v>13.9690003693104</v>
      </c>
    </row>
    <row r="771" customFormat="false" ht="15" hidden="false" customHeight="false" outlineLevel="0" collapsed="false">
      <c r="A771" s="5" t="s">
        <v>620</v>
      </c>
      <c r="B771" s="2" t="s">
        <v>732</v>
      </c>
      <c r="C771" s="5" t="s">
        <v>750</v>
      </c>
      <c r="D771" s="21" t="n">
        <v>3.1470000743866</v>
      </c>
    </row>
    <row r="772" customFormat="false" ht="15" hidden="false" customHeight="false" outlineLevel="0" collapsed="false">
      <c r="A772" s="5" t="s">
        <v>620</v>
      </c>
      <c r="B772" s="2" t="s">
        <v>732</v>
      </c>
      <c r="C772" s="5" t="s">
        <v>751</v>
      </c>
      <c r="D772" s="21" t="n">
        <v>10</v>
      </c>
    </row>
    <row r="773" customFormat="false" ht="15" hidden="false" customHeight="false" outlineLevel="0" collapsed="false">
      <c r="A773" s="5" t="s">
        <v>622</v>
      </c>
      <c r="B773" s="2" t="s">
        <v>733</v>
      </c>
      <c r="C773" s="5" t="s">
        <v>744</v>
      </c>
      <c r="D773" s="21" t="n">
        <v>0.759999990463257</v>
      </c>
    </row>
    <row r="774" customFormat="false" ht="15" hidden="false" customHeight="false" outlineLevel="0" collapsed="false">
      <c r="A774" s="5" t="s">
        <v>622</v>
      </c>
      <c r="B774" s="2" t="s">
        <v>733</v>
      </c>
      <c r="C774" s="5" t="s">
        <v>745</v>
      </c>
      <c r="D774" s="21" t="n">
        <v>0.625</v>
      </c>
    </row>
    <row r="775" customFormat="false" ht="15" hidden="false" customHeight="false" outlineLevel="0" collapsed="false">
      <c r="A775" s="5" t="s">
        <v>622</v>
      </c>
      <c r="B775" s="2" t="s">
        <v>733</v>
      </c>
      <c r="C775" s="5" t="s">
        <v>746</v>
      </c>
      <c r="D775" s="21" t="n">
        <v>0.358000010251999</v>
      </c>
    </row>
    <row r="776" customFormat="false" ht="15" hidden="false" customHeight="false" outlineLevel="0" collapsed="false">
      <c r="A776" s="5" t="s">
        <v>622</v>
      </c>
      <c r="B776" s="2" t="s">
        <v>733</v>
      </c>
      <c r="C776" s="5" t="s">
        <v>747</v>
      </c>
      <c r="D776" s="21" t="n">
        <v>0.428999990224838</v>
      </c>
    </row>
    <row r="777" customFormat="false" ht="15" hidden="false" customHeight="false" outlineLevel="0" collapsed="false">
      <c r="A777" s="5" t="s">
        <v>622</v>
      </c>
      <c r="B777" s="2" t="s">
        <v>733</v>
      </c>
      <c r="C777" s="5" t="s">
        <v>748</v>
      </c>
      <c r="D777" s="21" t="n">
        <v>0.256999999284744</v>
      </c>
    </row>
    <row r="778" customFormat="false" ht="15" hidden="false" customHeight="false" outlineLevel="0" collapsed="false">
      <c r="A778" s="5" t="s">
        <v>622</v>
      </c>
      <c r="B778" s="2" t="s">
        <v>733</v>
      </c>
      <c r="C778" s="5" t="s">
        <v>749</v>
      </c>
      <c r="D778" s="21" t="n">
        <v>0.696999996900559</v>
      </c>
    </row>
    <row r="779" customFormat="false" ht="15" hidden="false" customHeight="false" outlineLevel="0" collapsed="false">
      <c r="A779" s="5" t="s">
        <v>622</v>
      </c>
      <c r="B779" s="2" t="s">
        <v>733</v>
      </c>
      <c r="C779" s="5" t="s">
        <v>750</v>
      </c>
      <c r="D779" s="21" t="n">
        <v>1.21300005912781</v>
      </c>
    </row>
    <row r="780" customFormat="false" ht="15" hidden="false" customHeight="false" outlineLevel="0" collapsed="false">
      <c r="A780" s="5" t="s">
        <v>622</v>
      </c>
      <c r="B780" s="2" t="s">
        <v>733</v>
      </c>
      <c r="C780" s="5" t="s">
        <v>751</v>
      </c>
      <c r="D780" s="21" t="n">
        <v>0.0329999998211861</v>
      </c>
    </row>
    <row r="781" customFormat="false" ht="15" hidden="false" customHeight="false" outlineLevel="0" collapsed="false">
      <c r="A781" s="5" t="s">
        <v>624</v>
      </c>
      <c r="B781" s="2" t="s">
        <v>734</v>
      </c>
      <c r="C781" s="5" t="s">
        <v>744</v>
      </c>
      <c r="D781" s="21" t="n">
        <v>2.2409999370575</v>
      </c>
    </row>
    <row r="782" customFormat="false" ht="15" hidden="false" customHeight="false" outlineLevel="0" collapsed="false">
      <c r="A782" s="5" t="s">
        <v>624</v>
      </c>
      <c r="B782" s="2" t="s">
        <v>734</v>
      </c>
      <c r="C782" s="5" t="s">
        <v>745</v>
      </c>
      <c r="D782" s="21" t="n">
        <v>1.84300005435944</v>
      </c>
    </row>
    <row r="783" customFormat="false" ht="15" hidden="false" customHeight="false" outlineLevel="0" collapsed="false">
      <c r="A783" s="5" t="s">
        <v>624</v>
      </c>
      <c r="B783" s="2" t="s">
        <v>734</v>
      </c>
      <c r="C783" s="5" t="s">
        <v>746</v>
      </c>
      <c r="D783" s="21" t="n">
        <v>1.05400002002716</v>
      </c>
    </row>
    <row r="784" customFormat="false" ht="15" hidden="false" customHeight="false" outlineLevel="0" collapsed="false">
      <c r="A784" s="5" t="s">
        <v>624</v>
      </c>
      <c r="B784" s="2" t="s">
        <v>734</v>
      </c>
      <c r="C784" s="5" t="s">
        <v>747</v>
      </c>
      <c r="D784" s="21" t="n">
        <v>1.26499998569489</v>
      </c>
    </row>
    <row r="785" customFormat="false" ht="15" hidden="false" customHeight="false" outlineLevel="0" collapsed="false">
      <c r="A785" s="5" t="s">
        <v>624</v>
      </c>
      <c r="B785" s="2" t="s">
        <v>734</v>
      </c>
      <c r="C785" s="5" t="s">
        <v>748</v>
      </c>
      <c r="D785" s="21" t="n">
        <v>19.2150001525879</v>
      </c>
    </row>
    <row r="786" customFormat="false" ht="15" hidden="false" customHeight="false" outlineLevel="0" collapsed="false">
      <c r="A786" s="5" t="s">
        <v>624</v>
      </c>
      <c r="B786" s="2" t="s">
        <v>734</v>
      </c>
      <c r="C786" s="5" t="s">
        <v>749</v>
      </c>
      <c r="D786" s="21" t="n">
        <v>6.85700017213821</v>
      </c>
    </row>
    <row r="787" customFormat="false" ht="15" hidden="false" customHeight="false" outlineLevel="0" collapsed="false">
      <c r="A787" s="5" t="s">
        <v>624</v>
      </c>
      <c r="B787" s="2" t="s">
        <v>734</v>
      </c>
      <c r="C787" s="5" t="s">
        <v>750</v>
      </c>
      <c r="D787" s="21" t="n">
        <v>3.57299995422363</v>
      </c>
    </row>
    <row r="788" customFormat="false" ht="15" hidden="false" customHeight="false" outlineLevel="0" collapsed="false">
      <c r="A788" s="5" t="s">
        <v>624</v>
      </c>
      <c r="B788" s="2" t="s">
        <v>734</v>
      </c>
      <c r="C788" s="5" t="s">
        <v>751</v>
      </c>
      <c r="D788" s="21" t="n">
        <v>10</v>
      </c>
    </row>
    <row r="789" customFormat="false" ht="15" hidden="false" customHeight="false" outlineLevel="0" collapsed="false">
      <c r="A789" s="5" t="s">
        <v>626</v>
      </c>
      <c r="B789" s="2" t="s">
        <v>735</v>
      </c>
      <c r="C789" s="5" t="s">
        <v>744</v>
      </c>
      <c r="D789" s="21" t="n">
        <v>12.2309999465942</v>
      </c>
    </row>
    <row r="790" customFormat="false" ht="15" hidden="false" customHeight="false" outlineLevel="0" collapsed="false">
      <c r="A790" s="5" t="s">
        <v>626</v>
      </c>
      <c r="B790" s="2" t="s">
        <v>735</v>
      </c>
      <c r="C790" s="5" t="s">
        <v>745</v>
      </c>
      <c r="D790" s="21" t="n">
        <v>10.0590000152588</v>
      </c>
    </row>
    <row r="791" customFormat="false" ht="15" hidden="false" customHeight="false" outlineLevel="0" collapsed="false">
      <c r="A791" s="5" t="s">
        <v>626</v>
      </c>
      <c r="B791" s="2" t="s">
        <v>735</v>
      </c>
      <c r="C791" s="5" t="s">
        <v>746</v>
      </c>
      <c r="D791" s="21" t="n">
        <v>5.75400018692017</v>
      </c>
    </row>
    <row r="792" customFormat="false" ht="15" hidden="false" customHeight="false" outlineLevel="0" collapsed="false">
      <c r="A792" s="5" t="s">
        <v>626</v>
      </c>
      <c r="B792" s="2" t="s">
        <v>735</v>
      </c>
      <c r="C792" s="5" t="s">
        <v>747</v>
      </c>
      <c r="D792" s="21" t="n">
        <v>6.90500020980835</v>
      </c>
    </row>
    <row r="793" customFormat="false" ht="15" hidden="false" customHeight="false" outlineLevel="0" collapsed="false">
      <c r="A793" s="5" t="s">
        <v>626</v>
      </c>
      <c r="B793" s="2" t="s">
        <v>735</v>
      </c>
      <c r="C793" s="5" t="s">
        <v>748</v>
      </c>
      <c r="D793" s="21" t="n">
        <v>4.19700002670288</v>
      </c>
    </row>
    <row r="794" customFormat="false" ht="15" hidden="false" customHeight="false" outlineLevel="0" collapsed="false">
      <c r="A794" s="5" t="s">
        <v>626</v>
      </c>
      <c r="B794" s="2" t="s">
        <v>735</v>
      </c>
      <c r="C794" s="5" t="s">
        <v>749</v>
      </c>
      <c r="D794" s="21" t="n">
        <v>12.7189998477697</v>
      </c>
    </row>
    <row r="795" customFormat="false" ht="15" hidden="false" customHeight="false" outlineLevel="0" collapsed="false">
      <c r="A795" s="5" t="s">
        <v>626</v>
      </c>
      <c r="B795" s="2" t="s">
        <v>735</v>
      </c>
      <c r="C795" s="5" t="s">
        <v>750</v>
      </c>
      <c r="D795" s="21" t="n">
        <v>19.5049991607666</v>
      </c>
    </row>
    <row r="796" customFormat="false" ht="15" hidden="false" customHeight="false" outlineLevel="0" collapsed="false">
      <c r="A796" s="5" t="s">
        <v>626</v>
      </c>
      <c r="B796" s="2" t="s">
        <v>735</v>
      </c>
      <c r="C796" s="5" t="s">
        <v>751</v>
      </c>
      <c r="D796" s="21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2026-07-23T05:45:09Z</dcterms:created>
  <dc:creator>openpyxl</dc:creator>
  <dc:description/>
  <dc:language>en-US</dc:language>
  <cp:lastModifiedBy/>
  <dcterms:modified xsi:type="dcterms:W3CDTF">2026-07-23T05:45:09Z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